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iextrading-my.sharepoint.com/personal/tim_baker_iexcloud_io/Documents/"/>
    </mc:Choice>
  </mc:AlternateContent>
  <xr:revisionPtr revIDLastSave="0" documentId="8_{C55DFDBD-014D-42E0-B9BC-6B18D4A4B20E}" xr6:coauthVersionLast="46" xr6:coauthVersionMax="46" xr10:uidLastSave="{00000000-0000-0000-0000-000000000000}"/>
  <bookViews>
    <workbookView xWindow="-120" yWindow="-120" windowWidth="29040" windowHeight="15840" tabRatio="687" activeTab="1" xr2:uid="{6AAF14B0-C0D7-493F-B75F-D0AA30D3F3C4}"/>
  </bookViews>
  <sheets>
    <sheet name="Instructions" sheetId="21" r:id="rId1"/>
    <sheet name="Settings" sheetId="14" r:id="rId2"/>
    <sheet name="Table of Contents" sheetId="24" r:id="rId3"/>
    <sheet name="Financial Statements and Ratios" sheetId="1" r:id="rId4"/>
    <sheet name="Charts" sheetId="25" r:id="rId5"/>
    <sheet name="Fundies" sheetId="2" state="hidden" r:id="rId6"/>
    <sheet name="Dividends" sheetId="37" state="hidden" r:id="rId7"/>
    <sheet name="Price_Vol" sheetId="36" state="hidden" r:id="rId8"/>
    <sheet name="Price_Dividend" sheetId="47" state="hidden" r:id="rId9"/>
    <sheet name="URL_Builder" sheetId="34" state="hidden" r:id="rId10"/>
    <sheet name="account" sheetId="38" state="hidden" r:id="rId11"/>
    <sheet name="bugs and notes" sheetId="20" state="hidden" r:id="rId12"/>
  </sheets>
  <definedNames>
    <definedName name="_xlnm._FilterDatabase" localSheetId="3" hidden="1">'Financial Statements and Ratios'!$A$12:$ES$221</definedName>
    <definedName name="Balance_Sheet___Assets">'Financial Statements and Ratios'!$B$69</definedName>
    <definedName name="Balance_Sheet_Liabilities_and_Shareholders__Equity">'Financial Statements and Ratios'!$B$102</definedName>
    <definedName name="Balance_Sheet_Makeup">Charts!$I$1:$L$32</definedName>
    <definedName name="Calculated_Fields_and_Ratios">'Financial Statements and Ratios'!$B$147</definedName>
    <definedName name="Cash_Conversion_Cycle">'Financial Statements and Ratios'!$B$211</definedName>
    <definedName name="Cash_Flow_Statement">'Financial Statements and Ratios'!$B$137</definedName>
    <definedName name="Cashflow_Trends">Charts!$I$33:$L$64</definedName>
    <definedName name="Cloud_Cache">Settings!$B$21</definedName>
    <definedName name="Current_Assets">'Financial Statements and Ratios'!$B$70</definedName>
    <definedName name="Current_Investment_Liabilities">'Financial Statements and Ratios'!$B$103</definedName>
    <definedName name="depreciationandamortizationcashflow">'Financial Statements and Ratios'!$C$138:$I$138</definedName>
    <definedName name="dividends_loaded">Settings!$B$12</definedName>
    <definedName name="Dupont_Analysis">'Financial Statements and Ratios'!$B$198</definedName>
    <definedName name="ExternalData_1" localSheetId="10" hidden="1">account!$A$1:$B$10</definedName>
    <definedName name="ExternalData_1" localSheetId="6" hidden="1">Dividends!$A$1:$P$22</definedName>
    <definedName name="ExternalData_1" localSheetId="5" hidden="1">Fundies!$A$1:$H$184</definedName>
    <definedName name="ExternalData_1" localSheetId="8" hidden="1">Price_Dividend!$A$1:$L$1096</definedName>
    <definedName name="ExternalData_1" localSheetId="7" hidden="1">Price_Vol!$A$1:$D$1988</definedName>
    <definedName name="financials_loaded">Settings!$B$11</definedName>
    <definedName name="Fixed_Assets">'Financial Statements and Ratios'!$B$85</definedName>
    <definedName name="Growth_Analysis">'Financial Statements and Ratios'!$B$193</definedName>
    <definedName name="Growth_and_Profitability">Charts!$E$1:$H$32</definedName>
    <definedName name="Income_Statement">'Financial Statements and Ratios'!$B$13</definedName>
    <definedName name="Leverage_Ratios">'Financial Statements and Ratios'!$B$205</definedName>
    <definedName name="Long_Term_Liabilities_and_Shareholders__Equity">'Financial Statements and Ratios'!$B$116</definedName>
    <definedName name="Margin_Analysis">'Financial Statements and Ratios'!$B$187</definedName>
    <definedName name="Margin_Analysis_Chart">Charts!$E$33:$H$64</definedName>
    <definedName name="Millions">Settings!$B$16</definedName>
    <definedName name="my_token">Settings!$B$19</definedName>
    <definedName name="no_of_periods">Settings!$B$7</definedName>
    <definedName name="Per_Share_Data">'Financial Statements and Ratios'!$B$153</definedName>
    <definedName name="Period_End">'Financial Statements and Ratios'!$D$11:$I$11</definedName>
    <definedName name="period_type">Settings!$B$6</definedName>
    <definedName name="prices_loaded">Settings!$B$10</definedName>
    <definedName name="_xlnm.Print_Area" localSheetId="4">Charts!$A$1:$H$104</definedName>
    <definedName name="_xlnm.Print_Area" localSheetId="3">'Financial Statements and Ratios'!$B$13:$I$220</definedName>
    <definedName name="_xlnm.Print_Titles" localSheetId="3">'Financial Statements and Ratios'!$10:$12</definedName>
    <definedName name="ReccomendedPeriod">PeriodType[[#Headers],[ReccomendedPeriod]]</definedName>
    <definedName name="Revenues">'Financial Statements and Ratios'!$B$14</definedName>
    <definedName name="Secret_Token">Settings!$B$20</definedName>
    <definedName name="Stock_Performance">Charts!$A$1:$D$32</definedName>
    <definedName name="Ticker">Settings!$B$4</definedName>
    <definedName name="URLFundies5Y">#REF!</definedName>
    <definedName name="Valuation">Charts!$A$33:$D$64</definedName>
    <definedName name="Valuation_Inputs">'Financial Statements and Ratios'!$B$166</definedName>
    <definedName name="Valuation_Ratios">'Financial Statements and Ratios'!$B$179</definedName>
    <definedName name="year_format" comment="ttm or annual">Settings!#REF!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4" l="1"/>
  <c r="B7" i="14"/>
  <c r="A172" i="1" l="1"/>
  <c r="A171" i="1"/>
  <c r="A175" i="1"/>
  <c r="E52" i="14" l="1"/>
  <c r="F10" i="34" s="1" a="1"/>
  <c r="F10" i="34" s="1"/>
  <c r="C52" i="14"/>
  <c r="B5" i="14"/>
  <c r="A18" i="34"/>
  <c r="M35" i="25"/>
  <c r="B32" i="14"/>
  <c r="B31" i="14"/>
  <c r="B30" i="14"/>
  <c r="B29" i="14"/>
  <c r="A32" i="14"/>
  <c r="A31" i="14"/>
  <c r="A30" i="14"/>
  <c r="A29" i="14"/>
  <c r="D52" i="14" l="1"/>
  <c r="E10" i="34" s="1" a="1"/>
  <c r="E10" i="34" s="1"/>
  <c r="A24" i="14" l="1"/>
  <c r="D22" i="34" l="1"/>
  <c r="A22" i="34" l="1"/>
  <c r="G22" i="34" s="1"/>
  <c r="B13" i="14" l="1"/>
  <c r="E3" i="34" l="1"/>
  <c r="F3" i="34"/>
  <c r="I11" i="1"/>
  <c r="E34" i="34" l="1"/>
  <c r="A34" i="34"/>
  <c r="B32" i="34"/>
  <c r="E30" i="34"/>
  <c r="A30" i="34"/>
  <c r="B28" i="34"/>
  <c r="B24" i="34"/>
  <c r="D26" i="34"/>
  <c r="A26" i="34"/>
  <c r="E26" i="34" l="1"/>
  <c r="F34" i="34"/>
  <c r="F30" i="34"/>
  <c r="B18" i="34"/>
  <c r="D18" i="34" s="1"/>
  <c r="B11" i="14" l="1"/>
  <c r="B10" i="1" s="1"/>
  <c r="B10" i="14"/>
  <c r="B14" i="34"/>
  <c r="B10" i="34"/>
  <c r="B3" i="34"/>
  <c r="D14" i="34"/>
  <c r="A14" i="34"/>
  <c r="D10" i="34"/>
  <c r="D3" i="34"/>
  <c r="A10" i="34"/>
  <c r="I1" i="1"/>
  <c r="I2" i="1"/>
  <c r="H14" i="34" l="1"/>
  <c r="H1" i="1"/>
  <c r="I60" i="1"/>
  <c r="I152" i="1"/>
  <c r="I151" i="1"/>
  <c r="I4" i="1"/>
  <c r="I3" i="1"/>
  <c r="C12" i="1" a="1"/>
  <c r="C12" i="1" s="1"/>
  <c r="I149" i="1"/>
  <c r="I150" i="1"/>
  <c r="I168" i="1"/>
  <c r="I167" i="1" s="1"/>
  <c r="G1" i="1" l="1"/>
  <c r="H60" i="1"/>
  <c r="I5" i="1"/>
  <c r="I8" i="1"/>
  <c r="I6" i="1"/>
  <c r="I7" i="1"/>
  <c r="A3" i="34"/>
  <c r="H3" i="34" s="1"/>
  <c r="F1" i="1" l="1"/>
  <c r="G60" i="1"/>
  <c r="I165" i="1"/>
  <c r="E1" i="1" l="1"/>
  <c r="F60" i="1"/>
  <c r="A1" i="25"/>
  <c r="E60" i="1" l="1"/>
  <c r="D1" i="1"/>
  <c r="D10" i="1" s="1"/>
  <c r="K13" i="1"/>
  <c r="K68" i="1"/>
  <c r="K69" i="1"/>
  <c r="K70" i="1"/>
  <c r="K85" i="1"/>
  <c r="K102" i="1"/>
  <c r="K103" i="1"/>
  <c r="K116" i="1"/>
  <c r="K136" i="1"/>
  <c r="K137" i="1"/>
  <c r="K147" i="1"/>
  <c r="K153" i="1"/>
  <c r="K166" i="1"/>
  <c r="K179" i="1"/>
  <c r="K187" i="1"/>
  <c r="K193" i="1"/>
  <c r="K198" i="1"/>
  <c r="K205" i="1"/>
  <c r="K211" i="1"/>
  <c r="K19" i="1"/>
  <c r="K25" i="1"/>
  <c r="K14" i="1"/>
  <c r="D60" i="1" l="1"/>
  <c r="I186" i="1"/>
  <c r="I220" i="1" l="1"/>
  <c r="I216" i="1"/>
  <c r="I212" i="1"/>
  <c r="I160" i="1"/>
  <c r="I156" i="1"/>
  <c r="I217" i="1"/>
  <c r="I213" i="1"/>
  <c r="I157" i="1"/>
  <c r="I218" i="1"/>
  <c r="I214" i="1"/>
  <c r="I162" i="1"/>
  <c r="I219" i="1"/>
  <c r="I215" i="1"/>
  <c r="I163" i="1"/>
  <c r="I159" i="1"/>
  <c r="L207" i="1"/>
  <c r="E246" i="25"/>
  <c r="G246" i="25" s="1"/>
  <c r="I246" i="25" s="1"/>
  <c r="K246" i="25" s="1"/>
  <c r="A247" i="25"/>
  <c r="A248" i="25"/>
  <c r="A249" i="25"/>
  <c r="A250" i="25"/>
  <c r="A251" i="25"/>
  <c r="H152" i="1" l="1"/>
  <c r="H151" i="1"/>
  <c r="H2" i="1"/>
  <c r="H149" i="1"/>
  <c r="H150" i="1"/>
  <c r="H220" i="1"/>
  <c r="H216" i="1"/>
  <c r="H212" i="1"/>
  <c r="H160" i="1"/>
  <c r="H156" i="1"/>
  <c r="H217" i="1"/>
  <c r="H213" i="1"/>
  <c r="H157" i="1"/>
  <c r="H219" i="1"/>
  <c r="H218" i="1"/>
  <c r="H159" i="1"/>
  <c r="H163" i="1"/>
  <c r="H162" i="1"/>
  <c r="H214" i="1"/>
  <c r="H215" i="1"/>
  <c r="G152" i="1" l="1"/>
  <c r="G151" i="1"/>
  <c r="H4" i="1"/>
  <c r="H3" i="1"/>
  <c r="H11" i="1"/>
  <c r="G2" i="1"/>
  <c r="G11" i="1" s="1"/>
  <c r="G149" i="1"/>
  <c r="G150" i="1"/>
  <c r="G219" i="1"/>
  <c r="G215" i="1"/>
  <c r="G163" i="1"/>
  <c r="G159" i="1"/>
  <c r="G220" i="1"/>
  <c r="G216" i="1"/>
  <c r="G212" i="1"/>
  <c r="G160" i="1"/>
  <c r="G156" i="1"/>
  <c r="G217" i="1"/>
  <c r="G213" i="1"/>
  <c r="G157" i="1"/>
  <c r="G218" i="1"/>
  <c r="G214" i="1"/>
  <c r="G162" i="1"/>
  <c r="B16" i="14"/>
  <c r="I145" i="1" l="1"/>
  <c r="I144" i="1"/>
  <c r="I143" i="1"/>
  <c r="D177" i="1"/>
  <c r="D176" i="1"/>
  <c r="I176" i="1"/>
  <c r="I177" i="1"/>
  <c r="H176" i="1"/>
  <c r="H177" i="1"/>
  <c r="G177" i="1"/>
  <c r="G176" i="1"/>
  <c r="F176" i="1"/>
  <c r="F177" i="1"/>
  <c r="E176" i="1"/>
  <c r="E177" i="1"/>
  <c r="G127" i="1"/>
  <c r="E15" i="1"/>
  <c r="H8" i="1"/>
  <c r="F152" i="1"/>
  <c r="F151" i="1"/>
  <c r="H5" i="1"/>
  <c r="H6" i="1"/>
  <c r="H168" i="1"/>
  <c r="H167" i="1" s="1"/>
  <c r="H7" i="1"/>
  <c r="G4" i="1"/>
  <c r="G3" i="1"/>
  <c r="F2" i="1"/>
  <c r="F11" i="1" s="1"/>
  <c r="F149" i="1"/>
  <c r="F150" i="1"/>
  <c r="G126" i="1"/>
  <c r="G106" i="1"/>
  <c r="G64" i="1"/>
  <c r="G95" i="1"/>
  <c r="G145" i="1"/>
  <c r="G46" i="1"/>
  <c r="G83" i="1"/>
  <c r="G32" i="1"/>
  <c r="G52" i="1"/>
  <c r="G27" i="1"/>
  <c r="G17" i="1"/>
  <c r="G108" i="1"/>
  <c r="G155" i="1"/>
  <c r="G23" i="1"/>
  <c r="G117" i="1"/>
  <c r="G61" i="1"/>
  <c r="G65" i="1"/>
  <c r="G138" i="1"/>
  <c r="G39" i="1"/>
  <c r="G76" i="1"/>
  <c r="G114" i="1"/>
  <c r="G161" i="1"/>
  <c r="G54" i="1"/>
  <c r="G93" i="1"/>
  <c r="G132" i="1"/>
  <c r="G37" i="1"/>
  <c r="G74" i="1"/>
  <c r="G112" i="1"/>
  <c r="G62" i="1"/>
  <c r="G143" i="1"/>
  <c r="G91" i="1"/>
  <c r="G33" i="1"/>
  <c r="G35" i="1"/>
  <c r="G110" i="1"/>
  <c r="G89" i="1"/>
  <c r="G67" i="1"/>
  <c r="G31" i="1"/>
  <c r="G44" i="1"/>
  <c r="G99" i="1"/>
  <c r="G107" i="1"/>
  <c r="G142" i="1"/>
  <c r="G43" i="1"/>
  <c r="G80" i="1"/>
  <c r="G120" i="1"/>
  <c r="G59" i="1"/>
  <c r="G97" i="1"/>
  <c r="G140" i="1"/>
  <c r="G41" i="1"/>
  <c r="G78" i="1"/>
  <c r="G118" i="1"/>
  <c r="G123" i="1"/>
  <c r="G104" i="1"/>
  <c r="G40" i="1"/>
  <c r="G130" i="1"/>
  <c r="G72" i="1"/>
  <c r="G50" i="1"/>
  <c r="G48" i="1"/>
  <c r="G20" i="1"/>
  <c r="G36" i="1"/>
  <c r="G154" i="1"/>
  <c r="G47" i="1"/>
  <c r="G86" i="1"/>
  <c r="G124" i="1"/>
  <c r="G63" i="1"/>
  <c r="G105" i="1"/>
  <c r="G144" i="1"/>
  <c r="G45" i="1"/>
  <c r="G82" i="1"/>
  <c r="G122" i="1"/>
  <c r="G128" i="1"/>
  <c r="G16" i="1"/>
  <c r="G87" i="1"/>
  <c r="G22" i="1"/>
  <c r="G81" i="1"/>
  <c r="G73" i="1"/>
  <c r="G158" i="1"/>
  <c r="G51" i="1"/>
  <c r="G90" i="1"/>
  <c r="G129" i="1"/>
  <c r="G34" i="1"/>
  <c r="G71" i="1"/>
  <c r="G109" i="1"/>
  <c r="G49" i="1"/>
  <c r="G88" i="1"/>
  <c r="I123" i="1"/>
  <c r="I83" i="1"/>
  <c r="I46" i="1"/>
  <c r="I106" i="1"/>
  <c r="I64" i="1"/>
  <c r="I126" i="1"/>
  <c r="I87" i="1"/>
  <c r="I48" i="1"/>
  <c r="I155" i="1"/>
  <c r="I16" i="1"/>
  <c r="I49" i="1"/>
  <c r="I118" i="1"/>
  <c r="I32" i="1"/>
  <c r="I113" i="1"/>
  <c r="I75" i="1"/>
  <c r="I38" i="1"/>
  <c r="I133" i="1"/>
  <c r="I94" i="1"/>
  <c r="I55" i="1"/>
  <c r="I88" i="1"/>
  <c r="I119" i="1"/>
  <c r="I79" i="1"/>
  <c r="I42" i="1"/>
  <c r="I141" i="1"/>
  <c r="I98" i="1"/>
  <c r="I121" i="1"/>
  <c r="I81" i="1"/>
  <c r="I44" i="1"/>
  <c r="I27" i="1"/>
  <c r="I82" i="1"/>
  <c r="I78" i="1"/>
  <c r="I26" i="1"/>
  <c r="I117" i="1"/>
  <c r="I40" i="1"/>
  <c r="I139" i="1"/>
  <c r="I15" i="1"/>
  <c r="I45" i="1"/>
  <c r="I41" i="1"/>
  <c r="I20" i="1"/>
  <c r="I127" i="1"/>
  <c r="I53" i="1"/>
  <c r="I23" i="1"/>
  <c r="I33" i="1"/>
  <c r="I77" i="1"/>
  <c r="I21" i="1"/>
  <c r="I37" i="1"/>
  <c r="I109" i="1"/>
  <c r="I71" i="1"/>
  <c r="I34" i="1"/>
  <c r="I129" i="1"/>
  <c r="I90" i="1"/>
  <c r="I51" i="1"/>
  <c r="I158" i="1"/>
  <c r="I111" i="1"/>
  <c r="I73" i="1"/>
  <c r="I36" i="1"/>
  <c r="I131" i="1"/>
  <c r="I92" i="1"/>
  <c r="I31" i="1"/>
  <c r="I104" i="1"/>
  <c r="I108" i="1"/>
  <c r="I105" i="1"/>
  <c r="I63" i="1"/>
  <c r="I124" i="1"/>
  <c r="I86" i="1"/>
  <c r="I47" i="1"/>
  <c r="I154" i="1"/>
  <c r="I107" i="1"/>
  <c r="I65" i="1"/>
  <c r="I140" i="1"/>
  <c r="I97" i="1"/>
  <c r="I59" i="1"/>
  <c r="I120" i="1"/>
  <c r="I80" i="1"/>
  <c r="I43" i="1"/>
  <c r="I142" i="1"/>
  <c r="I99" i="1"/>
  <c r="I61" i="1"/>
  <c r="I122" i="1"/>
  <c r="I28" i="1"/>
  <c r="I17" i="1"/>
  <c r="I112" i="1"/>
  <c r="I58" i="1"/>
  <c r="I62" i="1"/>
  <c r="I132" i="1"/>
  <c r="I93" i="1"/>
  <c r="I54" i="1"/>
  <c r="I161" i="1"/>
  <c r="I169" i="1" s="1"/>
  <c r="I114" i="1"/>
  <c r="I76" i="1"/>
  <c r="I39" i="1"/>
  <c r="I138" i="1"/>
  <c r="I95" i="1"/>
  <c r="I56" i="1"/>
  <c r="I96" i="1"/>
  <c r="I22" i="1"/>
  <c r="I67" i="1"/>
  <c r="I74" i="1"/>
  <c r="I128" i="1"/>
  <c r="I89" i="1"/>
  <c r="I50" i="1"/>
  <c r="I110" i="1"/>
  <c r="I72" i="1"/>
  <c r="I35" i="1"/>
  <c r="I130" i="1"/>
  <c r="I91" i="1"/>
  <c r="I52" i="1"/>
  <c r="H140" i="1"/>
  <c r="H97" i="1"/>
  <c r="H59" i="1"/>
  <c r="H120" i="1"/>
  <c r="H80" i="1"/>
  <c r="H43" i="1"/>
  <c r="H104" i="1"/>
  <c r="H127" i="1"/>
  <c r="H58" i="1"/>
  <c r="H130" i="1"/>
  <c r="H37" i="1"/>
  <c r="H20" i="1"/>
  <c r="H23" i="1"/>
  <c r="H78" i="1"/>
  <c r="H132" i="1"/>
  <c r="H93" i="1"/>
  <c r="H54" i="1"/>
  <c r="H161" i="1"/>
  <c r="H114" i="1"/>
  <c r="H76" i="1"/>
  <c r="H39" i="1"/>
  <c r="H65" i="1"/>
  <c r="H73" i="1"/>
  <c r="H121" i="1"/>
  <c r="H95" i="1"/>
  <c r="H108" i="1"/>
  <c r="H17" i="1"/>
  <c r="H44" i="1"/>
  <c r="H138" i="1"/>
  <c r="H31" i="1"/>
  <c r="H128" i="1"/>
  <c r="H89" i="1"/>
  <c r="H50" i="1"/>
  <c r="H110" i="1"/>
  <c r="H72" i="1"/>
  <c r="H35" i="1"/>
  <c r="H62" i="1"/>
  <c r="H36" i="1"/>
  <c r="H117" i="1"/>
  <c r="H92" i="1"/>
  <c r="H41" i="1"/>
  <c r="H142" i="1"/>
  <c r="H90" i="1"/>
  <c r="H96" i="1"/>
  <c r="H52" i="1"/>
  <c r="H144" i="1"/>
  <c r="H124" i="1"/>
  <c r="H112" i="1"/>
  <c r="H158" i="1"/>
  <c r="H81" i="1"/>
  <c r="H123" i="1"/>
  <c r="H83" i="1"/>
  <c r="H46" i="1"/>
  <c r="H145" i="1"/>
  <c r="H106" i="1"/>
  <c r="H64" i="1"/>
  <c r="H33" i="1"/>
  <c r="H74" i="1"/>
  <c r="H56" i="1"/>
  <c r="H139" i="1"/>
  <c r="H87" i="1"/>
  <c r="H86" i="1"/>
  <c r="H49" i="1"/>
  <c r="H119" i="1"/>
  <c r="H79" i="1"/>
  <c r="H42" i="1"/>
  <c r="H141" i="1"/>
  <c r="H98" i="1"/>
  <c r="H27" i="1"/>
  <c r="H131" i="1"/>
  <c r="H40" i="1"/>
  <c r="H53" i="1"/>
  <c r="H91" i="1"/>
  <c r="H82" i="1"/>
  <c r="H143" i="1"/>
  <c r="H77" i="1"/>
  <c r="H109" i="1"/>
  <c r="H71" i="1"/>
  <c r="H34" i="1"/>
  <c r="H51" i="1"/>
  <c r="H15" i="1"/>
  <c r="H22" i="1"/>
  <c r="H45" i="1"/>
  <c r="H26" i="1"/>
  <c r="H105" i="1"/>
  <c r="H113" i="1"/>
  <c r="H170" i="1" s="1"/>
  <c r="H75" i="1"/>
  <c r="H38" i="1"/>
  <c r="H133" i="1"/>
  <c r="H94" i="1"/>
  <c r="H55" i="1"/>
  <c r="H154" i="1"/>
  <c r="H21" i="1"/>
  <c r="H99" i="1"/>
  <c r="H155" i="1"/>
  <c r="H28" i="1"/>
  <c r="H88" i="1"/>
  <c r="H48" i="1"/>
  <c r="H122" i="1"/>
  <c r="H32" i="1"/>
  <c r="H129" i="1"/>
  <c r="H126" i="1"/>
  <c r="H67" i="1"/>
  <c r="H118" i="1"/>
  <c r="H63" i="1"/>
  <c r="H47" i="1"/>
  <c r="H107" i="1"/>
  <c r="H61" i="1"/>
  <c r="H16" i="1"/>
  <c r="H111" i="1"/>
  <c r="G26" i="1"/>
  <c r="G28" i="1"/>
  <c r="G15" i="1"/>
  <c r="G111" i="1"/>
  <c r="G55" i="1"/>
  <c r="G94" i="1"/>
  <c r="G133" i="1"/>
  <c r="G38" i="1"/>
  <c r="G75" i="1"/>
  <c r="G113" i="1"/>
  <c r="G170" i="1" s="1"/>
  <c r="G53" i="1"/>
  <c r="G92" i="1"/>
  <c r="G131" i="1"/>
  <c r="G77" i="1"/>
  <c r="G56" i="1"/>
  <c r="G21" i="1"/>
  <c r="G121" i="1"/>
  <c r="G98" i="1"/>
  <c r="G141" i="1"/>
  <c r="G42" i="1"/>
  <c r="G79" i="1"/>
  <c r="G119" i="1"/>
  <c r="G58" i="1"/>
  <c r="G96" i="1"/>
  <c r="G139" i="1"/>
  <c r="F219" i="1"/>
  <c r="F215" i="1"/>
  <c r="F163" i="1"/>
  <c r="F159" i="1"/>
  <c r="F155" i="1"/>
  <c r="F143" i="1"/>
  <c r="F139" i="1"/>
  <c r="F131" i="1"/>
  <c r="F127" i="1"/>
  <c r="F122" i="1"/>
  <c r="F171" i="1" s="1"/>
  <c r="F118" i="1"/>
  <c r="F112" i="1"/>
  <c r="F108" i="1"/>
  <c r="F104" i="1"/>
  <c r="F96" i="1"/>
  <c r="F92" i="1"/>
  <c r="F88" i="1"/>
  <c r="F82" i="1"/>
  <c r="F78" i="1"/>
  <c r="F74" i="1"/>
  <c r="F67" i="1"/>
  <c r="F62" i="1"/>
  <c r="F58" i="1"/>
  <c r="F53" i="1"/>
  <c r="F49" i="1"/>
  <c r="F45" i="1"/>
  <c r="F41" i="1"/>
  <c r="F37" i="1"/>
  <c r="F220" i="1"/>
  <c r="F216" i="1"/>
  <c r="F212" i="1"/>
  <c r="F160" i="1"/>
  <c r="F156" i="1"/>
  <c r="F144" i="1"/>
  <c r="F140" i="1"/>
  <c r="F132" i="1"/>
  <c r="F128" i="1"/>
  <c r="F123" i="1"/>
  <c r="F119" i="1"/>
  <c r="F113" i="1"/>
  <c r="F109" i="1"/>
  <c r="F105" i="1"/>
  <c r="F97" i="1"/>
  <c r="F93" i="1"/>
  <c r="F89" i="1"/>
  <c r="F83" i="1"/>
  <c r="F79" i="1"/>
  <c r="F75" i="1"/>
  <c r="F71" i="1"/>
  <c r="F172" i="1" s="1"/>
  <c r="F63" i="1"/>
  <c r="F59" i="1"/>
  <c r="F54" i="1"/>
  <c r="F50" i="1"/>
  <c r="F46" i="1"/>
  <c r="F42" i="1"/>
  <c r="F38" i="1"/>
  <c r="F34" i="1"/>
  <c r="F214" i="1"/>
  <c r="F213" i="1"/>
  <c r="F141" i="1"/>
  <c r="F120" i="1"/>
  <c r="F117" i="1"/>
  <c r="F80" i="1"/>
  <c r="F77" i="1"/>
  <c r="F43" i="1"/>
  <c r="F40" i="1"/>
  <c r="F32" i="1"/>
  <c r="F26" i="1"/>
  <c r="F20" i="1"/>
  <c r="F87" i="1"/>
  <c r="F31" i="1"/>
  <c r="F17" i="1"/>
  <c r="F47" i="1"/>
  <c r="F218" i="1"/>
  <c r="F154" i="1"/>
  <c r="F126" i="1"/>
  <c r="F114" i="1"/>
  <c r="F111" i="1"/>
  <c r="F76" i="1"/>
  <c r="F73" i="1"/>
  <c r="F39" i="1"/>
  <c r="F36" i="1"/>
  <c r="F133" i="1"/>
  <c r="F51" i="1"/>
  <c r="F23" i="1"/>
  <c r="F44" i="1"/>
  <c r="F217" i="1"/>
  <c r="F145" i="1"/>
  <c r="F124" i="1"/>
  <c r="F110" i="1"/>
  <c r="F107" i="1"/>
  <c r="F72" i="1"/>
  <c r="F65" i="1"/>
  <c r="F35" i="1"/>
  <c r="F33" i="1"/>
  <c r="F27" i="1"/>
  <c r="F21" i="1"/>
  <c r="F15" i="1"/>
  <c r="F161" i="1"/>
  <c r="F90" i="1"/>
  <c r="F81" i="1"/>
  <c r="F158" i="1"/>
  <c r="F130" i="1"/>
  <c r="F106" i="1"/>
  <c r="F99" i="1"/>
  <c r="F64" i="1"/>
  <c r="F61" i="1"/>
  <c r="F157" i="1"/>
  <c r="F129" i="1"/>
  <c r="F98" i="1"/>
  <c r="F95" i="1"/>
  <c r="F56" i="1"/>
  <c r="F28" i="1"/>
  <c r="F22" i="1"/>
  <c r="F16" i="1"/>
  <c r="F121" i="1"/>
  <c r="F162" i="1"/>
  <c r="F138" i="1"/>
  <c r="F94" i="1"/>
  <c r="F91" i="1"/>
  <c r="F55" i="1"/>
  <c r="F52" i="1"/>
  <c r="F48" i="1"/>
  <c r="F142" i="1"/>
  <c r="F86" i="1"/>
  <c r="A2" i="25"/>
  <c r="B11" i="1"/>
  <c r="I170" i="1" l="1"/>
  <c r="F170" i="1"/>
  <c r="H146" i="1"/>
  <c r="H169" i="1"/>
  <c r="G146" i="1"/>
  <c r="F146" i="1"/>
  <c r="I146" i="1"/>
  <c r="G221" i="1"/>
  <c r="I221" i="1"/>
  <c r="H221" i="1"/>
  <c r="H165" i="1"/>
  <c r="H186" i="1" s="1"/>
  <c r="E151" i="1"/>
  <c r="E152" i="1"/>
  <c r="G8" i="1"/>
  <c r="G6" i="1"/>
  <c r="G7" i="1"/>
  <c r="G168" i="1"/>
  <c r="G167" i="1" s="1"/>
  <c r="G169" i="1" s="1"/>
  <c r="G5" i="1"/>
  <c r="F3" i="1"/>
  <c r="F4" i="1"/>
  <c r="F168" i="1"/>
  <c r="F167" i="1" s="1"/>
  <c r="F169" i="1" s="1"/>
  <c r="E2" i="1"/>
  <c r="E11" i="1" s="1"/>
  <c r="E149" i="1"/>
  <c r="E150" i="1"/>
  <c r="H10" i="34"/>
  <c r="E218" i="1"/>
  <c r="K218" i="1" s="1"/>
  <c r="E214" i="1"/>
  <c r="K214" i="1" s="1"/>
  <c r="E162" i="1"/>
  <c r="K162" i="1" s="1"/>
  <c r="E158" i="1"/>
  <c r="K158" i="1" s="1"/>
  <c r="E154" i="1"/>
  <c r="K154" i="1" s="1"/>
  <c r="E142" i="1"/>
  <c r="K142" i="1" s="1"/>
  <c r="E138" i="1"/>
  <c r="K138" i="1" s="1"/>
  <c r="E130" i="1"/>
  <c r="K130" i="1" s="1"/>
  <c r="E126" i="1"/>
  <c r="K126" i="1" s="1"/>
  <c r="E121" i="1"/>
  <c r="K121" i="1" s="1"/>
  <c r="E117" i="1"/>
  <c r="K117" i="1" s="1"/>
  <c r="E111" i="1"/>
  <c r="K111" i="1" s="1"/>
  <c r="E107" i="1"/>
  <c r="K107" i="1" s="1"/>
  <c r="E99" i="1"/>
  <c r="K99" i="1" s="1"/>
  <c r="E95" i="1"/>
  <c r="K95" i="1" s="1"/>
  <c r="E91" i="1"/>
  <c r="K91" i="1" s="1"/>
  <c r="E87" i="1"/>
  <c r="K87" i="1" s="1"/>
  <c r="E81" i="1"/>
  <c r="K81" i="1" s="1"/>
  <c r="E77" i="1"/>
  <c r="K77" i="1" s="1"/>
  <c r="E73" i="1"/>
  <c r="K73" i="1" s="1"/>
  <c r="E65" i="1"/>
  <c r="K65" i="1" s="1"/>
  <c r="E61" i="1"/>
  <c r="K61" i="1" s="1"/>
  <c r="E56" i="1"/>
  <c r="K56" i="1" s="1"/>
  <c r="E52" i="1"/>
  <c r="K52" i="1" s="1"/>
  <c r="E48" i="1"/>
  <c r="K48" i="1" s="1"/>
  <c r="E44" i="1"/>
  <c r="K44" i="1" s="1"/>
  <c r="E40" i="1"/>
  <c r="K40" i="1" s="1"/>
  <c r="E36" i="1"/>
  <c r="K36" i="1" s="1"/>
  <c r="E219" i="1"/>
  <c r="K219" i="1" s="1"/>
  <c r="E215" i="1"/>
  <c r="K215" i="1" s="1"/>
  <c r="E163" i="1"/>
  <c r="K163" i="1" s="1"/>
  <c r="E159" i="1"/>
  <c r="K159" i="1" s="1"/>
  <c r="E155" i="1"/>
  <c r="K155" i="1" s="1"/>
  <c r="E143" i="1"/>
  <c r="E139" i="1"/>
  <c r="K139" i="1" s="1"/>
  <c r="E131" i="1"/>
  <c r="K131" i="1" s="1"/>
  <c r="E127" i="1"/>
  <c r="K127" i="1" s="1"/>
  <c r="E122" i="1"/>
  <c r="K122" i="1" s="1"/>
  <c r="E118" i="1"/>
  <c r="K118" i="1" s="1"/>
  <c r="E112" i="1"/>
  <c r="K112" i="1" s="1"/>
  <c r="E108" i="1"/>
  <c r="K108" i="1" s="1"/>
  <c r="E104" i="1"/>
  <c r="K104" i="1" s="1"/>
  <c r="E96" i="1"/>
  <c r="K96" i="1" s="1"/>
  <c r="E92" i="1"/>
  <c r="K92" i="1" s="1"/>
  <c r="E88" i="1"/>
  <c r="K88" i="1" s="1"/>
  <c r="E82" i="1"/>
  <c r="K82" i="1" s="1"/>
  <c r="E78" i="1"/>
  <c r="K78" i="1" s="1"/>
  <c r="E74" i="1"/>
  <c r="K74" i="1" s="1"/>
  <c r="E67" i="1"/>
  <c r="K67" i="1" s="1"/>
  <c r="E62" i="1"/>
  <c r="K62" i="1" s="1"/>
  <c r="E58" i="1"/>
  <c r="K58" i="1" s="1"/>
  <c r="E53" i="1"/>
  <c r="K53" i="1" s="1"/>
  <c r="E49" i="1"/>
  <c r="K49" i="1" s="1"/>
  <c r="E45" i="1"/>
  <c r="K45" i="1" s="1"/>
  <c r="E41" i="1"/>
  <c r="K41" i="1" s="1"/>
  <c r="E37" i="1"/>
  <c r="K37" i="1" s="1"/>
  <c r="E220" i="1"/>
  <c r="K220" i="1" s="1"/>
  <c r="E216" i="1"/>
  <c r="K216" i="1" s="1"/>
  <c r="E212" i="1"/>
  <c r="K212" i="1" s="1"/>
  <c r="E160" i="1"/>
  <c r="K160" i="1" s="1"/>
  <c r="E156" i="1"/>
  <c r="K156" i="1" s="1"/>
  <c r="E144" i="1"/>
  <c r="K144" i="1" s="1"/>
  <c r="E140" i="1"/>
  <c r="K140" i="1" s="1"/>
  <c r="E132" i="1"/>
  <c r="K132" i="1" s="1"/>
  <c r="E128" i="1"/>
  <c r="K128" i="1" s="1"/>
  <c r="E123" i="1"/>
  <c r="K123" i="1" s="1"/>
  <c r="E119" i="1"/>
  <c r="K119" i="1" s="1"/>
  <c r="E113" i="1"/>
  <c r="E109" i="1"/>
  <c r="K109" i="1" s="1"/>
  <c r="E105" i="1"/>
  <c r="K105" i="1" s="1"/>
  <c r="E97" i="1"/>
  <c r="K97" i="1" s="1"/>
  <c r="E93" i="1"/>
  <c r="K93" i="1" s="1"/>
  <c r="E89" i="1"/>
  <c r="K89" i="1" s="1"/>
  <c r="E83" i="1"/>
  <c r="K83" i="1" s="1"/>
  <c r="E79" i="1"/>
  <c r="K79" i="1" s="1"/>
  <c r="E75" i="1"/>
  <c r="K75" i="1" s="1"/>
  <c r="E71" i="1"/>
  <c r="K71" i="1" s="1"/>
  <c r="E63" i="1"/>
  <c r="K63" i="1" s="1"/>
  <c r="E59" i="1"/>
  <c r="K59" i="1" s="1"/>
  <c r="E54" i="1"/>
  <c r="K54" i="1" s="1"/>
  <c r="E50" i="1"/>
  <c r="K50" i="1" s="1"/>
  <c r="E46" i="1"/>
  <c r="K46" i="1" s="1"/>
  <c r="E42" i="1"/>
  <c r="K42" i="1" s="1"/>
  <c r="E38" i="1"/>
  <c r="K38" i="1" s="1"/>
  <c r="E217" i="1"/>
  <c r="K217" i="1" s="1"/>
  <c r="E213" i="1"/>
  <c r="K213" i="1" s="1"/>
  <c r="E161" i="1"/>
  <c r="E157" i="1"/>
  <c r="K157" i="1" s="1"/>
  <c r="E145" i="1"/>
  <c r="K145" i="1" s="1"/>
  <c r="E141" i="1"/>
  <c r="K141" i="1" s="1"/>
  <c r="E133" i="1"/>
  <c r="K133" i="1" s="1"/>
  <c r="E129" i="1"/>
  <c r="K129" i="1" s="1"/>
  <c r="E124" i="1"/>
  <c r="K124" i="1" s="1"/>
  <c r="E86" i="1"/>
  <c r="K86" i="1" s="1"/>
  <c r="E47" i="1"/>
  <c r="K47" i="1" s="1"/>
  <c r="E120" i="1"/>
  <c r="K120" i="1" s="1"/>
  <c r="E80" i="1"/>
  <c r="K80" i="1" s="1"/>
  <c r="E43" i="1"/>
  <c r="K43" i="1" s="1"/>
  <c r="E32" i="1"/>
  <c r="K32" i="1" s="1"/>
  <c r="E26" i="1"/>
  <c r="K26" i="1" s="1"/>
  <c r="E20" i="1"/>
  <c r="K20" i="1" s="1"/>
  <c r="E114" i="1"/>
  <c r="K114" i="1" s="1"/>
  <c r="E76" i="1"/>
  <c r="E39" i="1"/>
  <c r="K39" i="1" s="1"/>
  <c r="E23" i="1"/>
  <c r="K23" i="1" s="1"/>
  <c r="E110" i="1"/>
  <c r="K110" i="1" s="1"/>
  <c r="E72" i="1"/>
  <c r="K72" i="1" s="1"/>
  <c r="E35" i="1"/>
  <c r="K35" i="1" s="1"/>
  <c r="E33" i="1"/>
  <c r="K33" i="1" s="1"/>
  <c r="E27" i="1"/>
  <c r="K27" i="1" s="1"/>
  <c r="E21" i="1"/>
  <c r="K21" i="1" s="1"/>
  <c r="K15" i="1"/>
  <c r="E90" i="1"/>
  <c r="K90" i="1" s="1"/>
  <c r="E31" i="1"/>
  <c r="K31" i="1" s="1"/>
  <c r="E17" i="1"/>
  <c r="K17" i="1" s="1"/>
  <c r="E106" i="1"/>
  <c r="K106" i="1" s="1"/>
  <c r="E64" i="1"/>
  <c r="K64" i="1" s="1"/>
  <c r="E94" i="1"/>
  <c r="K94" i="1" s="1"/>
  <c r="E55" i="1"/>
  <c r="K55" i="1" s="1"/>
  <c r="E51" i="1"/>
  <c r="K51" i="1" s="1"/>
  <c r="E98" i="1"/>
  <c r="K98" i="1" s="1"/>
  <c r="K60" i="1"/>
  <c r="E34" i="1"/>
  <c r="K34" i="1" s="1"/>
  <c r="E28" i="1"/>
  <c r="K28" i="1" s="1"/>
  <c r="E22" i="1"/>
  <c r="K22" i="1" s="1"/>
  <c r="E16" i="1"/>
  <c r="K16" i="1" s="1"/>
  <c r="F175" i="1"/>
  <c r="F57" i="1"/>
  <c r="F18" i="1"/>
  <c r="F191" i="1" s="1"/>
  <c r="G172" i="1"/>
  <c r="G171" i="1"/>
  <c r="F24" i="1"/>
  <c r="F100" i="1"/>
  <c r="D248" i="25" s="1"/>
  <c r="F84" i="1"/>
  <c r="D247" i="25" s="1"/>
  <c r="F134" i="1"/>
  <c r="F66" i="1"/>
  <c r="F125" i="1"/>
  <c r="E250" i="25" s="1"/>
  <c r="F115" i="1"/>
  <c r="K113" i="1" l="1"/>
  <c r="E170" i="1"/>
  <c r="F173" i="1"/>
  <c r="K143" i="1"/>
  <c r="E146" i="1"/>
  <c r="K146" i="1" s="1"/>
  <c r="F184" i="1"/>
  <c r="K76" i="1"/>
  <c r="F221" i="1"/>
  <c r="E251" i="25"/>
  <c r="F164" i="1"/>
  <c r="G165" i="1"/>
  <c r="G186" i="1" s="1"/>
  <c r="D245" i="25"/>
  <c r="F8" i="1"/>
  <c r="D151" i="1"/>
  <c r="D152" i="1"/>
  <c r="F5" i="1"/>
  <c r="F7" i="1"/>
  <c r="F6" i="1"/>
  <c r="B245" i="25"/>
  <c r="E3" i="1"/>
  <c r="E4" i="1"/>
  <c r="D2" i="1"/>
  <c r="D11" i="1" s="1"/>
  <c r="D149" i="1"/>
  <c r="D150" i="1"/>
  <c r="D218" i="1"/>
  <c r="D214" i="1"/>
  <c r="D162" i="1"/>
  <c r="D158" i="1"/>
  <c r="D154" i="1"/>
  <c r="D142" i="1"/>
  <c r="D138" i="1"/>
  <c r="D130" i="1"/>
  <c r="D126" i="1"/>
  <c r="D121" i="1"/>
  <c r="D117" i="1"/>
  <c r="D111" i="1"/>
  <c r="D107" i="1"/>
  <c r="D99" i="1"/>
  <c r="D95" i="1"/>
  <c r="D91" i="1"/>
  <c r="D87" i="1"/>
  <c r="D81" i="1"/>
  <c r="D77" i="1"/>
  <c r="D73" i="1"/>
  <c r="D65" i="1"/>
  <c r="D61" i="1"/>
  <c r="D56" i="1"/>
  <c r="D52" i="1"/>
  <c r="D48" i="1"/>
  <c r="D44" i="1"/>
  <c r="D40" i="1"/>
  <c r="D36" i="1"/>
  <c r="D219" i="1"/>
  <c r="D215" i="1"/>
  <c r="D163" i="1"/>
  <c r="D159" i="1"/>
  <c r="D155" i="1"/>
  <c r="D143" i="1"/>
  <c r="D139" i="1"/>
  <c r="D131" i="1"/>
  <c r="D127" i="1"/>
  <c r="D122" i="1"/>
  <c r="D171" i="1" s="1"/>
  <c r="D118" i="1"/>
  <c r="D112" i="1"/>
  <c r="D108" i="1"/>
  <c r="D104" i="1"/>
  <c r="D96" i="1"/>
  <c r="D92" i="1"/>
  <c r="D88" i="1"/>
  <c r="D82" i="1"/>
  <c r="D78" i="1"/>
  <c r="D74" i="1"/>
  <c r="D67" i="1"/>
  <c r="D62" i="1"/>
  <c r="D58" i="1"/>
  <c r="D175" i="1" s="1"/>
  <c r="D53" i="1"/>
  <c r="D49" i="1"/>
  <c r="D45" i="1"/>
  <c r="D41" i="1"/>
  <c r="D37" i="1"/>
  <c r="D220" i="1"/>
  <c r="D161" i="1"/>
  <c r="D160" i="1"/>
  <c r="D132" i="1"/>
  <c r="D93" i="1"/>
  <c r="D90" i="1"/>
  <c r="D54" i="1"/>
  <c r="D51" i="1"/>
  <c r="D31" i="1"/>
  <c r="D23" i="1"/>
  <c r="D17" i="1"/>
  <c r="D128" i="1"/>
  <c r="D97" i="1"/>
  <c r="D213" i="1"/>
  <c r="D141" i="1"/>
  <c r="D89" i="1"/>
  <c r="D86" i="1"/>
  <c r="D50" i="1"/>
  <c r="D47" i="1"/>
  <c r="D105" i="1"/>
  <c r="D28" i="1"/>
  <c r="D94" i="1"/>
  <c r="D212" i="1"/>
  <c r="D140" i="1"/>
  <c r="D120" i="1"/>
  <c r="D83" i="1"/>
  <c r="D80" i="1"/>
  <c r="D46" i="1"/>
  <c r="D43" i="1"/>
  <c r="D32" i="1"/>
  <c r="D26" i="1"/>
  <c r="D20" i="1"/>
  <c r="D63" i="1"/>
  <c r="D22" i="1"/>
  <c r="D133" i="1"/>
  <c r="D55" i="1"/>
  <c r="D217" i="1"/>
  <c r="D145" i="1"/>
  <c r="D124" i="1"/>
  <c r="D119" i="1"/>
  <c r="D114" i="1"/>
  <c r="D79" i="1"/>
  <c r="D76" i="1"/>
  <c r="E221" i="1" s="1"/>
  <c r="D42" i="1"/>
  <c r="D39" i="1"/>
  <c r="D156" i="1"/>
  <c r="D98" i="1"/>
  <c r="D216" i="1"/>
  <c r="D144" i="1"/>
  <c r="D123" i="1"/>
  <c r="D113" i="1"/>
  <c r="D110" i="1"/>
  <c r="D75" i="1"/>
  <c r="D72" i="1"/>
  <c r="D38" i="1"/>
  <c r="D35" i="1"/>
  <c r="D33" i="1"/>
  <c r="D27" i="1"/>
  <c r="D21" i="1"/>
  <c r="D15" i="1"/>
  <c r="D34" i="1"/>
  <c r="D16" i="1"/>
  <c r="D157" i="1"/>
  <c r="D129" i="1"/>
  <c r="D109" i="1"/>
  <c r="D106" i="1"/>
  <c r="D71" i="1"/>
  <c r="D172" i="1" s="1"/>
  <c r="D64" i="1"/>
  <c r="D59" i="1"/>
  <c r="E171" i="1"/>
  <c r="K161" i="1"/>
  <c r="E172" i="1"/>
  <c r="E24" i="1"/>
  <c r="F200" i="1"/>
  <c r="F199" i="1"/>
  <c r="F190" i="1"/>
  <c r="F183" i="1"/>
  <c r="E249" i="25"/>
  <c r="F210" i="1"/>
  <c r="F189" i="1"/>
  <c r="F201" i="1"/>
  <c r="E134" i="1"/>
  <c r="E164" i="1" s="1"/>
  <c r="E18" i="1"/>
  <c r="E115" i="1"/>
  <c r="E84" i="1"/>
  <c r="E66" i="1"/>
  <c r="E100" i="1"/>
  <c r="E125" i="1"/>
  <c r="E175" i="1"/>
  <c r="H245" i="25"/>
  <c r="F245" i="25"/>
  <c r="F174" i="1"/>
  <c r="F209" i="1"/>
  <c r="G173" i="1"/>
  <c r="G175" i="1"/>
  <c r="E57" i="1"/>
  <c r="F29" i="1"/>
  <c r="F30" i="1" s="1"/>
  <c r="F188" i="1" s="1"/>
  <c r="G24" i="1"/>
  <c r="G57" i="1"/>
  <c r="G18" i="1"/>
  <c r="H172" i="1"/>
  <c r="H171" i="1"/>
  <c r="F135" i="1"/>
  <c r="F101" i="1"/>
  <c r="G66" i="1"/>
  <c r="G100" i="1"/>
  <c r="F248" i="25" s="1"/>
  <c r="G84" i="1"/>
  <c r="F247" i="25" s="1"/>
  <c r="G125" i="1"/>
  <c r="G250" i="25" s="1"/>
  <c r="G134" i="1"/>
  <c r="G184" i="1" s="1"/>
  <c r="G115" i="1"/>
  <c r="D170" i="1" l="1"/>
  <c r="D146" i="1"/>
  <c r="G251" i="25"/>
  <c r="G164" i="1"/>
  <c r="F165" i="1"/>
  <c r="K165" i="1" s="1"/>
  <c r="E168" i="1"/>
  <c r="E167" i="1" s="1"/>
  <c r="E169" i="1" s="1"/>
  <c r="E173" i="1" s="1"/>
  <c r="E5" i="1"/>
  <c r="E7" i="1"/>
  <c r="E8" i="1"/>
  <c r="E6" i="1"/>
  <c r="D3" i="1"/>
  <c r="D4" i="1"/>
  <c r="D115" i="1"/>
  <c r="D134" i="1"/>
  <c r="D164" i="1" s="1"/>
  <c r="D210" i="1"/>
  <c r="D66" i="1"/>
  <c r="D24" i="1"/>
  <c r="D100" i="1"/>
  <c r="D57" i="1"/>
  <c r="D125" i="1"/>
  <c r="D18" i="1"/>
  <c r="D29" i="1" s="1"/>
  <c r="D30" i="1" s="1"/>
  <c r="D188" i="1" s="1"/>
  <c r="D84" i="1"/>
  <c r="E200" i="1"/>
  <c r="E209" i="1"/>
  <c r="E210" i="1"/>
  <c r="E201" i="1"/>
  <c r="E199" i="1"/>
  <c r="C251" i="25"/>
  <c r="B248" i="25"/>
  <c r="C250" i="25"/>
  <c r="B247" i="25"/>
  <c r="G206" i="1"/>
  <c r="F194" i="1"/>
  <c r="F208" i="1"/>
  <c r="F195" i="1"/>
  <c r="E190" i="1"/>
  <c r="G200" i="1"/>
  <c r="G196" i="1"/>
  <c r="G190" i="1"/>
  <c r="G199" i="1"/>
  <c r="C249" i="25"/>
  <c r="F206" i="1"/>
  <c r="G249" i="25"/>
  <c r="G210" i="1"/>
  <c r="G189" i="1"/>
  <c r="G201" i="1"/>
  <c r="G195" i="1"/>
  <c r="G208" i="1"/>
  <c r="F196" i="1"/>
  <c r="G194" i="1"/>
  <c r="G191" i="1"/>
  <c r="E191" i="1"/>
  <c r="F181" i="1"/>
  <c r="F182" i="1"/>
  <c r="F180" i="1"/>
  <c r="E189" i="1"/>
  <c r="E29" i="1"/>
  <c r="E135" i="1"/>
  <c r="E174" i="1"/>
  <c r="E101" i="1"/>
  <c r="H175" i="1"/>
  <c r="G209" i="1"/>
  <c r="G174" i="1"/>
  <c r="G197" i="1" s="1"/>
  <c r="H173" i="1"/>
  <c r="H57" i="1"/>
  <c r="G29" i="1"/>
  <c r="G30" i="1" s="1"/>
  <c r="G188" i="1" s="1"/>
  <c r="I171" i="1"/>
  <c r="I172" i="1"/>
  <c r="K172" i="1" s="1"/>
  <c r="H24" i="1"/>
  <c r="H18" i="1"/>
  <c r="G101" i="1"/>
  <c r="G202" i="1" s="1"/>
  <c r="H100" i="1"/>
  <c r="H248" i="25" s="1"/>
  <c r="H125" i="1"/>
  <c r="I250" i="25" s="1"/>
  <c r="H134" i="1"/>
  <c r="H184" i="1" s="1"/>
  <c r="H66" i="1"/>
  <c r="H183" i="1" s="1"/>
  <c r="G135" i="1"/>
  <c r="H115" i="1"/>
  <c r="H84" i="1"/>
  <c r="H247" i="25" s="1"/>
  <c r="K171" i="1" l="1"/>
  <c r="I173" i="1"/>
  <c r="E186" i="1"/>
  <c r="I251" i="25"/>
  <c r="H164" i="1"/>
  <c r="D168" i="1"/>
  <c r="F186" i="1"/>
  <c r="E195" i="1"/>
  <c r="E206" i="1"/>
  <c r="E196" i="1"/>
  <c r="D101" i="1"/>
  <c r="E202" i="1" s="1"/>
  <c r="D191" i="1"/>
  <c r="D174" i="1"/>
  <c r="E178" i="1" s="1"/>
  <c r="E192" i="1" s="1"/>
  <c r="D135" i="1"/>
  <c r="D189" i="1"/>
  <c r="D190" i="1"/>
  <c r="E194" i="1"/>
  <c r="E208" i="1"/>
  <c r="G183" i="1"/>
  <c r="G181" i="1"/>
  <c r="F178" i="1"/>
  <c r="E30" i="1"/>
  <c r="F197" i="1"/>
  <c r="H208" i="1"/>
  <c r="H200" i="1"/>
  <c r="H210" i="1"/>
  <c r="H201" i="1"/>
  <c r="H195" i="1"/>
  <c r="H189" i="1"/>
  <c r="G203" i="1"/>
  <c r="G207" i="1" s="1"/>
  <c r="I249" i="25"/>
  <c r="H194" i="1"/>
  <c r="H191" i="1"/>
  <c r="F203" i="1"/>
  <c r="F202" i="1"/>
  <c r="H206" i="1"/>
  <c r="H196" i="1"/>
  <c r="H190" i="1"/>
  <c r="H199" i="1"/>
  <c r="J245" i="25"/>
  <c r="H209" i="1"/>
  <c r="G178" i="1"/>
  <c r="I175" i="1"/>
  <c r="K175" i="1" s="1"/>
  <c r="H174" i="1"/>
  <c r="H197" i="1" s="1"/>
  <c r="K170" i="1"/>
  <c r="H29" i="1"/>
  <c r="H30" i="1" s="1"/>
  <c r="H188" i="1" s="1"/>
  <c r="I18" i="1"/>
  <c r="K18" i="1" s="1"/>
  <c r="I24" i="1"/>
  <c r="K24" i="1" s="1"/>
  <c r="H101" i="1"/>
  <c r="H203" i="1" s="1"/>
  <c r="H207" i="1" s="1"/>
  <c r="I84" i="1"/>
  <c r="I100" i="1"/>
  <c r="J248" i="25" s="1"/>
  <c r="I134" i="1"/>
  <c r="I125" i="1"/>
  <c r="K250" i="25" s="1"/>
  <c r="I66" i="1"/>
  <c r="I115" i="1"/>
  <c r="K249" i="25" s="1"/>
  <c r="H135" i="1"/>
  <c r="D167" i="1" l="1"/>
  <c r="D169" i="1" s="1"/>
  <c r="D173" i="1" s="1"/>
  <c r="K66" i="1"/>
  <c r="K176" i="1"/>
  <c r="K177" i="1"/>
  <c r="I164" i="1"/>
  <c r="I184" i="1"/>
  <c r="E203" i="1"/>
  <c r="E207" i="1" s="1"/>
  <c r="E197" i="1"/>
  <c r="D209" i="1"/>
  <c r="G182" i="1"/>
  <c r="G180" i="1"/>
  <c r="K100" i="1"/>
  <c r="K125" i="1"/>
  <c r="K115" i="1"/>
  <c r="F192" i="1"/>
  <c r="F185" i="1"/>
  <c r="K251" i="25"/>
  <c r="K134" i="1"/>
  <c r="J247" i="25"/>
  <c r="K84" i="1"/>
  <c r="F207" i="1"/>
  <c r="E188" i="1"/>
  <c r="I200" i="1"/>
  <c r="K200" i="1" s="1"/>
  <c r="F204" i="1"/>
  <c r="I194" i="1"/>
  <c r="K194" i="1" s="1"/>
  <c r="I191" i="1"/>
  <c r="K191" i="1" s="1"/>
  <c r="I199" i="1"/>
  <c r="K199" i="1" s="1"/>
  <c r="I196" i="1"/>
  <c r="K196" i="1" s="1"/>
  <c r="I190" i="1"/>
  <c r="K190" i="1" s="1"/>
  <c r="H202" i="1"/>
  <c r="H204" i="1" s="1"/>
  <c r="I206" i="1"/>
  <c r="K206" i="1" s="1"/>
  <c r="I208" i="1"/>
  <c r="K208" i="1" s="1"/>
  <c r="I210" i="1"/>
  <c r="K210" i="1" s="1"/>
  <c r="I201" i="1"/>
  <c r="K201" i="1" s="1"/>
  <c r="I189" i="1"/>
  <c r="K189" i="1" s="1"/>
  <c r="I195" i="1"/>
  <c r="K195" i="1" s="1"/>
  <c r="G185" i="1"/>
  <c r="G192" i="1"/>
  <c r="H182" i="1"/>
  <c r="H180" i="1"/>
  <c r="H181" i="1"/>
  <c r="G204" i="1"/>
  <c r="H178" i="1"/>
  <c r="H185" i="1" s="1"/>
  <c r="I174" i="1"/>
  <c r="K174" i="1" s="1"/>
  <c r="I29" i="1"/>
  <c r="K29" i="1" s="1"/>
  <c r="I57" i="1"/>
  <c r="K57" i="1" s="1"/>
  <c r="I135" i="1"/>
  <c r="K135" i="1" s="1"/>
  <c r="I101" i="1"/>
  <c r="I178" i="1" l="1"/>
  <c r="K178" i="1" s="1"/>
  <c r="E204" i="1"/>
  <c r="I183" i="1"/>
  <c r="I202" i="1"/>
  <c r="K202" i="1" s="1"/>
  <c r="K101" i="1"/>
  <c r="I197" i="1"/>
  <c r="K197" i="1" s="1"/>
  <c r="H192" i="1"/>
  <c r="I209" i="1"/>
  <c r="K209" i="1" s="1"/>
  <c r="I203" i="1"/>
  <c r="I30" i="1"/>
  <c r="I180" i="1" l="1"/>
  <c r="I181" i="1"/>
  <c r="I182" i="1"/>
  <c r="I188" i="1"/>
  <c r="K188" i="1" s="1"/>
  <c r="K30" i="1"/>
  <c r="I207" i="1"/>
  <c r="K207" i="1" s="1"/>
  <c r="K203" i="1"/>
  <c r="I185" i="1"/>
  <c r="I192" i="1"/>
  <c r="K192" i="1" s="1"/>
  <c r="I204" i="1"/>
  <c r="K204" i="1" s="1"/>
  <c r="K186" i="1" l="1"/>
  <c r="K167" i="1" l="1"/>
  <c r="E184" i="1"/>
  <c r="E180" i="1" l="1"/>
  <c r="E185" i="1"/>
  <c r="K185" i="1" s="1"/>
  <c r="E183" i="1"/>
  <c r="K183" i="1" s="1"/>
  <c r="K169" i="1"/>
  <c r="K173" i="1" l="1"/>
  <c r="K180" i="1"/>
  <c r="E181" i="1"/>
  <c r="K181" i="1" s="1"/>
  <c r="E182" i="1"/>
  <c r="K18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33802C-5962-4322-BED6-353B688C289B}" keepAlive="1" name="Query - Dividends" description="Connection to the 'Dividends' query in the workbook." type="5" refreshedVersion="7" background="1" saveData="1">
    <dbPr connection="Provider=Microsoft.Mashup.OleDb.1;Data Source=$Workbook$;Location=Dividends;Extended Properties=&quot;&quot;" command="SELECT * FROM [Dividends]"/>
  </connection>
  <connection id="2" xr16:uid="{4581AA73-713D-46B6-AC3C-069E9178F4A6}" keepAlive="1" name="Query - fetchAccount" description="Connection to the 'fetchAccount' query in the workbook." type="5" refreshedVersion="7" background="1" saveData="1">
    <dbPr connection="Provider=Microsoft.Mashup.OleDb.1;Data Source=$Workbook$;Location=fetchAccount;Extended Properties=&quot;&quot;" command="SELECT * FROM [fetchAccount]"/>
  </connection>
  <connection id="3" xr16:uid="{0DBF72C4-E8F8-43C5-AF73-FE0AE6EEDD42}" keepAlive="1" name="Query - fetchEstimatesQuarter" description="Connection to the 'fetchEstimatesQuarter' query in the workbook." type="5" refreshedVersion="6" background="1" saveData="1">
    <dbPr connection="Provider=Microsoft.Mashup.OleDb.1;Data Source=$Workbook$;Location=fetchEstimatesQuarter;Extended Properties=&quot;&quot;" command="SELECT * FROM [fetchEstimatesQuarter]"/>
  </connection>
  <connection id="4" xr16:uid="{40B6EC8B-76AA-40A5-8889-CB21671642A8}" keepAlive="1" name="Query - Fundies" description="Connection to the 'Fundies' query in the workbook." type="5" refreshedVersion="7" background="1" saveData="1">
    <dbPr connection="Provider=Microsoft.Mashup.OleDb.1;Data Source=$Workbook$;Location=Fundies;Extended Properties=&quot;&quot;" command="SELECT * FROM [Fundies]"/>
  </connection>
  <connection id="5" xr16:uid="{631901EE-E8E8-49BC-993A-6ADFAA794122}" keepAlive="1" name="Query - Price_Volume" description="Connection to the 'Price_Volume' query in the workbook." type="5" refreshedVersion="7" background="1" saveData="1">
    <dbPr connection="Provider=Microsoft.Mashup.OleDb.1;Data Source=$Workbook$;Location=Price_Volume;Extended Properties=&quot;&quot;" command="SELECT * FROM [Price_Volume]"/>
  </connection>
  <connection id="6" xr16:uid="{5865A62C-27E4-4014-BA98-D56C0B25EF50}" keepAlive="1" name="Query - PriceVolDividend" description="Connection to the 'PriceVolDividend' query in the workbook." type="5" refreshedVersion="7" background="1" saveData="1">
    <dbPr connection="Provider=Microsoft.Mashup.OleDb.1;Data Source=$Workbook$;Location=PriceVolDividend;Extended Properties=&quot;&quot;" command="SELECT * FROM [PriceVolDivide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<sst xmlns="http://schemas.openxmlformats.org/spreadsheetml/2006/main" count="4343" uniqueCount="867">
  <si>
    <t>accountsPayable</t>
  </si>
  <si>
    <t>accountsPayableTurnover</t>
  </si>
  <si>
    <t>accountsReceivable</t>
  </si>
  <si>
    <t>accountsReceivableTurnover</t>
  </si>
  <si>
    <t>asOfDate</t>
  </si>
  <si>
    <t>assetsCurrentCash</t>
  </si>
  <si>
    <t>assetsCurrentCashRestricted</t>
  </si>
  <si>
    <t>assetsCurrentDeferredCompensation</t>
  </si>
  <si>
    <t>assetsCurrentDeferredTax</t>
  </si>
  <si>
    <t>assetsCurrentDiscontinuedOperations</t>
  </si>
  <si>
    <t>assetsCurrentInvestments</t>
  </si>
  <si>
    <t>assetsCurrentLeasesOperating</t>
  </si>
  <si>
    <t>assetsCurrentLoansNet</t>
  </si>
  <si>
    <t>assetsCurrentOther</t>
  </si>
  <si>
    <t>assetsCurrentSeparateAccounts</t>
  </si>
  <si>
    <t>assetsCurrentUnadjusted</t>
  </si>
  <si>
    <t>assetsFixed</t>
  </si>
  <si>
    <t>assetsFixedDeferredCompensation</t>
  </si>
  <si>
    <t>assetsFixedDeferredTax</t>
  </si>
  <si>
    <t>assetsFixedDiscontinuedOperations</t>
  </si>
  <si>
    <t>assetsFixedLeasesOperating</t>
  </si>
  <si>
    <t>assetsFixedOperatingDiscontinuedOperations</t>
  </si>
  <si>
    <t>assetsFixedOperatingSubsidiaryUnconsolidated</t>
  </si>
  <si>
    <t>assetsFixedOreo</t>
  </si>
  <si>
    <t>assetsFixedOther</t>
  </si>
  <si>
    <t>assetsFixedUnconsolidated</t>
  </si>
  <si>
    <t>assetsUnadjusted</t>
  </si>
  <si>
    <t>capex</t>
  </si>
  <si>
    <t>capexAcquisition</t>
  </si>
  <si>
    <t>capexMaintenance</t>
  </si>
  <si>
    <t>cashConversionCycle</t>
  </si>
  <si>
    <t>cashFlowFinancing</t>
  </si>
  <si>
    <t>cashFlowInvesting</t>
  </si>
  <si>
    <t>cashFlowOperating</t>
  </si>
  <si>
    <t>cashFlowShareRepurchase</t>
  </si>
  <si>
    <t>cashLongTerm</t>
  </si>
  <si>
    <t>cashOperating</t>
  </si>
  <si>
    <t>cashPaidForIncomeTaxes</t>
  </si>
  <si>
    <t>cashPaidForInterest</t>
  </si>
  <si>
    <t>cashRestricted</t>
  </si>
  <si>
    <t>chargeAfterTax</t>
  </si>
  <si>
    <t>chargeAfterTaxDiscontinuedOperations</t>
  </si>
  <si>
    <t>chargesAfterTaxOther</t>
  </si>
  <si>
    <t>cik</t>
  </si>
  <si>
    <t>creditLossProvision</t>
  </si>
  <si>
    <t>dataGenerationDate</t>
  </si>
  <si>
    <t>daysInAccountsPayable</t>
  </si>
  <si>
    <t>daysInInventory</t>
  </si>
  <si>
    <t>daysInRevenueDeferred</t>
  </si>
  <si>
    <t>daysRevenueOutstanding</t>
  </si>
  <si>
    <t>debtFinancial</t>
  </si>
  <si>
    <t>debtShortTerm</t>
  </si>
  <si>
    <t>depreciationAndAmortizationAccumulated</t>
  </si>
  <si>
    <t>depreciationAndAmortizationCashFlow</t>
  </si>
  <si>
    <t>dividendsPreferred</t>
  </si>
  <si>
    <t>dividendsPreferredRedeemableMandatorily</t>
  </si>
  <si>
    <t>earningsRetained</t>
  </si>
  <si>
    <t>ebitReported</t>
  </si>
  <si>
    <t>ebitdaReported</t>
  </si>
  <si>
    <t>equityShareholder</t>
  </si>
  <si>
    <t>equityShareholderOther</t>
  </si>
  <si>
    <t>equityShareholderOtherDeferredCompensation</t>
  </si>
  <si>
    <t>equityShareholderOtherEquity</t>
  </si>
  <si>
    <t>equityShareholderOtherMezzanine</t>
  </si>
  <si>
    <t>expenses</t>
  </si>
  <si>
    <t>expensesAcquisitionMerger</t>
  </si>
  <si>
    <t>expensesCompensation</t>
  </si>
  <si>
    <t>expensesDepreciationAndAmortization</t>
  </si>
  <si>
    <t>expensesDerivative</t>
  </si>
  <si>
    <t>expensesDiscontinuedOperations</t>
  </si>
  <si>
    <t>expensesDiscontinuedOperationsReits</t>
  </si>
  <si>
    <t>expensesEnergy</t>
  </si>
  <si>
    <t>expensesForeignCurrency</t>
  </si>
  <si>
    <t>expensesInterest</t>
  </si>
  <si>
    <t>expensesInterestFinancials</t>
  </si>
  <si>
    <t>expensesInterestMinority</t>
  </si>
  <si>
    <t>expensesLegalRegulatoryInsurance</t>
  </si>
  <si>
    <t>expensesNonOperatingCompanyDefinedOther</t>
  </si>
  <si>
    <t>expensesNonOperatingOther</t>
  </si>
  <si>
    <t>expensesNonOperatingSubsidiaryUnconsolidated</t>
  </si>
  <si>
    <t>expensesNonRecurringOther</t>
  </si>
  <si>
    <t>expensesOperating</t>
  </si>
  <si>
    <t>expensesOperatingOther</t>
  </si>
  <si>
    <t>expensesOperatingSubsidiaryUnconsolidated</t>
  </si>
  <si>
    <t>expensesOreo</t>
  </si>
  <si>
    <t>expensesOreoReits</t>
  </si>
  <si>
    <t>expensesOtherFinancing</t>
  </si>
  <si>
    <t>expensesRestructuring</t>
  </si>
  <si>
    <t>expensesSga</t>
  </si>
  <si>
    <t>expensesStockCompensation</t>
  </si>
  <si>
    <t>expensesWriteDown</t>
  </si>
  <si>
    <t>ffo</t>
  </si>
  <si>
    <t>figi</t>
  </si>
  <si>
    <t>filingDate</t>
  </si>
  <si>
    <t>filingType</t>
  </si>
  <si>
    <t>fiscalQuarter</t>
  </si>
  <si>
    <t>fiscalYear</t>
  </si>
  <si>
    <t>goodwillAmortizationCashFlow</t>
  </si>
  <si>
    <t>goodwillAmortizationIncomeStatement</t>
  </si>
  <si>
    <t>goodwillAndIntangiblesNetOther</t>
  </si>
  <si>
    <t>goodwillNet</t>
  </si>
  <si>
    <t>incomeFromOperations</t>
  </si>
  <si>
    <t>incomeNet</t>
  </si>
  <si>
    <t>incomeNetPerRevenue</t>
  </si>
  <si>
    <t>incomeNetPerWabso</t>
  </si>
  <si>
    <t>incomeNetPerWabsoSplitAdjusted</t>
  </si>
  <si>
    <t>incomeNetPerWabsoSplitAdjustedYoyDeltaPercent</t>
  </si>
  <si>
    <t>incomeNetPerWadso</t>
  </si>
  <si>
    <t>incomeNetPerWadsoSplitAdjusted</t>
  </si>
  <si>
    <t>incomeNetPerWadsoSplitAdjustedYoyDeltaPercent</t>
  </si>
  <si>
    <t>incomeNetPreTax</t>
  </si>
  <si>
    <t>incomeNetYoyDelta</t>
  </si>
  <si>
    <t>incomeOperating</t>
  </si>
  <si>
    <t>incomeOperatingDiscontinuedOperations</t>
  </si>
  <si>
    <t>incomeOperatingOther</t>
  </si>
  <si>
    <t>incomeOperatingSubsidiaryUnconsolidated</t>
  </si>
  <si>
    <t>incomeOperatingSubsidiaryUnconsolidatedAfterTax</t>
  </si>
  <si>
    <t>incomeTax</t>
  </si>
  <si>
    <t>incomeTaxCurrent</t>
  </si>
  <si>
    <t>incomeTaxDeferred</t>
  </si>
  <si>
    <t>incomeTaxDiscontinuedOperations</t>
  </si>
  <si>
    <t>incomeTaxOther</t>
  </si>
  <si>
    <t>incomeTaxRate</t>
  </si>
  <si>
    <t>interestMinority</t>
  </si>
  <si>
    <t>inventory</t>
  </si>
  <si>
    <t>inventoryTurnover</t>
  </si>
  <si>
    <t>liabilities</t>
  </si>
  <si>
    <t>liabilitiesCurrent</t>
  </si>
  <si>
    <t>liabilitiesNonCurrentAndInterestMinorityTotal</t>
  </si>
  <si>
    <t>liabilitiesNonCurrentDebt</t>
  </si>
  <si>
    <t>liabilitiesNonCurrentDeferredCompensation</t>
  </si>
  <si>
    <t>liabilitiesNonCurrentDeferredTax</t>
  </si>
  <si>
    <t>liabilitiesNonCurrentDiscontinuedOperations</t>
  </si>
  <si>
    <t>liabilitiesNonCurrentLeasesOperating</t>
  </si>
  <si>
    <t>liabilitiesNonCurrentLongTerm</t>
  </si>
  <si>
    <t>liabilitiesNonCurrentOperatingDiscontinuedOperations</t>
  </si>
  <si>
    <t>liabilitiesNonCurrentOther</t>
  </si>
  <si>
    <t>nibclDeferredCompensation</t>
  </si>
  <si>
    <t>nibclDeferredTax</t>
  </si>
  <si>
    <t>nibclDiscontinuedOperations</t>
  </si>
  <si>
    <t>nibclLeasesOperating</t>
  </si>
  <si>
    <t>nibclOther</t>
  </si>
  <si>
    <t>nibclRestructuring</t>
  </si>
  <si>
    <t>nibclRevenueDeferred</t>
  </si>
  <si>
    <t>nibclRevenueDeferredTurnover</t>
  </si>
  <si>
    <t>nibclSeparateAccounts</t>
  </si>
  <si>
    <t>oci</t>
  </si>
  <si>
    <t>periodEndDate</t>
  </si>
  <si>
    <t>ppAndENet</t>
  </si>
  <si>
    <t>pricePerEarnings</t>
  </si>
  <si>
    <t>pricePerEarningsPerRevenueYoyDeltaPercent</t>
  </si>
  <si>
    <t>profitGross</t>
  </si>
  <si>
    <t>profitGrossPerRevenue</t>
  </si>
  <si>
    <t>researchAndDevelopmentExpense</t>
  </si>
  <si>
    <t>reserves</t>
  </si>
  <si>
    <t>reservesInventory</t>
  </si>
  <si>
    <t>reservesLifo</t>
  </si>
  <si>
    <t>reservesLoanLoss</t>
  </si>
  <si>
    <t>revenue</t>
  </si>
  <si>
    <t>revenueCostOther</t>
  </si>
  <si>
    <t>revenueIncomeInterest</t>
  </si>
  <si>
    <t>revenueOther</t>
  </si>
  <si>
    <t>revenueSubsidiaryUnconsolidated</t>
  </si>
  <si>
    <t>salesCost</t>
  </si>
  <si>
    <t>sharesIssued</t>
  </si>
  <si>
    <t>sharesOutstandingPeDateBs</t>
  </si>
  <si>
    <t>sharesTreasury</t>
  </si>
  <si>
    <t>stockCommon</t>
  </si>
  <si>
    <t>stockPreferred</t>
  </si>
  <si>
    <t>stockPreferredEquity</t>
  </si>
  <si>
    <t>stockPreferredMezzanine</t>
  </si>
  <si>
    <t>stockTreasury</t>
  </si>
  <si>
    <t>symbol</t>
  </si>
  <si>
    <t>wabso</t>
  </si>
  <si>
    <t>wabsoSplitAdjusted</t>
  </si>
  <si>
    <t>wadso</t>
  </si>
  <si>
    <t>wadsoSplitAdjusted</t>
  </si>
  <si>
    <t>id</t>
  </si>
  <si>
    <t>FUNDAMENTALS</t>
  </si>
  <si>
    <t>key</t>
  </si>
  <si>
    <t>subkey</t>
  </si>
  <si>
    <t>annual</t>
  </si>
  <si>
    <t>date</t>
  </si>
  <si>
    <t>updated</t>
  </si>
  <si>
    <t xml:space="preserve">Income Statement   </t>
  </si>
  <si>
    <t xml:space="preserve">
Revenues
</t>
  </si>
  <si>
    <t xml:space="preserve">
Expenses
</t>
  </si>
  <si>
    <t>Operating Revenue</t>
  </si>
  <si>
    <t>revenueother</t>
  </si>
  <si>
    <t>Cash and Equivalents (Non-Operating)</t>
  </si>
  <si>
    <t>assetscurrentcash</t>
  </si>
  <si>
    <t>Interest Income</t>
  </si>
  <si>
    <t>revenueincomeinterest</t>
  </si>
  <si>
    <t>Cash and Equivalents (Operating)</t>
  </si>
  <si>
    <t>Unconsolidated Subsidiary Revenue</t>
  </si>
  <si>
    <t>revenuesubsidiaryunconsolidated</t>
  </si>
  <si>
    <t>Current Restricted Cash</t>
  </si>
  <si>
    <t>assetscurrentcashrestricted</t>
  </si>
  <si>
    <t>Total Revenue</t>
  </si>
  <si>
    <t>Revenue</t>
  </si>
  <si>
    <t>Other Investment Securities (Operating)</t>
  </si>
  <si>
    <t>assetscurrentinvestments</t>
  </si>
  <si>
    <t>Income from Discontinued Operations (Operating)</t>
  </si>
  <si>
    <t>Accounts Receivable</t>
  </si>
  <si>
    <t>accountsreceivable</t>
  </si>
  <si>
    <t>Income from Unconsolidated Subsidiaries (Operating)</t>
  </si>
  <si>
    <t>Inventory</t>
  </si>
  <si>
    <t>Income from Unconsolidated Subsidiaries After-tax (Operating)</t>
  </si>
  <si>
    <t>Reported Current Deferred Tax Assets</t>
  </si>
  <si>
    <t>assetscurrentdeferredtax</t>
  </si>
  <si>
    <t>Other Operating Income</t>
  </si>
  <si>
    <t>Net Loans</t>
  </si>
  <si>
    <t>assetscurrentloansnet</t>
  </si>
  <si>
    <t>Separate Accounts</t>
  </si>
  <si>
    <t>Cost of Sales</t>
  </si>
  <si>
    <t>Other Current or Investment Assets</t>
  </si>
  <si>
    <t>assetscurrentother</t>
  </si>
  <si>
    <t>Credit Loss Provision</t>
  </si>
  <si>
    <t>creditlossprovision</t>
  </si>
  <si>
    <t>Reported Current Deferred Compensation Assets</t>
  </si>
  <si>
    <t>assetscurrentdeferredcompensation</t>
  </si>
  <si>
    <t>Total Cost of Sales</t>
  </si>
  <si>
    <t>Current Discontinued Operations (Non-Operating)</t>
  </si>
  <si>
    <t>Gross Profit</t>
  </si>
  <si>
    <t>Reported Current Operating Lease Assets</t>
  </si>
  <si>
    <t>assetscurrentleasesoperating</t>
  </si>
  <si>
    <t>Selling, General, and Administrative Expense</t>
  </si>
  <si>
    <t>Total Current/Investment Assets (Unadjusted)</t>
  </si>
  <si>
    <t>assetscurrentunadjusted</t>
  </si>
  <si>
    <t>Research and Development Expense</t>
  </si>
  <si>
    <t>Net Property, Plant, and Equipment</t>
  </si>
  <si>
    <t>ppandenet</t>
  </si>
  <si>
    <t>Depreciation and Amortization</t>
  </si>
  <si>
    <t>Goodwill, net</t>
  </si>
  <si>
    <t>goodwillnet</t>
  </si>
  <si>
    <t>Goodwill Amortization</t>
  </si>
  <si>
    <t>Other Intangibles</t>
  </si>
  <si>
    <t>goodwillandintangiblesnetother</t>
  </si>
  <si>
    <t>Interest Expense (Operating)</t>
  </si>
  <si>
    <t>Long-term Restricted Cash</t>
  </si>
  <si>
    <t>cashrestricted</t>
  </si>
  <si>
    <t>Stock Compensation</t>
  </si>
  <si>
    <t>Reported Deferred Tax Assets</t>
  </si>
  <si>
    <t>assetsfixeddeferredtax</t>
  </si>
  <si>
    <t>Other Compensation</t>
  </si>
  <si>
    <t>Discontinued Operations (Operating)</t>
  </si>
  <si>
    <t>Energy Operating Expense</t>
  </si>
  <si>
    <t>Unconsolidated Subsidiary Assets (Operating)</t>
  </si>
  <si>
    <t>assetsfixedoperatingsubsidiaryunconsolidated</t>
  </si>
  <si>
    <t>Losses from Unconsolidated Subsidiaries (Operating)</t>
  </si>
  <si>
    <t>Other Real Estate Owned</t>
  </si>
  <si>
    <t>assetsfixedoreo</t>
  </si>
  <si>
    <t>Operating Other Real Estate Owned Expense</t>
  </si>
  <si>
    <t>Other Fixed Assets</t>
  </si>
  <si>
    <t>assetsfixedother</t>
  </si>
  <si>
    <t>Other Operating Expense</t>
  </si>
  <si>
    <t>Long-Term Investments (Non-Operating)</t>
  </si>
  <si>
    <t>cashlongterm</t>
  </si>
  <si>
    <t>Reported Write-Downs (Non-Operating), Net</t>
  </si>
  <si>
    <t>expenseswritedown</t>
  </si>
  <si>
    <t>Unconsolidated Subsidiary Assets (non-operating)</t>
  </si>
  <si>
    <t>assetsfixedunconsolidated</t>
  </si>
  <si>
    <t>Reported Restructuring Expenses, Net</t>
  </si>
  <si>
    <t>expensesrestructuring</t>
  </si>
  <si>
    <t>Reported Deferred Compensation Assets</t>
  </si>
  <si>
    <t>assetsfixeddeferredcompensation</t>
  </si>
  <si>
    <t>Reported Other Non-Recurring Expense/(Income), Net</t>
  </si>
  <si>
    <t>expensesnonrecurringother</t>
  </si>
  <si>
    <t>Discontinued Operations (Non-Operating)</t>
  </si>
  <si>
    <t>Reported Interest Expense/(Income), Net</t>
  </si>
  <si>
    <t>expensesinterest</t>
  </si>
  <si>
    <t>Reported Non-Current Operating Lease Assets</t>
  </si>
  <si>
    <t>assetsfixedleasesoperating</t>
  </si>
  <si>
    <t>Reported Expenses/(Income) from Discontinued Operations, Net</t>
  </si>
  <si>
    <t>expensesdiscontinuedoperations</t>
  </si>
  <si>
    <t>Total Fixed Assets</t>
  </si>
  <si>
    <t>assetsfixed</t>
  </si>
  <si>
    <t>Reported Losses/(Income) from Unconsolidated Subsidiaries, Net</t>
  </si>
  <si>
    <t>expensesnonoperatingsubsidiaryunconsolidated</t>
  </si>
  <si>
    <t>Total Assets (Unadjusted)</t>
  </si>
  <si>
    <t>assetsunadjusted</t>
  </si>
  <si>
    <t>Reported Foreign Currency Expenses, Net</t>
  </si>
  <si>
    <t>expensesforeigncurrency</t>
  </si>
  <si>
    <t>Accounts Payable</t>
  </si>
  <si>
    <t>accountspayable</t>
  </si>
  <si>
    <t>Reported Non-Operating Other Real Estate Owned Expense/(Income), Net</t>
  </si>
  <si>
    <t>expensesoreo</t>
  </si>
  <si>
    <t xml:space="preserve">Reported Current Deferred Tax Liability </t>
  </si>
  <si>
    <t>nibcldeferredtax</t>
  </si>
  <si>
    <t>Reported Acquisition and Merger Expenses, Net</t>
  </si>
  <si>
    <t>expensesacquisitionmerger</t>
  </si>
  <si>
    <t>Accrued Restructuring Charges</t>
  </si>
  <si>
    <t>nibclrestructuring</t>
  </si>
  <si>
    <t>Reported Legal, Regulatory, and Insurance Related Expenses, Net</t>
  </si>
  <si>
    <t>expenseslegalregulatoryinsurance</t>
  </si>
  <si>
    <t>Current Deferred Revenue</t>
  </si>
  <si>
    <t>nibclrevenuedeferred</t>
  </si>
  <si>
    <t>Reported Derivate Related Expenses, Net</t>
  </si>
  <si>
    <t>expensesderivative</t>
  </si>
  <si>
    <t>nibclseparateaccounts</t>
  </si>
  <si>
    <t>Reported Other Financing Expenses, Net</t>
  </si>
  <si>
    <t>expensesotherfinancing</t>
  </si>
  <si>
    <t>Other NIBCL or Investment Liabilities</t>
  </si>
  <si>
    <t>nibclother</t>
  </si>
  <si>
    <t>Reported Company Defined Other Non-Operating Expenses, Net</t>
  </si>
  <si>
    <t>expensesnonoperatingcompanydefinedother</t>
  </si>
  <si>
    <t>Reported Current Deferred Compensation Liability</t>
  </si>
  <si>
    <t>nibcldeferredcompensation</t>
  </si>
  <si>
    <t>Reported Other Non-Operating Expense/(Income), Net</t>
  </si>
  <si>
    <t>expensesnonoperatingother</t>
  </si>
  <si>
    <t>nibcldiscontinuedoperations</t>
  </si>
  <si>
    <t>Total Expenses</t>
  </si>
  <si>
    <t>Investment Liabilities - Debt</t>
  </si>
  <si>
    <t>debtfinancial</t>
  </si>
  <si>
    <t>Pre-Tax Income</t>
  </si>
  <si>
    <t>Short-Term Debt</t>
  </si>
  <si>
    <t>debtshortterm</t>
  </si>
  <si>
    <t>Income Tax Provision</t>
  </si>
  <si>
    <t>Reported Current Operating Lease Liabilities</t>
  </si>
  <si>
    <t>nibclleasesoperating</t>
  </si>
  <si>
    <t>Effective Income Tax Rate</t>
  </si>
  <si>
    <t>Total Current/Investment Liabilities</t>
  </si>
  <si>
    <t>liabilitiescurrent</t>
  </si>
  <si>
    <t>Reported Minority Interest Expense, Net</t>
  </si>
  <si>
    <t>Long-Term Debt</t>
  </si>
  <si>
    <t>liabilitiesnoncurrentdebt</t>
  </si>
  <si>
    <t>Reported Preferred Dividends, Net</t>
  </si>
  <si>
    <t>dividendspreferred</t>
  </si>
  <si>
    <t>Reported Deferred Tax Liability</t>
  </si>
  <si>
    <t>liabilitiesnoncurrentdeferredtax</t>
  </si>
  <si>
    <t>Reported Dividends on Redeemable Preferred Stock, Net</t>
  </si>
  <si>
    <t>dividendspreferredredeemablemandatorily</t>
  </si>
  <si>
    <t>Reported Deferred Compensation Liability</t>
  </si>
  <si>
    <t>liabilitiesnoncurrentdeferredcompensation</t>
  </si>
  <si>
    <t>Reported Loss/(Gain) from Discontinued Operations After-Tax, Net</t>
  </si>
  <si>
    <t>chargeaftertaxdiscontinuedoperations</t>
  </si>
  <si>
    <t>liabilitiesnoncurrentoperatingdiscontinuedoperations</t>
  </si>
  <si>
    <t>Reported Other After-Tax Charges, Net</t>
  </si>
  <si>
    <t>chargesaftertaxother</t>
  </si>
  <si>
    <t>Other Long-term Liabilities</t>
  </si>
  <si>
    <t>liabilitiesnoncurrentother</t>
  </si>
  <si>
    <t>GAAP Net Income</t>
  </si>
  <si>
    <t>incomenet</t>
  </si>
  <si>
    <t>Minority Interests</t>
  </si>
  <si>
    <t>interestminority</t>
  </si>
  <si>
    <t>Annual Change in Net Income</t>
  </si>
  <si>
    <t>incomenetyoydelta</t>
  </si>
  <si>
    <t>liabilitiesnoncurrentdiscontinuedoperations</t>
  </si>
  <si>
    <t>Basic Weighted Avg. Shares (Not Split-Adjusted)</t>
  </si>
  <si>
    <t>Reported Non-Current Operating Lease Liabilities</t>
  </si>
  <si>
    <t>Diluted Weighted Avg. Shares (Not Split-Adjusted)</t>
  </si>
  <si>
    <t>Total Long-term Liabilities and Minority Interest</t>
  </si>
  <si>
    <t>liabilitiesnoncurrentandinterestminoritytotal</t>
  </si>
  <si>
    <t>Basic EPS (Not Split-Adjusted)</t>
  </si>
  <si>
    <t>incomenetperwabso</t>
  </si>
  <si>
    <t>Common Stock</t>
  </si>
  <si>
    <t>stockcommon</t>
  </si>
  <si>
    <t>Diluted GAAP EPS (Not Split-Adjusted)</t>
  </si>
  <si>
    <t>incomenetperwadso</t>
  </si>
  <si>
    <t>Retained Earnings</t>
  </si>
  <si>
    <t>earningsretained</t>
  </si>
  <si>
    <t>Weighted Average Diluted Shares Outstanding (Split Adjusted)</t>
  </si>
  <si>
    <t>wadsosplitadjusted</t>
  </si>
  <si>
    <t>Treasury Stock</t>
  </si>
  <si>
    <t>stocktreasury</t>
  </si>
  <si>
    <t>Diluted GAAP EPS</t>
  </si>
  <si>
    <t>incomenetperwadsosplitadjusted</t>
  </si>
  <si>
    <t>Preferred Capital</t>
  </si>
  <si>
    <t>stockpreferred</t>
  </si>
  <si>
    <t>Diluted GAAP EPS Annual Growth</t>
  </si>
  <si>
    <t>incomenetperwadsosplitadjustedyoydeltapercent</t>
  </si>
  <si>
    <t>Accumulated OCI (Other Comprehensive Income)</t>
  </si>
  <si>
    <t>Basic Weighted Avg. Shares</t>
  </si>
  <si>
    <t>wabsosplitadjusted</t>
  </si>
  <si>
    <t>Deferred Compensation Shareholders' Equity</t>
  </si>
  <si>
    <t>equityshareholderotherdeferredcompensation</t>
  </si>
  <si>
    <t>Basic EPS</t>
  </si>
  <si>
    <t>incomenetperwabsosplitadjusted</t>
  </si>
  <si>
    <t>Other Shareholders' Equity</t>
  </si>
  <si>
    <t>equityshareholderotherequity</t>
  </si>
  <si>
    <t>Basic EPS Annual Growth</t>
  </si>
  <si>
    <t>incomenetperwabsosplitadjustedyoydeltapercent</t>
  </si>
  <si>
    <t>Mezzanine Shareholders' Equity</t>
  </si>
  <si>
    <t>equityshareholderothermezzanine</t>
  </si>
  <si>
    <t>Total Shareholders' Equity</t>
  </si>
  <si>
    <t>equityshareholder</t>
  </si>
  <si>
    <t>Depreciation and Amortization (Cash Flow)</t>
  </si>
  <si>
    <t>depreciationandamortizationcashflow</t>
  </si>
  <si>
    <t>Total Liabilities and Shareholders' Equity</t>
  </si>
  <si>
    <t>Goodwill Amortization (Cash Flow Statement)</t>
  </si>
  <si>
    <t>goodwillamortizationcashflow</t>
  </si>
  <si>
    <t>Accounts Receivable Turnover</t>
  </si>
  <si>
    <t>accountsreceivableturnover</t>
  </si>
  <si>
    <t>Capital Expenditures</t>
  </si>
  <si>
    <t>daysrevenueoutstanding</t>
  </si>
  <si>
    <t>Acquisition Capital Expenditures</t>
  </si>
  <si>
    <t>capexacquisition</t>
  </si>
  <si>
    <t>Inventory Turnover</t>
  </si>
  <si>
    <t>inventoryturnover</t>
  </si>
  <si>
    <t>Cash Paid for Share Repurchases</t>
  </si>
  <si>
    <t>cashflowsharerepurchase</t>
  </si>
  <si>
    <t>Days in Inventory</t>
  </si>
  <si>
    <t>daysininventory</t>
  </si>
  <si>
    <t>Cash Flow from Operations</t>
  </si>
  <si>
    <t>cashflowoperating</t>
  </si>
  <si>
    <t>accountspayableturnover</t>
  </si>
  <si>
    <t>Cash Flow from Investing Activities</t>
  </si>
  <si>
    <t>cashflowinvesting</t>
  </si>
  <si>
    <t>Days in Accounts Payable</t>
  </si>
  <si>
    <t>daysinaccountspayable</t>
  </si>
  <si>
    <t>Cash Flow from Financing Activities</t>
  </si>
  <si>
    <t>cashflowfinancing</t>
  </si>
  <si>
    <t>Deferred Revenue Turnover</t>
  </si>
  <si>
    <t>nibclrevenuedeferredturnover</t>
  </si>
  <si>
    <t>Days in Deferred Revenue</t>
  </si>
  <si>
    <t>daysinrevenuedeferred</t>
  </si>
  <si>
    <t>Cash Conversion Cycle</t>
  </si>
  <si>
    <t>cashconversioncycle</t>
  </si>
  <si>
    <t>Column1</t>
  </si>
  <si>
    <t>Column2</t>
  </si>
  <si>
    <t>Column3</t>
  </si>
  <si>
    <t>Fixed Assets</t>
  </si>
  <si>
    <t xml:space="preserve">
Current/Investment Liabilities</t>
  </si>
  <si>
    <t xml:space="preserve">
Long-Term Liabilities and Shareholders' Equity
</t>
  </si>
  <si>
    <t>Current Assets</t>
  </si>
  <si>
    <t>Gross Margin</t>
  </si>
  <si>
    <t>Losses from Discontinued Operations (Operating)</t>
  </si>
  <si>
    <t>Stock Price (Closing)</t>
  </si>
  <si>
    <t>Balance Sheet - Liabilities and Shareholders' Equity</t>
  </si>
  <si>
    <t>Current/Investment Liabilities</t>
  </si>
  <si>
    <t>Long-Term Liabilities and Shareholders' Equity</t>
  </si>
  <si>
    <t>Balance Sheet - Assets</t>
  </si>
  <si>
    <t>Cash Flow Statement</t>
  </si>
  <si>
    <t>Y</t>
  </si>
  <si>
    <t>Market Cap (end of period)</t>
  </si>
  <si>
    <t>Net Debt</t>
  </si>
  <si>
    <t>Minorities</t>
  </si>
  <si>
    <t>Cash</t>
  </si>
  <si>
    <t>EV/EBIT</t>
  </si>
  <si>
    <t>Notes</t>
  </si>
  <si>
    <t>Dupont Analysis</t>
  </si>
  <si>
    <t>EBT</t>
  </si>
  <si>
    <t>Tax Burden (Net Income / EBT)</t>
  </si>
  <si>
    <t>Interest Burden (EBT/EBIT)</t>
  </si>
  <si>
    <t>EBIT Margin (EBIT/Revenue)</t>
  </si>
  <si>
    <t>Asset Turnover (Revenue /average total assets)</t>
  </si>
  <si>
    <t>Leverage (average total assets/average equity)</t>
  </si>
  <si>
    <t>Ticker</t>
  </si>
  <si>
    <t>Valuation</t>
  </si>
  <si>
    <t>EV/EBITDA</t>
  </si>
  <si>
    <t>P/E</t>
  </si>
  <si>
    <t>Margin Analysis</t>
  </si>
  <si>
    <t>Operating Margin</t>
  </si>
  <si>
    <t>Net Margin</t>
  </si>
  <si>
    <t>Per Share Data</t>
  </si>
  <si>
    <t>Net Working Capital (Current Assets - Current Liabilities)</t>
  </si>
  <si>
    <t>IEX Cloud Token</t>
  </si>
  <si>
    <t>Growth Analysis</t>
  </si>
  <si>
    <t>Return on Equity (ROE)</t>
  </si>
  <si>
    <t>About this spreadsheet</t>
  </si>
  <si>
    <t>Links</t>
  </si>
  <si>
    <t>Overview &amp; Instructions</t>
  </si>
  <si>
    <t>On settings, allow company lookup</t>
  </si>
  <si>
    <t>Can we get fundamaentals end point to deliver LTM financials in last period as well as annuals</t>
  </si>
  <si>
    <t>macro to automatically apply ticker and cloud credentials to the data query</t>
  </si>
  <si>
    <t>creative commons license?</t>
  </si>
  <si>
    <t>data-migration-updates-to-financial-statements</t>
  </si>
  <si>
    <t>Accounts payable, a current liability on the balance sheet.</t>
  </si>
  <si>
    <t>The accounts payable turnover ratio shows how many times a company pays off its accounts payable during the period.</t>
  </si>
  <si>
    <t>Accounts receivable, a current asset on the balance sheet.</t>
  </si>
  <si>
    <t>The accounts receivable turnover ratio shows how quickly the company is paid for the credit it extends to customers.</t>
  </si>
  <si>
    <t>Total Assets (unadjusted) as reported on the balance sheet.</t>
  </si>
  <si>
    <t>Total Current/Investment Assets (unadjusted) as reported on the balance sheet.</t>
  </si>
  <si>
    <t>Cash and cash equivalents, a current asset on the balance sheet. This data point collects cash for non-financial companies.</t>
  </si>
  <si>
    <t>Restricted cash, a current asset on the balance sheet.</t>
  </si>
  <si>
    <t>Current deferred compensation assets, a current asset on the balance sheet.</t>
  </si>
  <si>
    <t>Current deferred tax assets, a current asset on the balance sheet.</t>
  </si>
  <si>
    <t>Investment securities, a current asset on the balance sheet for financial companies or financial segments.</t>
  </si>
  <si>
    <t>Current operating lease assets, a current asset on the balance sheet.</t>
  </si>
  <si>
    <t>Net loans, a current asset on the balance sheet for finanial companies or financial segments</t>
  </si>
  <si>
    <t>Other current assets on the balance sheet.</t>
  </si>
  <si>
    <t>Total fixed assets from the balance sheet.</t>
  </si>
  <si>
    <t>Fixed deferred compensation assets, a fixed asset on the balance sheet.</t>
  </si>
  <si>
    <t>Fixed deferred tax assets, a fixed asset on the balance sheet.</t>
  </si>
  <si>
    <t>Fixed operating lease assets, a fixed asset on the balance sheet.</t>
  </si>
  <si>
    <t>Investment in unconsolidated subsidiaries that are part of operations. A fixed asset on the balance sheet.</t>
  </si>
  <si>
    <t>Other Real Estate Owned (OREO) assets, a fixed asset on the balance sheet for financial companies or segments.</t>
  </si>
  <si>
    <t>Other fixed assets on the balance sheet.</t>
  </si>
  <si>
    <t>Investment in unconsolidated subsidiaries that are not part of operations. A fixed asset on the balance sheet.</t>
  </si>
  <si>
    <t>Capital expenditures, from cash flows from investing section of the cash flow statement.</t>
  </si>
  <si>
    <t>Acquisition expenditures, from cash flows from investing section of the cash flow statement.</t>
  </si>
  <si>
    <t>The cash conversion cycle show the number of days it takes for a company to convert its inventory and other resources into revenue.</t>
  </si>
  <si>
    <t>Total cash flow from financing activities.</t>
  </si>
  <si>
    <t>Total cash flow from investing activities.</t>
  </si>
  <si>
    <t>Total cash flow from operations.</t>
  </si>
  <si>
    <t>Total cash flow from share repurchases.</t>
  </si>
  <si>
    <t>Long-term investments, a long-term asset on the balance sheet.</t>
  </si>
  <si>
    <t>Cash and cash equivalents, a current asset on the balance sheet. This data point collects cash for financial companies or segments.</t>
  </si>
  <si>
    <t>Restricted cash, a long-term asset on the balance sheet.</t>
  </si>
  <si>
    <t>HBS &amp; MIT Sloan Data. Reported Other After-tax Charges, net are other non-operating expenses and income that appear directly on the income statement after tax.</t>
  </si>
  <si>
    <t>HBS &amp; MIT Sloan Data. Reported Loss/(Gain) from Discontinued Operations, net is the after-tax expense from assets or subsidiaries that are held for sale.</t>
  </si>
  <si>
    <t>Credit loss provision, an expense on the income statement recognized by financial companies or segments.</t>
  </si>
  <si>
    <t>Days in accounts payable shows the average number of days it takes a company to pay its bills.</t>
  </si>
  <si>
    <t>The days in inventory ratio shows how quickly, in days, a company is converting its inventory into revenue.</t>
  </si>
  <si>
    <t>Days in deferred revenue shows the average number of days it takes a company to collect on deferred revenue.</t>
  </si>
  <si>
    <t>Short-term and long-term debt for financial companies or segments.</t>
  </si>
  <si>
    <t>Short-term debt, a current liability on the balance sheet.</t>
  </si>
  <si>
    <t>Depreciation and amortization from cash flows from operations section of the cash flow statement.</t>
  </si>
  <si>
    <t>Reported Preferred Stock Dividends, net are the dividends that must be paid out to preferred equity owners before common stock owners can receive any money.</t>
  </si>
  <si>
    <t>Reported Redeemable Preferred Stock Dividends, net are the dividends that must be paid out to redeemable preferred equity owners before common stock owners can receive any money.</t>
  </si>
  <si>
    <t>Retained earnings, from the shareholders’ equity section of the balance sheet.</t>
  </si>
  <si>
    <t>Total shareholders’ equity, from the shareholders’ equity section of the balance sheet.</t>
  </si>
  <si>
    <t>Other shareholders’ equity, from the shareholders’ equity section of the balance sheet.</t>
  </si>
  <si>
    <t>Deferred compensation shareholder’s equity, from the shareholders’ equity section of the balance sheet.</t>
  </si>
  <si>
    <t>Mezzanine shareholders’ equity, from the shareholders’ equity section of the balance sheet.</t>
  </si>
  <si>
    <t>HBS &amp; MIT Sloan Data. Reported Acquisition and Merger Expenses, net are the net of non-operating expenses related to an acquisition or merger that appear directly on the income statement.</t>
  </si>
  <si>
    <t>Other compensation, an expense on the income statement.</t>
  </si>
  <si>
    <t>Depreciation and amortization, an expense on the income statement.</t>
  </si>
  <si>
    <t>HBS &amp; MIT Sloan Data. Reported Derivative Related Expenses, net are the net of non-operating expenses related to derivatives that appear directly on the income statement.</t>
  </si>
  <si>
    <t>HBS &amp; MIT Sloan Data. Reported Expenses/(Income) from Discontinued Operations, net are non-operating expenses associated with businesses or subsidiaries that are held for sale. These expenses appear directly on the income statement.</t>
  </si>
  <si>
    <t>Energy expense, an expense on the income statement for energy companies.</t>
  </si>
  <si>
    <t>HBS &amp; MIT Sloan Data. Reported Foreign Currency Loss/(Gain), net is a non-operating expense related to the changes in the value of foreign currency that appears directly on the income statement.</t>
  </si>
  <si>
    <t>Reported Interest Expense/(Income), net is a non-operating expense related to the cost of financing that appears directly on the income statement.</t>
  </si>
  <si>
    <t>Interest expense, an exense on the income statement for financial companies or financial segments.</t>
  </si>
  <si>
    <t>HBS &amp; MIT Sloan Data. Reported Legal, Regulatory, and Insurance Related Expenses, net are the net of non-operating expenses related to legal, regulatory, and insurance costs that appear directly on the income statement.</t>
  </si>
  <si>
    <t>HBS &amp; MIT Sloan Data. Reported Company Defined Other Non-Operating Expenses, net are the net of non-operating expenses for costs specifically defined as other that appear directly on the income statement.</t>
  </si>
  <si>
    <t>HBS &amp; MIT Sloan Data. Reported Other Non-Operating Expenses/(Income), net are non-operating expenses for other costs that appear directly on the income statement.</t>
  </si>
  <si>
    <t>Reported Losses/(Income) from Unconsolidated Subsidiaries, net are non-operating expenses associated with subsidiaries that are not consolidated within the parent company’s financial statements. These expenses appear directly on the income statement.</t>
  </si>
  <si>
    <t>HBS &amp; MIT Sloan Data. Reported Other Non-Recurring Expenses/(Income), net are non-operating expenses for other costs that appear directly on the income statement. These costs should not recur in the future.</t>
  </si>
  <si>
    <t>Total operating expenses disclosed on the income statement.</t>
  </si>
  <si>
    <t>Other operating expense, an expense on the income statement.</t>
  </si>
  <si>
    <t>Losses from unconsolidated subsidiaries, treated as operating if the corresponding asset is operating.</t>
  </si>
  <si>
    <t>HBS &amp; MIT Sloan Data. Reported Non-Operating Other Real Estate Owned Expenses/(Income), net are non-operating expenses associated with foreclosed assets owned or controlled by a bank. These expenses appear directly on the income statement.</t>
  </si>
  <si>
    <t>HBS &amp; MIT Sloan Data. Reported Other Financing Expenses, net are the net of non-operating expenses related to the cost of financing that appear directly on the income statement.</t>
  </si>
  <si>
    <t>HBS &amp; MIT Sloan Data. Reported Restructuring Expenses, net are the net of non-operating expenses related to the reorganization of a business that appear directly on the income statement.</t>
  </si>
  <si>
    <t>Selling, general, and administrative, an expense on the income statement.</t>
  </si>
  <si>
    <t>Stock compensation, an expense on the income statement.</t>
  </si>
  <si>
    <t>HBS &amp; MIT Sloan Data. Reported Write-Downs, net are non-operating expenses related to the impairment in value of a company’s assets. These expenses appear directly on the income statement.</t>
  </si>
  <si>
    <t>Goodwill amortization, from cash flows from operations section of the cash flow statement, collected prior to 2001 when companies where permitted to amortize goodwill.</t>
  </si>
  <si>
    <t>Goodwill amortization, a data point on the income statement collected prior to 2001 when companies where permitted to amortize goodwill.</t>
  </si>
  <si>
    <t>Goodwill and intangible assets, net, a long-term asset reported on the balance sheet.</t>
  </si>
  <si>
    <t>Goodwill, net, a long-term asset reported on the balance sheet.</t>
  </si>
  <si>
    <t>Basic earnings per share (not split-adjusted).</t>
  </si>
  <si>
    <t>Basic earnings per share.</t>
  </si>
  <si>
    <t>Percent growth in basic earnings per share year over year.</t>
  </si>
  <si>
    <t>Diluted earnings per share (not split-adjusted).</t>
  </si>
  <si>
    <t>Diluted earnings per share.</t>
  </si>
  <si>
    <t>Percent growth in diluted earnings per share year over year.</t>
  </si>
  <si>
    <t>Pre-tax income.</t>
  </si>
  <si>
    <t>The change in Net Income year over year.</t>
  </si>
  <si>
    <t>Sum of a company’s operating income derived outside of revenues.</t>
  </si>
  <si>
    <t>Income from discontinued operations, an item on the income statement for REITs.</t>
  </si>
  <si>
    <t>Other operating income.</t>
  </si>
  <si>
    <t>Income from unconsolidated subsidiaries, an operating item on the income statement.</t>
  </si>
  <si>
    <t>Income from unconsolidated subsidiaries after-tax, an operating item on the income statement.</t>
  </si>
  <si>
    <t>A line item on a company’s income statement representing its estimated tax liability or benefit for the current year.</t>
  </si>
  <si>
    <t>The reported, effective income tax rate.</t>
  </si>
  <si>
    <t>Minority interests, a component of shareholder’s equity representing a significant but non-controlling ownership of a company’s voting shares by either an investor or another company.</t>
  </si>
  <si>
    <t>Inventory, a current asset on the balance sheet.</t>
  </si>
  <si>
    <t>Inventory turnover shows how many times a company has sold and replaced inventory during the period.</t>
  </si>
  <si>
    <t>Total liabilities and shareholders’ equity.</t>
  </si>
  <si>
    <t>Total current/investment liabilities.</t>
  </si>
  <si>
    <t>Long-term debt, a long-term, liability on the balance sheet.</t>
  </si>
  <si>
    <t>Long-term deferred compensation liability, a long-term liability on the balance sheet.</t>
  </si>
  <si>
    <t>Long-term deferred tax liabilities, a long-term liability on the balance sheet.</t>
  </si>
  <si>
    <t>Long-term discontinued operations, a long-term liability on the balance sheet.</t>
  </si>
  <si>
    <t>Long-term operating lease liability, a long-term liability on the balance sheet.</t>
  </si>
  <si>
    <t>Long-term discontinued operations, a long-term liability on the balance sheet for REITs.</t>
  </si>
  <si>
    <t>Other long-term liabilities, a long-term liability on the balance sheet.</t>
  </si>
  <si>
    <t>Current deferred compensation liability, a current liability on the balance sheet.</t>
  </si>
  <si>
    <t>Current deferred tax liability, a current liability on the balance sheet.</t>
  </si>
  <si>
    <t>Current liability for discontinued operations, a current liability on the balance sheet.</t>
  </si>
  <si>
    <t>Current operating lease liabilities, a current liability on the balance sheet.</t>
  </si>
  <si>
    <t>Other non-interest bearing current liabilities or investment liabilities, a current liability on the balance sheet.</t>
  </si>
  <si>
    <t>Current liability for restructuring charges, a current liability on the balance sheet.</t>
  </si>
  <si>
    <t>Current deferred revenue, a current liability on the balance sheet.</t>
  </si>
  <si>
    <t>Deferred revenue turnover</t>
  </si>
  <si>
    <t>Separate accounts, a current liability on the balance sheet.</t>
  </si>
  <si>
    <t>Accumulated Other Comprehensive Income, from the shareholders’ equity section of the balance sheet.</t>
  </si>
  <si>
    <t>Property, plant, and equipment, net, a fixed asset on the balance sheet.</t>
  </si>
  <si>
    <t>Research and development expense, an expense on the income statement.</t>
  </si>
  <si>
    <t>Total revenue as reported on the income statement.</t>
  </si>
  <si>
    <t>Cost of sales, an expense on the income statement.</t>
  </si>
  <si>
    <t>Interest income for financials, an item on the income statement.</t>
  </si>
  <si>
    <t>Revenue, an item on the income statement.</t>
  </si>
  <si>
    <t>Unconsolidated subsidiary revenue, an item on the income statement.</t>
  </si>
  <si>
    <t>Total cost of sales, an expense on the income statement.</t>
  </si>
  <si>
    <t>Common stock, from the shareholders’ equity section of the balance sheet.</t>
  </si>
  <si>
    <t>Total preferred stock from the Shareholder’s Equity section of the balance sheet and the Mezzanine section of the balance sheet.</t>
  </si>
  <si>
    <t>Treasury stock, from the shareholders’ equity section of the balance sheet.</t>
  </si>
  <si>
    <t>Basic weighted average shares (not split-adjusted).</t>
  </si>
  <si>
    <t>Weighted average basic shares oustanding as reported on the income statment, adjusted for stock splits.</t>
  </si>
  <si>
    <t>Diluted weighted average shares (not split-adjusted).</t>
  </si>
  <si>
    <t>Weighted average diluted shares oustanding as reported on the income statment, adjusted for stock splits.</t>
  </si>
  <si>
    <t xml:space="preserve">Reported Minority Interest Expenses, net are the net of non-operating expenses associated with significant but non-controlling ownership of a company’s voting shares. </t>
  </si>
  <si>
    <t>Basic Weighted Avg shares x period end price</t>
  </si>
  <si>
    <t>Short and long term debt on the balance sheet</t>
  </si>
  <si>
    <t>Market Cap plus Net Debt plus Minorities Less Cash</t>
  </si>
  <si>
    <t>Current Asset - Current Liabilities</t>
  </si>
  <si>
    <t>Earnings before tax and interest</t>
  </si>
  <si>
    <t>Earnings before tax, interest, depreciation and amortization</t>
  </si>
  <si>
    <t>Price Earnings Ratio</t>
  </si>
  <si>
    <t>Gross Profit / Net Revenue</t>
  </si>
  <si>
    <t>EBIT / Net Revenue</t>
  </si>
  <si>
    <t>Net Profit / Revenue</t>
  </si>
  <si>
    <t>Revenue growth</t>
  </si>
  <si>
    <t>EBIT growth</t>
  </si>
  <si>
    <t>Net Profit growth</t>
  </si>
  <si>
    <t>Net Working Capital growth</t>
  </si>
  <si>
    <t>Source data provided by New Constructs, LLC © All rights reserved.  Delivered by iexcloud.io</t>
  </si>
  <si>
    <t>Calculated Fields and Ratios</t>
  </si>
  <si>
    <t>Scale in Millions</t>
  </si>
  <si>
    <t>End of period share price</t>
  </si>
  <si>
    <t>Gross Margin %</t>
  </si>
  <si>
    <t>Free Cash Flow</t>
  </si>
  <si>
    <t>Net profit + D&amp;A (Cashflow) + Capex + Change in net working capital</t>
  </si>
  <si>
    <t>Valuation Ratios</t>
  </si>
  <si>
    <t>Free Cashflow / Market Cap</t>
  </si>
  <si>
    <t>Free Cashflow Yield (%)</t>
  </si>
  <si>
    <t>Valuation Inputs</t>
  </si>
  <si>
    <t>EV/Sales</t>
  </si>
  <si>
    <t>Enterprise Value (EV)</t>
  </si>
  <si>
    <t>EV/Revenues</t>
  </si>
  <si>
    <t>Leverage Ratios</t>
  </si>
  <si>
    <t>Equity Multiplier (average)</t>
  </si>
  <si>
    <t>Debt to Equity (average)</t>
  </si>
  <si>
    <t>Average Total Liabilities / Average Total Shareholders' Equity</t>
  </si>
  <si>
    <t>Debt / EBITDA</t>
  </si>
  <si>
    <t>Total Debt to Capitalization (average)</t>
  </si>
  <si>
    <t>EBIT / Int Expense</t>
  </si>
  <si>
    <t>Per share data sourced from New Constructs</t>
  </si>
  <si>
    <t>Inputs used for valuation ratios</t>
  </si>
  <si>
    <t>Measures of how cheap or expensive the stock was during the accounting period</t>
  </si>
  <si>
    <t>Operating Cash Flow Margin</t>
  </si>
  <si>
    <t>Operating cashflow / Revenue</t>
  </si>
  <si>
    <t>Measures of profitability</t>
  </si>
  <si>
    <t>Free Cashflow Margin</t>
  </si>
  <si>
    <t>Free Cashflow / Revenue</t>
  </si>
  <si>
    <t>Stock Chart</t>
  </si>
  <si>
    <t>Assets</t>
  </si>
  <si>
    <t>Liabs &amp; Equity</t>
  </si>
  <si>
    <t>Growth and Profitability</t>
  </si>
  <si>
    <t>Balance Sheet Makeup</t>
  </si>
  <si>
    <t>Cashflow Trends</t>
  </si>
  <si>
    <t>Charts Tab</t>
  </si>
  <si>
    <t>It is supplied free of charge. Should you make improvements to this spreadsheet, feel free to contribute it back to the excel community at iexcloud.  Here -------------------------------------------------&gt;</t>
  </si>
  <si>
    <t>https://iexcloud.io/cloud-login#/register</t>
  </si>
  <si>
    <t>In order to update this spreadsheet with different companies, you will need to sign up for a paid IEX Cloud account by signing up here: ---------------------------------------------------------------------------------&gt;</t>
  </si>
  <si>
    <t>This spreadhseet is provided "as is" and may contain errors or differences to some calculation conventions used in financial analysis.  Do let us know if you have any questions, or corrections.</t>
  </si>
  <si>
    <t>Additional information about our Financial Statements endpoints can be found here: --------------&gt;</t>
  </si>
  <si>
    <t>This spreadsheet is formatted for Industrial (ie non-financial/bank) companies.</t>
  </si>
  <si>
    <t>Sign up for an iexcloud account.</t>
  </si>
  <si>
    <t>The Financial Statements and Ratios, and Charts tab will be updated for the selected company.</t>
  </si>
  <si>
    <t>If you would like to take out blank lines, select Y in the filter in column J.</t>
  </si>
  <si>
    <t>For convenience, your remaining message quota for this month is shown in the Settings tab.</t>
  </si>
  <si>
    <t>Improve logic to get the full name, and the chart info</t>
  </si>
  <si>
    <t>Total Debt / Shareholder's equity</t>
  </si>
  <si>
    <t>EBIT / Interest Expense</t>
  </si>
  <si>
    <t>Measure of how indebted the company is, and its ability to service that debt</t>
  </si>
  <si>
    <t>Dividend Yield (%)</t>
  </si>
  <si>
    <t>Dividend paid in period</t>
  </si>
  <si>
    <t>Add dividend payments / amounts</t>
  </si>
  <si>
    <t>Add disclaimer, and link to iexcloud terms</t>
  </si>
  <si>
    <t>Settings</t>
  </si>
  <si>
    <t>For convenience print ranges have been set for you (for US page sizes).</t>
  </si>
  <si>
    <t>Select "y" to remove blanks</t>
  </si>
  <si>
    <t>Price Date</t>
  </si>
  <si>
    <t>&lt; ----------- Enter Ticker here</t>
  </si>
  <si>
    <t>done</t>
  </si>
  <si>
    <t>Go to the settings tab:</t>
  </si>
  <si>
    <t xml:space="preserve"> Enter your iexcloud token into the settings TAB. Select the Ticker of the required company.  </t>
  </si>
  <si>
    <t>Company</t>
  </si>
  <si>
    <t>Prices Loaded</t>
  </si>
  <si>
    <t>Financials Loaded</t>
  </si>
  <si>
    <t>Table of Contents (links below)</t>
  </si>
  <si>
    <t>Total (other) Operating Income</t>
  </si>
  <si>
    <t>Gross Margin (%)</t>
  </si>
  <si>
    <t>GAAP net income.  Attributable to shareholders.</t>
  </si>
  <si>
    <t>Setup community email addresses</t>
  </si>
  <si>
    <t>Banks version</t>
  </si>
  <si>
    <t>Include forward estimates and EBITD for valuation</t>
  </si>
  <si>
    <t>amount</t>
  </si>
  <si>
    <t>currency</t>
  </si>
  <si>
    <t>USD</t>
  </si>
  <si>
    <t>description</t>
  </si>
  <si>
    <t>flag</t>
  </si>
  <si>
    <t>frequency</t>
  </si>
  <si>
    <t>quarterly</t>
  </si>
  <si>
    <t>paymentDate</t>
  </si>
  <si>
    <t>Dividends Loaded</t>
  </si>
  <si>
    <t>Dividend per share</t>
  </si>
  <si>
    <t>Source data provided by New Constructs, LLC © All rights reserved.  Dividend data provided by EDI.  Delivered by iexcloud.io</t>
  </si>
  <si>
    <t>Secret Token</t>
  </si>
  <si>
    <t>Annual Dividend payment / Price (based on calendar year end)</t>
  </si>
  <si>
    <t>ttm</t>
  </si>
  <si>
    <t>Feel free to share this file with friends and colleagues (remembering to remove your IEX Cloud credentials)</t>
  </si>
  <si>
    <t>Should you publish your analysis,  please source the data as follows:  “Underlying data provided by New Constructs, LLC © All rights reserved.  iexcloud.io"</t>
  </si>
  <si>
    <t>Token</t>
  </si>
  <si>
    <t>Secret_Token</t>
  </si>
  <si>
    <t>Source</t>
  </si>
  <si>
    <t>Period_type</t>
  </si>
  <si>
    <t>No_of_periods</t>
  </si>
  <si>
    <t>Base_Url</t>
  </si>
  <si>
    <t>Full_URL</t>
  </si>
  <si>
    <t>fundamentals</t>
  </si>
  <si>
    <t>https://cloud.iexapis.com/stable/time-series/</t>
  </si>
  <si>
    <t>Your token'</t>
  </si>
  <si>
    <t>any US Listed Ticker</t>
  </si>
  <si>
    <t>Turn on Cloud Cache = TRUE</t>
  </si>
  <si>
    <t>The iexcloud base URL</t>
  </si>
  <si>
    <t>The URL used by power query</t>
  </si>
  <si>
    <t>5y</t>
  </si>
  <si>
    <t>reportDate</t>
  </si>
  <si>
    <t>2q or 5y</t>
  </si>
  <si>
    <t>from</t>
  </si>
  <si>
    <t>to</t>
  </si>
  <si>
    <t>historical_prices</t>
  </si>
  <si>
    <t>Price</t>
  </si>
  <si>
    <t>Volume (m)</t>
  </si>
  <si>
    <t>Period</t>
  </si>
  <si>
    <t>Type</t>
  </si>
  <si>
    <t>y</t>
  </si>
  <si>
    <t>Day Count</t>
  </si>
  <si>
    <t>https://cloud.iexapis.com/stable/stock/</t>
  </si>
  <si>
    <t>dividends</t>
  </si>
  <si>
    <t>declaredDate</t>
  </si>
  <si>
    <t>exDate</t>
  </si>
  <si>
    <t>recordDate</t>
  </si>
  <si>
    <t>Year</t>
  </si>
  <si>
    <t>https://cloud.iexapis.com/stable/account/metadata?token=</t>
  </si>
  <si>
    <t>payAsYouGoEnabled</t>
  </si>
  <si>
    <t>effectiveDate</t>
  </si>
  <si>
    <t>subscriptionTermType</t>
  </si>
  <si>
    <t>tierName</t>
  </si>
  <si>
    <t>messageLimit</t>
  </si>
  <si>
    <t>messagesUsed</t>
  </si>
  <si>
    <t>circuitBreaker</t>
  </si>
  <si>
    <t>Use Cloud Cache</t>
  </si>
  <si>
    <t>Base_URL</t>
  </si>
  <si>
    <t>REPORTED_FINANCIALS</t>
  </si>
  <si>
    <t>Report</t>
  </si>
  <si>
    <t>last</t>
  </si>
  <si>
    <t>&amp;last=50</t>
  </si>
  <si>
    <t>Enter the Ticker into the indicated field, and once the correct company is shown, hit the LOAD button.  If you have macros disabled, you can also hit Data/Refresh instead.</t>
  </si>
  <si>
    <t>recommendation-trends</t>
  </si>
  <si>
    <t>"Recommendation"</t>
  </si>
  <si>
    <t>estimates</t>
  </si>
  <si>
    <t>quarter</t>
  </si>
  <si>
    <t>"Estimates_Annual"</t>
  </si>
  <si>
    <t>"Estimates_Quarter"</t>
  </si>
  <si>
    <t>EPS  done.  EBITDA required end point revision</t>
  </si>
  <si>
    <t>NA</t>
  </si>
  <si>
    <t>Quarter</t>
  </si>
  <si>
    <t>Dividend</t>
  </si>
  <si>
    <t>Stock Price and Dividends</t>
  </si>
  <si>
    <t>DayOfWeek</t>
  </si>
  <si>
    <t>Month</t>
  </si>
  <si>
    <t>10-Q</t>
  </si>
  <si>
    <t># of period</t>
  </si>
  <si>
    <t>Filing Period</t>
  </si>
  <si>
    <t>Filing Date</t>
  </si>
  <si>
    <t>Filing Type</t>
  </si>
  <si>
    <t>Fiscal Quarter</t>
  </si>
  <si>
    <t>Fiscal Year</t>
  </si>
  <si>
    <t>YearQuarter</t>
  </si>
  <si>
    <t>Quarter Lookups (for Dividends)</t>
  </si>
  <si>
    <t>Last Quarter</t>
  </si>
  <si>
    <t>Last Q-1</t>
  </si>
  <si>
    <t>Last Q-2</t>
  </si>
  <si>
    <t>Last Q-3</t>
  </si>
  <si>
    <t>Annual Ratings and Estimates Loaded</t>
  </si>
  <si>
    <t>Book Value per share</t>
  </si>
  <si>
    <t>P/BV</t>
  </si>
  <si>
    <t>Price to Book Value Ratio</t>
  </si>
  <si>
    <t>Prices</t>
  </si>
  <si>
    <t>Dividends</t>
  </si>
  <si>
    <t>Fundamentals</t>
  </si>
  <si>
    <t>last=7</t>
  </si>
  <si>
    <t>Ordinary Shares</t>
  </si>
  <si>
    <t>2019Q3</t>
  </si>
  <si>
    <t>2020Q1</t>
  </si>
  <si>
    <t>Average Inventory/COGS *365</t>
  </si>
  <si>
    <t>Accounts Payable Turnover (DPO)</t>
  </si>
  <si>
    <t>Days Revenue Outstanding (DRO or DSO)</t>
  </si>
  <si>
    <t>Days Inventory Outstanding (DIO)</t>
  </si>
  <si>
    <t>creditLimit</t>
  </si>
  <si>
    <t>creditsUsed</t>
  </si>
  <si>
    <t>Period Type</t>
  </si>
  <si>
    <t>If correct company shows here, hit LOAD (below), or Data / Refresh All</t>
  </si>
  <si>
    <t>Return on Equity (ROE), AKA Return on net Assets</t>
  </si>
  <si>
    <t>community@iexcloud.io </t>
  </si>
  <si>
    <t>Account Data</t>
  </si>
  <si>
    <t>As Reported</t>
  </si>
  <si>
    <t>Measure of how well the company is deriving returns from is net assets</t>
  </si>
  <si>
    <t>How long each net input dollar is tied up in the production and sales process before it gets converted into cash received.</t>
  </si>
  <si>
    <t>Hide</t>
  </si>
  <si>
    <t>start</t>
  </si>
  <si>
    <t>&lt; ----------- Enter your secret iexcloud token here (prefix sk) - OPTIONAL!</t>
  </si>
  <si>
    <r>
      <t xml:space="preserve">Select </t>
    </r>
    <r>
      <rPr>
        <b/>
        <sz val="11"/>
        <color theme="1"/>
        <rFont val="Calibri"/>
        <family val="2"/>
        <scheme val="minor"/>
      </rPr>
      <t>ttm</t>
    </r>
    <r>
      <rPr>
        <sz val="11"/>
        <color theme="1"/>
        <rFont val="Calibri"/>
        <family val="2"/>
        <scheme val="minor"/>
      </rPr>
      <t xml:space="preserve"> (trailing twelve months, </t>
    </r>
    <r>
      <rPr>
        <b/>
        <sz val="11"/>
        <color theme="1"/>
        <rFont val="Calibri"/>
        <family val="2"/>
        <scheme val="minor"/>
      </rPr>
      <t>quarterly</t>
    </r>
    <r>
      <rPr>
        <sz val="11"/>
        <color theme="1"/>
        <rFont val="Calibri"/>
        <family val="2"/>
        <scheme val="minor"/>
      </rPr>
      <t xml:space="preserve">, or </t>
    </r>
    <r>
      <rPr>
        <b/>
        <sz val="11"/>
        <color theme="1"/>
        <rFont val="Calibri"/>
        <family val="2"/>
        <scheme val="minor"/>
      </rPr>
      <t>annual</t>
    </r>
    <r>
      <rPr>
        <sz val="11"/>
        <color theme="1"/>
        <rFont val="Calibri"/>
        <family val="2"/>
        <scheme val="minor"/>
      </rPr>
      <t xml:space="preserve"> (12 months)</t>
    </r>
  </si>
  <si>
    <t>7y</t>
  </si>
  <si>
    <t>There are some hidden tabs which is where PowerQuery pulls data into from the IEX Cloud API.</t>
  </si>
  <si>
    <t>Note - if a company does not pay Dividends, the Dividends chart will NOT update from the prior company.</t>
  </si>
  <si>
    <t>Download Latest New Constructs Report</t>
  </si>
  <si>
    <t>copy and paste this link to your browser, may require premium credits</t>
  </si>
  <si>
    <t>Your Account (requires secret token)</t>
  </si>
  <si>
    <t>&lt; ----------- Enter your iexcloud token here.  Go to your consolde to copy your token.</t>
  </si>
  <si>
    <t>4q or 7y</t>
  </si>
  <si>
    <t>3y</t>
  </si>
  <si>
    <t>2y</t>
  </si>
  <si>
    <t>ReccomendedPeriod</t>
  </si>
  <si>
    <t>This is the reccomended # of periods for the period type.  You can over write this, or edit the defaults here--&gt;</t>
  </si>
  <si>
    <t>Price Chart Inputs</t>
  </si>
  <si>
    <t>From</t>
  </si>
  <si>
    <t>To</t>
  </si>
  <si>
    <t>Financial Period Defualts</t>
  </si>
  <si>
    <t>q</t>
  </si>
  <si>
    <t>Your personal Token</t>
  </si>
  <si>
    <t xml:space="preserve">This spreadsheet is the personal work of Tim Baker, and is not an official IEX Cloud product. All data is sourced via the IEX Cloud API. </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</si>
  <si>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</si>
  <si>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can be used to analyse the detailed financial statements of US listed companies. This is the personal work of Tim Baker, and is not an official IEX Cloud product. </t>
  </si>
  <si>
    <t>EBITDA (NC)</t>
  </si>
  <si>
    <t>EBIT (NC)</t>
  </si>
  <si>
    <t>Column4</t>
  </si>
  <si>
    <t>Column5</t>
  </si>
  <si>
    <t>Column6</t>
  </si>
  <si>
    <t>Column7</t>
  </si>
  <si>
    <t>Column8</t>
  </si>
  <si>
    <t>10-K</t>
  </si>
  <si>
    <t>Days in revenue outstanding shows the average number of days it takes a company to collect payment after a sale has been made.</t>
  </si>
  <si>
    <t>2016Q1</t>
  </si>
  <si>
    <t>2016Q2</t>
  </si>
  <si>
    <t>2016Q3</t>
  </si>
  <si>
    <t>2016Q4</t>
  </si>
  <si>
    <t>2017Q1</t>
  </si>
  <si>
    <t>2017Q2</t>
  </si>
  <si>
    <t>2017Q3</t>
  </si>
  <si>
    <t>2017Q4</t>
  </si>
  <si>
    <t>2018Q1</t>
  </si>
  <si>
    <t>2018Q2</t>
  </si>
  <si>
    <t>2018Q3</t>
  </si>
  <si>
    <t>2018Q4</t>
  </si>
  <si>
    <t>2019Q1</t>
  </si>
  <si>
    <t>2019Q2</t>
  </si>
  <si>
    <t>2019Q4</t>
  </si>
  <si>
    <t>2020Q2</t>
  </si>
  <si>
    <t>2020Q3</t>
  </si>
  <si>
    <t>2020Q4</t>
  </si>
  <si>
    <t>2021Q1</t>
  </si>
  <si>
    <t>Change in CF</t>
  </si>
  <si>
    <t>2019-12-31</t>
  </si>
  <si>
    <t>2020-12-31</t>
  </si>
  <si>
    <t>2018-12-31</t>
  </si>
  <si>
    <t>IBM</t>
  </si>
  <si>
    <t>2021-02-24</t>
  </si>
  <si>
    <t>0000051143</t>
  </si>
  <si>
    <t>BBG000BLNNH6</t>
  </si>
  <si>
    <t>2019-02-26</t>
  </si>
  <si>
    <t>2020-02-25</t>
  </si>
  <si>
    <t>2021-02-23</t>
  </si>
  <si>
    <t>2015-02-24</t>
  </si>
  <si>
    <t>2016-02-23</t>
  </si>
  <si>
    <t>2017-02-28</t>
  </si>
  <si>
    <t>2018-02-27</t>
  </si>
  <si>
    <t>2014-12-31</t>
  </si>
  <si>
    <t>2015-12-31</t>
  </si>
  <si>
    <t>2016-12-31</t>
  </si>
  <si>
    <t>2017-12-31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</si>
</sst>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4" formatCode="_(&quot;$&quot;* #,##0.00_);_(&quot;$&quot;* \(#,##0.00\);_(&quot;$&quot;* &quot;-&quot;??_);_(@_)"/>
    <numFmt numFmtId="43" formatCode="_(* #,##0.00_);_(* \(#,##0.00\);_(* &quot;-&quot;??_);_(@_)"/>
    <numFmt numFmtId="164" formatCode="\$#,##0.00\ ;&quot;($&quot;#,##0.00\)"/>
    <numFmt numFmtId="165" formatCode="\ * #,##0.0\ ;\ * \(#,##0.0\);\ * \-#\ ;\ @\ "/>
    <numFmt numFmtId="166" formatCode="0.0%"/>
    <numFmt numFmtId="167" formatCode="_(* #,##0_);_(* \(#,##0\);_(* &quot;-&quot;??_);_(@_)"/>
    <numFmt numFmtId="168" formatCode="\$#,##0\ ;&quot;($&quot;#,##0\)"/>
    <numFmt numFmtId="169" formatCode="_(* #,##0.0_);_(* \(#,##0.0\);_(* &quot;-&quot;??_);_(@_)"/>
    <numFmt numFmtId="170" formatCode="[$-409]d\-mmm\-yy;@"/>
    <numFmt numFmtId="171" formatCode="[$-409]dd\-mmm\-yy;@"/>
    <numFmt numFmtId="172" formatCode="[$-409]mmm\-yy;@"/>
    <numFmt numFmtId="173" formatCode="yyyy"/>
    <numFmt numFmtId="174" formatCode="mmm\-yyyy"/>
    <numFmt numFmtId="175" formatCode="0_);\(0\)"/>
    <numFmt numFmtId="176" formatCode="yyyymmdd"/>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8"/>
      <color indexed="54"/>
      <name val="Calibri Light"/>
      <family val="2"/>
      <charset val="1"/>
    </font>
    <font>
      <sz val="11"/>
      <name val="Calibri"/>
      <family val="2"/>
      <scheme val="minor"/>
    </font>
    <font>
      <sz val="8"/>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
      <sz val="18"/>
      <color theme="1"/>
      <name val="Calibri"/>
      <family val="2"/>
      <scheme val="minor"/>
    </font>
    <font>
      <u/>
      <sz val="18"/>
      <color theme="10"/>
      <name val="Calibri"/>
      <family val="2"/>
      <scheme val="minor"/>
    </font>
    <font>
      <sz val="24"/>
      <color theme="10"/>
      <name val="Webdings"/>
      <family val="1"/>
      <charset val="2"/>
    </font>
    <font>
      <u/>
      <sz val="16"/>
      <color theme="10"/>
      <name val="Calibri"/>
      <family val="2"/>
      <scheme val="minor"/>
    </font>
    <font>
      <i/>
      <sz val="14"/>
      <color theme="1"/>
      <name val="Calibri"/>
      <family val="2"/>
      <scheme val="minor"/>
    </font>
    <font>
      <b/>
      <sz val="14"/>
      <color indexed="54"/>
      <name val="Calibri"/>
      <family val="2"/>
      <scheme val="minor"/>
    </font>
    <font>
      <b/>
      <sz val="28"/>
      <color theme="4"/>
      <name val="Calibri"/>
      <family val="2"/>
      <scheme val="minor"/>
    </font>
    <font>
      <b/>
      <sz val="18"/>
      <name val="Calibri"/>
      <family val="2"/>
      <scheme val="minor"/>
    </font>
    <font>
      <b/>
      <sz val="10"/>
      <color theme="1"/>
      <name val="Calibri"/>
      <family val="2"/>
      <scheme val="minor"/>
    </font>
    <font>
      <b/>
      <sz val="12"/>
      <color theme="1"/>
      <name val="Calibri"/>
      <family val="2"/>
      <scheme val="minor"/>
    </font>
    <font>
      <b/>
      <sz val="18"/>
      <color theme="4"/>
      <name val="Calibri"/>
      <family val="2"/>
      <scheme val="minor"/>
    </font>
    <font>
      <b/>
      <sz val="14"/>
      <color theme="1"/>
      <name val="Calibri"/>
      <family val="2"/>
      <scheme val="minor"/>
    </font>
    <font>
      <b/>
      <sz val="11"/>
      <color indexed="54"/>
      <name val="Calibri"/>
      <family val="2"/>
      <scheme val="minor"/>
    </font>
    <font>
      <b/>
      <i/>
      <sz val="18"/>
      <color theme="4"/>
      <name val="Calibri"/>
      <family val="2"/>
      <scheme val="minor"/>
    </font>
    <font>
      <b/>
      <sz val="12"/>
      <name val="Calibri"/>
      <family val="2"/>
      <scheme val="minor"/>
    </font>
    <font>
      <b/>
      <sz val="12"/>
      <color indexed="8"/>
      <name val="Calibri"/>
      <family val="2"/>
      <scheme val="minor"/>
    </font>
    <font>
      <b/>
      <sz val="11"/>
      <color indexed="8"/>
      <name val="Calibri"/>
      <family val="2"/>
      <scheme val="minor"/>
    </font>
    <font>
      <b/>
      <i/>
      <sz val="11"/>
      <color indexed="54"/>
      <name val="Calibri"/>
      <family val="2"/>
      <scheme val="minor"/>
    </font>
    <font>
      <b/>
      <i/>
      <sz val="18"/>
      <color indexed="54"/>
      <name val="Calibri"/>
      <family val="2"/>
      <scheme val="minor"/>
    </font>
    <font>
      <b/>
      <i/>
      <sz val="18"/>
      <name val="Calibri"/>
      <family val="2"/>
      <scheme val="minor"/>
    </font>
    <font>
      <b/>
      <i/>
      <sz val="18"/>
      <color theme="1"/>
      <name val="Calibri"/>
      <family val="2"/>
      <scheme val="minor"/>
    </font>
    <font>
      <sz val="16"/>
      <name val="Calibri"/>
      <family val="2"/>
      <scheme val="minor"/>
    </font>
    <font>
      <sz val="16"/>
      <color theme="1"/>
      <name val="Calibri"/>
      <family val="2"/>
      <scheme val="minor"/>
    </font>
    <font>
      <sz val="11"/>
      <color rgb="FF006100"/>
      <name val="Calibri"/>
      <family val="2"/>
      <scheme val="minor"/>
    </font>
    <font>
      <b/>
      <sz val="11"/>
      <color theme="0"/>
      <name val="Calibri"/>
      <family val="2"/>
      <scheme val="minor"/>
    </font>
    <font>
      <sz val="12"/>
      <color indexed="8"/>
      <name val="Calibri"/>
      <family val="2"/>
      <scheme val="minor"/>
    </font>
    <font>
      <sz val="11"/>
      <color indexed="8"/>
      <name val="Calibri"/>
      <family val="2"/>
      <scheme val="minor"/>
    </font>
    <font>
      <i/>
      <sz val="13"/>
      <color theme="1"/>
      <name val="Calibri"/>
      <family val="2"/>
      <scheme val="minor"/>
    </font>
    <font>
      <sz val="13"/>
      <color theme="1"/>
      <name val="Calibri"/>
      <family val="2"/>
      <scheme val="minor"/>
    </font>
    <font>
      <sz val="16"/>
      <color theme="10"/>
      <name val="Calibri"/>
      <family val="2"/>
      <scheme val="minor"/>
    </font>
    <font>
      <b/>
      <i/>
      <sz val="28"/>
      <color theme="4"/>
      <name val="Calibri"/>
      <family val="2"/>
      <scheme val="minor"/>
    </font>
    <font>
      <sz val="11"/>
      <color rgb="FF000000"/>
      <name val="Calibri"/>
      <family val="2"/>
    </font>
    <font>
      <sz val="11"/>
      <color rgb="FF1D1C1D"/>
      <name val="Arial"/>
      <family val="2"/>
    </font>
    <font>
      <sz val="11"/>
      <color rgb="FFFF0000"/>
      <name val="Calibri"/>
      <family val="2"/>
      <scheme val="minor"/>
    </font>
    <font>
      <i/>
      <sz val="11"/>
      <color theme="1"/>
      <name val="Calibri"/>
      <family val="2"/>
      <scheme val="minor"/>
    </font>
    <font>
      <sz val="9"/>
      <color rgb="FF202A35"/>
      <name val="Source Sans Pro"/>
      <family val="2"/>
    </font>
    <font>
      <b/>
      <u/>
      <sz val="11"/>
      <color theme="1"/>
      <name val="Calibri"/>
      <family val="2"/>
      <scheme val="minor"/>
    </font>
    <font>
      <sz val="11.5"/>
      <color rgb="FF1D1C1D"/>
      <name val="Arial"/>
      <family val="2"/>
    </font>
    <font>
      <b/>
      <sz val="10"/>
      <color rgb="FF1D1C1D"/>
      <name val="Arial"/>
      <family val="2"/>
    </font>
    <font>
      <b/>
      <sz val="14"/>
      <color theme="1"/>
      <name val="Arial"/>
      <family val="2"/>
    </font>
  </fonts>
  <fills count="9">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39997558519241921"/>
        <bgColor theme="4"/>
      </patternFill>
    </fill>
    <fill>
      <patternFill patternType="solid">
        <fgColor theme="0"/>
        <bgColor indexed="64"/>
      </patternFill>
    </fill>
    <fill>
      <patternFill patternType="solid">
        <fgColor theme="4" tint="0.79998168889431442"/>
        <bgColor indexed="64"/>
      </patternFill>
    </fill>
  </fills>
  <borders count="14">
    <border>
      <left/>
      <right/>
      <top/>
      <bottom/>
      <diagonal/>
    </border>
    <border>
      <left/>
      <right/>
      <top style="thin">
        <color indexed="63"/>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top style="medium">
        <color indexed="64"/>
      </top>
      <bottom/>
      <diagonal/>
    </border>
    <border>
      <left/>
      <right/>
      <top/>
      <bottom style="medium">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Protection="0"/>
    <xf numFmtId="0" fontId="7" fillId="0" borderId="0" applyNumberFormat="0" applyFill="0" applyBorder="0" applyAlignment="0" applyProtection="0"/>
    <xf numFmtId="0" fontId="32" fillId="2" borderId="0" applyNumberFormat="0" applyBorder="0" applyAlignment="0" applyProtection="0"/>
  </cellStyleXfs>
  <cellXfs count="222">
    <xf numFmtId="0" fontId="0" fillId="0" borderId="0" xfId="0"/>
    <xf numFmtId="164" fontId="0" fillId="0" borderId="0" xfId="1" applyNumberFormat="1" applyFont="1" applyFill="1" applyBorder="1" applyAlignment="1" applyProtection="1"/>
    <xf numFmtId="165" fontId="0" fillId="0" borderId="0" xfId="1" applyNumberFormat="1" applyFont="1" applyFill="1" applyBorder="1" applyAlignment="1" applyProtection="1"/>
    <xf numFmtId="165" fontId="0" fillId="0" borderId="0" xfId="1" applyNumberFormat="1" applyFont="1" applyFill="1" applyBorder="1" applyAlignment="1" applyProtection="1">
      <alignment horizontal="right"/>
    </xf>
    <xf numFmtId="164" fontId="0" fillId="0" borderId="0" xfId="2" applyNumberFormat="1" applyFont="1" applyFill="1" applyBorder="1" applyAlignment="1" applyProtection="1">
      <alignment horizontal="right"/>
    </xf>
    <xf numFmtId="164" fontId="0" fillId="0" borderId="0" xfId="2" applyNumberFormat="1" applyFont="1" applyFill="1" applyBorder="1" applyAlignment="1" applyProtection="1"/>
    <xf numFmtId="166" fontId="0" fillId="0" borderId="0" xfId="3" applyNumberFormat="1" applyFont="1" applyFill="1" applyBorder="1" applyAlignment="1" applyProtection="1"/>
    <xf numFmtId="43" fontId="0" fillId="0" borderId="0" xfId="1" applyFont="1" applyFill="1" applyBorder="1" applyAlignment="1" applyProtection="1"/>
    <xf numFmtId="166" fontId="0" fillId="0" borderId="0" xfId="3" applyNumberFormat="1" applyFont="1" applyFill="1" applyBorder="1" applyAlignment="1" applyProtection="1">
      <alignment horizontal="right"/>
    </xf>
    <xf numFmtId="164" fontId="0" fillId="0" borderId="0" xfId="1" applyNumberFormat="1" applyFont="1" applyFill="1" applyBorder="1" applyAlignment="1" applyProtection="1">
      <alignment horizontal="right"/>
    </xf>
    <xf numFmtId="164" fontId="0" fillId="0" borderId="0" xfId="3" applyNumberFormat="1" applyFont="1" applyFill="1" applyBorder="1" applyAlignment="1" applyProtection="1"/>
    <xf numFmtId="164" fontId="0" fillId="0" borderId="0" xfId="3" applyNumberFormat="1" applyFont="1" applyFill="1" applyBorder="1" applyAlignment="1" applyProtection="1">
      <alignment horizontal="right"/>
    </xf>
    <xf numFmtId="43" fontId="4" fillId="0" borderId="0" xfId="1" applyFont="1" applyFill="1" applyBorder="1" applyAlignment="1" applyProtection="1"/>
    <xf numFmtId="165" fontId="0" fillId="0" borderId="0" xfId="1" applyNumberFormat="1" applyFont="1" applyFill="1" applyBorder="1" applyAlignment="1" applyProtection="1">
      <alignment horizontal="left"/>
    </xf>
    <xf numFmtId="43" fontId="0" fillId="0" borderId="0" xfId="1" applyFont="1" applyFill="1" applyBorder="1" applyAlignment="1" applyProtection="1">
      <alignment horizontal="left"/>
    </xf>
    <xf numFmtId="167" fontId="0" fillId="0" borderId="0" xfId="1" applyNumberFormat="1" applyFont="1" applyFill="1" applyBorder="1" applyAlignment="1" applyProtection="1"/>
    <xf numFmtId="167" fontId="0" fillId="0" borderId="0" xfId="1" applyNumberFormat="1" applyFont="1" applyFill="1" applyBorder="1" applyAlignment="1" applyProtection="1">
      <alignment horizontal="right"/>
    </xf>
    <xf numFmtId="167" fontId="0" fillId="0" borderId="0" xfId="1" applyNumberFormat="1" applyFont="1" applyFill="1"/>
    <xf numFmtId="167" fontId="0" fillId="0" borderId="0" xfId="1" applyNumberFormat="1" applyFont="1" applyFill="1" applyAlignment="1">
      <alignment horizontal="right"/>
    </xf>
    <xf numFmtId="168" fontId="0" fillId="0" borderId="0" xfId="1" applyNumberFormat="1" applyFont="1" applyFill="1" applyBorder="1" applyAlignment="1" applyProtection="1"/>
    <xf numFmtId="43" fontId="0" fillId="0" borderId="2" xfId="1" applyFont="1" applyFill="1" applyBorder="1" applyAlignment="1" applyProtection="1">
      <alignment horizontal="left"/>
    </xf>
    <xf numFmtId="167" fontId="0" fillId="0" borderId="2" xfId="1" applyNumberFormat="1" applyFont="1" applyFill="1" applyBorder="1" applyAlignment="1" applyProtection="1">
      <alignment horizontal="right"/>
    </xf>
    <xf numFmtId="169" fontId="0" fillId="0" borderId="0" xfId="1" applyNumberFormat="1" applyFont="1" applyFill="1" applyBorder="1" applyAlignment="1" applyProtection="1">
      <alignment horizontal="right"/>
    </xf>
    <xf numFmtId="167" fontId="0" fillId="0" borderId="0" xfId="1" applyNumberFormat="1" applyFont="1"/>
    <xf numFmtId="169" fontId="0" fillId="0" borderId="0" xfId="1" applyNumberFormat="1" applyFont="1" applyFill="1" applyBorder="1" applyAlignment="1">
      <alignment horizontal="right"/>
    </xf>
    <xf numFmtId="167" fontId="0" fillId="0" borderId="0" xfId="1" applyNumberFormat="1" applyFont="1" applyFill="1" applyBorder="1" applyAlignment="1">
      <alignment horizontal="right"/>
    </xf>
    <xf numFmtId="166" fontId="0" fillId="0" borderId="0" xfId="3" applyNumberFormat="1" applyFont="1" applyFill="1" applyBorder="1" applyAlignment="1">
      <alignment horizontal="right"/>
    </xf>
    <xf numFmtId="164" fontId="4" fillId="0" borderId="0" xfId="1" applyNumberFormat="1" applyFont="1" applyFill="1" applyBorder="1" applyAlignment="1" applyProtection="1"/>
    <xf numFmtId="164" fontId="4" fillId="0" borderId="0" xfId="2" applyNumberFormat="1" applyFont="1" applyFill="1" applyBorder="1" applyAlignment="1" applyProtection="1"/>
    <xf numFmtId="167" fontId="4" fillId="0" borderId="0" xfId="1" applyNumberFormat="1" applyFont="1" applyFill="1" applyBorder="1" applyAlignment="1" applyProtection="1">
      <alignment horizontal="right"/>
    </xf>
    <xf numFmtId="164" fontId="4" fillId="0" borderId="0" xfId="2" applyNumberFormat="1" applyFont="1" applyFill="1" applyBorder="1" applyAlignment="1" applyProtection="1">
      <alignment horizontal="right"/>
    </xf>
    <xf numFmtId="43" fontId="0" fillId="0" borderId="0" xfId="1" applyFont="1" applyFill="1" applyBorder="1" applyAlignment="1" applyProtection="1">
      <alignment horizontal="right"/>
    </xf>
    <xf numFmtId="164" fontId="0" fillId="0" borderId="2" xfId="1" applyNumberFormat="1" applyFont="1" applyFill="1" applyBorder="1" applyAlignment="1" applyProtection="1"/>
    <xf numFmtId="43" fontId="0" fillId="0" borderId="2" xfId="1" applyFont="1" applyFill="1" applyBorder="1" applyAlignment="1" applyProtection="1"/>
    <xf numFmtId="165" fontId="4" fillId="0" borderId="0" xfId="1" applyNumberFormat="1" applyFont="1" applyFill="1" applyBorder="1" applyAlignment="1" applyProtection="1"/>
    <xf numFmtId="166" fontId="4" fillId="0" borderId="0" xfId="3" applyNumberFormat="1" applyFont="1" applyFill="1" applyBorder="1" applyAlignment="1" applyProtection="1"/>
    <xf numFmtId="0" fontId="4" fillId="0" borderId="0" xfId="0" applyFont="1" applyFill="1" applyBorder="1"/>
    <xf numFmtId="164" fontId="4" fillId="0" borderId="0" xfId="2" applyNumberFormat="1" applyFont="1" applyFill="1" applyBorder="1" applyAlignment="1" applyProtection="1">
      <alignment horizontal="left"/>
    </xf>
    <xf numFmtId="165" fontId="4" fillId="0" borderId="0" xfId="1" applyNumberFormat="1" applyFont="1" applyFill="1" applyBorder="1" applyAlignment="1" applyProtection="1">
      <alignment horizontal="left"/>
    </xf>
    <xf numFmtId="164" fontId="4" fillId="0" borderId="0" xfId="3" applyNumberFormat="1" applyFont="1" applyFill="1" applyBorder="1" applyAlignment="1" applyProtection="1"/>
    <xf numFmtId="43" fontId="4" fillId="0" borderId="0" xfId="1" applyFont="1" applyFill="1" applyBorder="1" applyAlignment="1" applyProtection="1">
      <alignment horizontal="left"/>
    </xf>
    <xf numFmtId="167" fontId="4" fillId="0" borderId="0" xfId="1" applyNumberFormat="1" applyFont="1" applyFill="1" applyBorder="1"/>
    <xf numFmtId="164" fontId="0" fillId="0" borderId="0" xfId="1" applyNumberFormat="1" applyFont="1" applyFill="1" applyBorder="1" applyAlignment="1" applyProtection="1">
      <alignment vertical="center"/>
    </xf>
    <xf numFmtId="165" fontId="2"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horizontal="left" vertical="center"/>
    </xf>
    <xf numFmtId="167" fontId="0"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vertical="center"/>
    </xf>
    <xf numFmtId="166" fontId="0" fillId="0" borderId="0" xfId="3" applyNumberFormat="1" applyFont="1" applyFill="1" applyBorder="1" applyAlignment="1">
      <alignment horizontal="right" vertical="center"/>
    </xf>
    <xf numFmtId="167" fontId="6" fillId="0" borderId="0" xfId="1" applyNumberFormat="1" applyFont="1" applyFill="1" applyBorder="1" applyAlignment="1" applyProtection="1">
      <alignment horizontal="right"/>
    </xf>
    <xf numFmtId="166" fontId="1" fillId="0" borderId="0" xfId="3" applyNumberFormat="1" applyFont="1" applyFill="1" applyBorder="1" applyAlignment="1">
      <alignment horizontal="right"/>
    </xf>
    <xf numFmtId="0" fontId="14" fillId="0" borderId="0" xfId="4" applyNumberFormat="1" applyFont="1" applyFill="1" applyBorder="1" applyAlignment="1" applyProtection="1">
      <alignment horizontal="right"/>
    </xf>
    <xf numFmtId="0" fontId="20" fillId="0" borderId="0" xfId="4" applyNumberFormat="1" applyFont="1" applyFill="1" applyBorder="1" applyAlignment="1" applyProtection="1">
      <alignment horizontal="right"/>
    </xf>
    <xf numFmtId="0" fontId="17" fillId="0" borderId="0" xfId="4" applyNumberFormat="1" applyFont="1" applyFill="1" applyBorder="1" applyAlignment="1" applyProtection="1">
      <alignment horizontal="left"/>
    </xf>
    <xf numFmtId="0" fontId="21" fillId="0" borderId="0" xfId="4" applyNumberFormat="1" applyFont="1" applyFill="1" applyBorder="1" applyAlignment="1" applyProtection="1">
      <alignment vertical="center"/>
    </xf>
    <xf numFmtId="0" fontId="14" fillId="0" borderId="0" xfId="4" applyNumberFormat="1" applyFont="1" applyFill="1" applyBorder="1" applyAlignment="1" applyProtection="1">
      <alignment horizontal="right" vertical="center"/>
    </xf>
    <xf numFmtId="0" fontId="14" fillId="0" borderId="0" xfId="4" applyNumberFormat="1" applyFont="1" applyFill="1" applyBorder="1" applyAlignment="1" applyProtection="1">
      <alignment vertical="center"/>
    </xf>
    <xf numFmtId="164" fontId="23" fillId="0" borderId="0" xfId="2" applyNumberFormat="1" applyFont="1" applyFill="1" applyBorder="1" applyAlignment="1" applyProtection="1"/>
    <xf numFmtId="43" fontId="24" fillId="0" borderId="1" xfId="1" applyFont="1" applyFill="1" applyBorder="1" applyAlignment="1" applyProtection="1"/>
    <xf numFmtId="167" fontId="25" fillId="0" borderId="1" xfId="1" applyNumberFormat="1" applyFont="1" applyFill="1" applyBorder="1" applyAlignment="1" applyProtection="1">
      <alignment horizontal="right"/>
    </xf>
    <xf numFmtId="164" fontId="24" fillId="0" borderId="0" xfId="2" applyNumberFormat="1" applyFont="1" applyFill="1" applyBorder="1" applyAlignment="1" applyProtection="1">
      <alignment horizontal="right"/>
    </xf>
    <xf numFmtId="164" fontId="24" fillId="0" borderId="1" xfId="2" applyNumberFormat="1" applyFont="1" applyFill="1" applyBorder="1" applyAlignment="1" applyProtection="1">
      <alignment horizontal="right"/>
    </xf>
    <xf numFmtId="164" fontId="24" fillId="0" borderId="1" xfId="2" applyNumberFormat="1" applyFont="1" applyFill="1" applyBorder="1" applyAlignment="1" applyProtection="1"/>
    <xf numFmtId="0" fontId="26" fillId="0" borderId="0" xfId="4" applyNumberFormat="1" applyFont="1" applyFill="1" applyBorder="1" applyAlignment="1" applyProtection="1">
      <alignment horizontal="right" vertical="center"/>
    </xf>
    <xf numFmtId="0" fontId="27" fillId="0" borderId="0" xfId="4" applyNumberFormat="1" applyFont="1" applyFill="1" applyBorder="1" applyAlignment="1" applyProtection="1">
      <alignment horizontal="right" vertical="center"/>
    </xf>
    <xf numFmtId="43" fontId="24" fillId="0" borderId="0" xfId="1" applyFont="1" applyFill="1" applyBorder="1" applyAlignment="1" applyProtection="1"/>
    <xf numFmtId="167" fontId="25" fillId="0" borderId="0" xfId="1" applyNumberFormat="1" applyFont="1" applyFill="1" applyBorder="1" applyAlignment="1" applyProtection="1">
      <alignment horizontal="right"/>
    </xf>
    <xf numFmtId="164" fontId="24" fillId="0" borderId="0" xfId="2" applyNumberFormat="1" applyFont="1" applyFill="1" applyBorder="1" applyAlignment="1" applyProtection="1"/>
    <xf numFmtId="166" fontId="23" fillId="0" borderId="0" xfId="3" applyNumberFormat="1" applyFont="1" applyFill="1" applyBorder="1" applyAlignment="1" applyProtection="1"/>
    <xf numFmtId="166" fontId="24" fillId="0" borderId="0" xfId="3" applyNumberFormat="1" applyFont="1" applyFill="1" applyBorder="1" applyAlignment="1" applyProtection="1">
      <alignment horizontal="right"/>
    </xf>
    <xf numFmtId="166" fontId="24" fillId="0" borderId="0" xfId="3" applyNumberFormat="1" applyFont="1" applyFill="1" applyBorder="1" applyAlignment="1" applyProtection="1"/>
    <xf numFmtId="44" fontId="24" fillId="0" borderId="0" xfId="2" applyFont="1" applyFill="1" applyBorder="1" applyAlignment="1" applyProtection="1"/>
    <xf numFmtId="164" fontId="24" fillId="0" borderId="0" xfId="1" applyNumberFormat="1" applyFont="1" applyFill="1" applyBorder="1" applyAlignment="1" applyProtection="1"/>
    <xf numFmtId="167" fontId="24" fillId="0" borderId="1" xfId="1" applyNumberFormat="1" applyFont="1" applyFill="1" applyBorder="1" applyAlignment="1" applyProtection="1">
      <alignment horizontal="left"/>
    </xf>
    <xf numFmtId="167" fontId="24" fillId="0" borderId="0" xfId="1" applyNumberFormat="1" applyFont="1" applyFill="1" applyBorder="1" applyAlignment="1" applyProtection="1">
      <alignment horizontal="left"/>
    </xf>
    <xf numFmtId="0" fontId="27" fillId="0" borderId="0" xfId="4" applyNumberFormat="1" applyFont="1" applyFill="1" applyBorder="1" applyAlignment="1" applyProtection="1">
      <alignment vertical="center" wrapText="1"/>
    </xf>
    <xf numFmtId="168" fontId="23" fillId="0" borderId="0" xfId="2" applyNumberFormat="1" applyFont="1" applyFill="1" applyBorder="1" applyAlignment="1" applyProtection="1">
      <alignment horizontal="left"/>
    </xf>
    <xf numFmtId="168" fontId="24" fillId="0" borderId="1" xfId="1" applyNumberFormat="1" applyFont="1" applyFill="1" applyBorder="1" applyAlignment="1" applyProtection="1">
      <alignment horizontal="left"/>
    </xf>
    <xf numFmtId="168" fontId="25" fillId="0" borderId="1" xfId="2" applyNumberFormat="1" applyFont="1" applyFill="1" applyBorder="1" applyAlignment="1" applyProtection="1">
      <alignment horizontal="right"/>
    </xf>
    <xf numFmtId="167" fontId="23" fillId="0" borderId="0" xfId="1" applyNumberFormat="1" applyFont="1" applyFill="1" applyBorder="1" applyAlignment="1" applyProtection="1">
      <alignment horizontal="left"/>
    </xf>
    <xf numFmtId="43" fontId="23" fillId="0" borderId="0" xfId="1" applyFont="1" applyFill="1" applyBorder="1" applyAlignment="1" applyProtection="1"/>
    <xf numFmtId="164" fontId="24" fillId="0" borderId="0" xfId="3" applyNumberFormat="1" applyFont="1" applyFill="1" applyBorder="1" applyAlignment="1" applyProtection="1"/>
    <xf numFmtId="0" fontId="9" fillId="0" borderId="0" xfId="0" applyFont="1" applyBorder="1"/>
    <xf numFmtId="0" fontId="9" fillId="0" borderId="0" xfId="0" applyFont="1" applyBorder="1" applyAlignment="1">
      <alignment wrapText="1"/>
    </xf>
    <xf numFmtId="0" fontId="9" fillId="0" borderId="0" xfId="0" applyFont="1" applyBorder="1" applyAlignment="1">
      <alignment horizontal="right"/>
    </xf>
    <xf numFmtId="0" fontId="10" fillId="0" borderId="0" xfId="5" applyFont="1" applyBorder="1"/>
    <xf numFmtId="0" fontId="8" fillId="0" borderId="3" xfId="0" applyFont="1" applyBorder="1" applyAlignment="1">
      <alignment wrapText="1"/>
    </xf>
    <xf numFmtId="0" fontId="8" fillId="0" borderId="4" xfId="0" applyFont="1" applyBorder="1" applyAlignment="1">
      <alignment horizontal="right"/>
    </xf>
    <xf numFmtId="0" fontId="9" fillId="0" borderId="5" xfId="0" applyFont="1" applyBorder="1" applyAlignment="1">
      <alignment wrapText="1"/>
    </xf>
    <xf numFmtId="0" fontId="9" fillId="0" borderId="6" xfId="0" applyFont="1" applyBorder="1" applyAlignment="1">
      <alignment horizontal="right"/>
    </xf>
    <xf numFmtId="0" fontId="9" fillId="0" borderId="5" xfId="0" applyFont="1" applyBorder="1" applyAlignment="1">
      <alignment horizontal="left" wrapText="1"/>
    </xf>
    <xf numFmtId="0" fontId="10" fillId="0" borderId="6" xfId="5" applyFont="1" applyBorder="1" applyAlignment="1">
      <alignment horizontal="right"/>
    </xf>
    <xf numFmtId="0" fontId="11" fillId="0" borderId="6" xfId="5" applyNumberFormat="1" applyFont="1" applyFill="1" applyBorder="1" applyAlignment="1" applyProtection="1">
      <alignment horizontal="right" vertical="center" wrapText="1"/>
    </xf>
    <xf numFmtId="0" fontId="8" fillId="0" borderId="5" xfId="0" applyFont="1" applyBorder="1" applyAlignment="1">
      <alignment wrapText="1"/>
    </xf>
    <xf numFmtId="0" fontId="9" fillId="0" borderId="7" xfId="0" applyFont="1" applyBorder="1" applyAlignment="1">
      <alignment wrapText="1"/>
    </xf>
    <xf numFmtId="0" fontId="9" fillId="0" borderId="8" xfId="0" applyFont="1" applyBorder="1" applyAlignment="1">
      <alignment horizontal="right"/>
    </xf>
    <xf numFmtId="0" fontId="30" fillId="0" borderId="0" xfId="0" applyFont="1" applyFill="1" applyBorder="1"/>
    <xf numFmtId="0" fontId="31" fillId="0" borderId="0" xfId="0" applyFont="1"/>
    <xf numFmtId="0" fontId="12" fillId="0" borderId="0" xfId="5" applyNumberFormat="1" applyFont="1" applyFill="1" applyBorder="1" applyAlignment="1" applyProtection="1">
      <alignment vertical="center" wrapText="1"/>
    </xf>
    <xf numFmtId="0" fontId="12" fillId="0" borderId="0" xfId="5" applyFont="1" applyFill="1"/>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22" fillId="0" borderId="0" xfId="4" applyNumberFormat="1" applyFont="1" applyFill="1" applyBorder="1" applyAlignment="1" applyProtection="1">
      <alignment vertical="center" wrapText="1"/>
    </xf>
    <xf numFmtId="0" fontId="6" fillId="0" borderId="0" xfId="0" applyFont="1"/>
    <xf numFmtId="0" fontId="32" fillId="2" borderId="0" xfId="6"/>
    <xf numFmtId="0" fontId="4" fillId="0" borderId="0" xfId="0" applyFont="1"/>
    <xf numFmtId="0" fontId="0" fillId="0" borderId="0" xfId="0" applyAlignment="1">
      <alignment horizontal="right"/>
    </xf>
    <xf numFmtId="0" fontId="16" fillId="0" borderId="0" xfId="4" applyNumberFormat="1" applyFont="1" applyFill="1" applyBorder="1" applyProtection="1"/>
    <xf numFmtId="0" fontId="0" fillId="0" borderId="0" xfId="0" applyAlignment="1">
      <alignment horizontal="right" vertical="center"/>
    </xf>
    <xf numFmtId="0" fontId="0" fillId="0" borderId="0" xfId="0" applyAlignment="1">
      <alignment vertical="center"/>
    </xf>
    <xf numFmtId="0" fontId="24" fillId="0" borderId="0" xfId="0" applyFont="1"/>
    <xf numFmtId="168" fontId="0" fillId="0" borderId="0" xfId="0" applyNumberFormat="1" applyAlignment="1">
      <alignment horizontal="right"/>
    </xf>
    <xf numFmtId="168" fontId="0" fillId="0" borderId="0" xfId="0" applyNumberFormat="1"/>
    <xf numFmtId="164" fontId="0" fillId="0" borderId="0" xfId="0" applyNumberFormat="1"/>
    <xf numFmtId="0" fontId="4" fillId="0" borderId="0" xfId="0" applyFont="1" applyAlignment="1">
      <alignment horizontal="left"/>
    </xf>
    <xf numFmtId="167" fontId="0" fillId="0" borderId="0" xfId="0" applyNumberFormat="1" applyAlignment="1">
      <alignment horizontal="right"/>
    </xf>
    <xf numFmtId="167" fontId="0" fillId="0" borderId="0" xfId="0" applyNumberFormat="1" applyAlignment="1">
      <alignment horizontal="left"/>
    </xf>
    <xf numFmtId="167" fontId="0" fillId="0" borderId="0" xfId="0" applyNumberFormat="1" applyAlignment="1">
      <alignment horizontal="right" vertical="center"/>
    </xf>
    <xf numFmtId="169" fontId="0" fillId="0" borderId="0" xfId="0" applyNumberFormat="1" applyAlignment="1">
      <alignment horizontal="right"/>
    </xf>
    <xf numFmtId="43" fontId="0" fillId="0" borderId="0" xfId="0" applyNumberFormat="1" applyAlignment="1">
      <alignment horizontal="right"/>
    </xf>
    <xf numFmtId="43" fontId="0" fillId="0" borderId="0" xfId="1" applyFont="1" applyFill="1" applyBorder="1" applyAlignment="1">
      <alignment horizontal="right"/>
    </xf>
    <xf numFmtId="0" fontId="6" fillId="0" borderId="0" xfId="0" applyFont="1" applyAlignment="1">
      <alignment horizontal="right"/>
    </xf>
    <xf numFmtId="43" fontId="0" fillId="0" borderId="0" xfId="1" applyFont="1" applyFill="1" applyBorder="1" applyAlignment="1">
      <alignment horizontal="left"/>
    </xf>
    <xf numFmtId="9" fontId="0" fillId="0" borderId="0" xfId="3" applyFont="1" applyFill="1" applyBorder="1" applyAlignment="1" applyProtection="1">
      <alignment horizontal="right"/>
    </xf>
    <xf numFmtId="0" fontId="0" fillId="0" borderId="0" xfId="0" applyFont="1" applyAlignment="1">
      <alignment horizontal="right"/>
    </xf>
    <xf numFmtId="0" fontId="22" fillId="0" borderId="0" xfId="4" applyNumberFormat="1" applyFont="1" applyFill="1" applyBorder="1" applyAlignment="1" applyProtection="1">
      <alignment horizontal="left" vertical="center"/>
    </xf>
    <xf numFmtId="0" fontId="28" fillId="0" borderId="0" xfId="4" applyNumberFormat="1" applyFont="1" applyFill="1" applyBorder="1" applyAlignment="1" applyProtection="1">
      <alignment vertical="center" wrapText="1"/>
    </xf>
    <xf numFmtId="0" fontId="28" fillId="0" borderId="0" xfId="4" applyNumberFormat="1" applyFont="1" applyFill="1" applyBorder="1" applyAlignment="1" applyProtection="1">
      <alignment vertical="center"/>
    </xf>
    <xf numFmtId="0" fontId="22" fillId="0" borderId="0" xfId="4" applyNumberFormat="1" applyFont="1" applyFill="1" applyBorder="1" applyAlignment="1" applyProtection="1">
      <alignment vertical="center"/>
    </xf>
    <xf numFmtId="0" fontId="29" fillId="0" borderId="0" xfId="4" applyNumberFormat="1" applyFont="1" applyFill="1" applyBorder="1" applyAlignment="1" applyProtection="1">
      <alignment vertical="center"/>
    </xf>
    <xf numFmtId="0" fontId="7" fillId="0" borderId="0" xfId="5"/>
    <xf numFmtId="171" fontId="0" fillId="0" borderId="0" xfId="1" applyNumberFormat="1" applyFont="1" applyFill="1" applyBorder="1" applyAlignment="1" applyProtection="1">
      <alignment horizontal="right"/>
    </xf>
    <xf numFmtId="165" fontId="33" fillId="0" borderId="0" xfId="1" applyNumberFormat="1" applyFont="1" applyFill="1" applyBorder="1" applyAlignment="1" applyProtection="1">
      <alignment horizontal="right" vertical="center"/>
    </xf>
    <xf numFmtId="165" fontId="6" fillId="0" borderId="0" xfId="1" applyNumberFormat="1" applyFont="1" applyFill="1" applyBorder="1" applyAlignment="1" applyProtection="1">
      <alignment horizontal="left"/>
    </xf>
    <xf numFmtId="43" fontId="34" fillId="0" borderId="0" xfId="1" applyFont="1" applyFill="1" applyBorder="1" applyAlignment="1" applyProtection="1"/>
    <xf numFmtId="166" fontId="35" fillId="0" borderId="0" xfId="3" applyNumberFormat="1" applyFont="1" applyFill="1" applyBorder="1" applyAlignment="1" applyProtection="1">
      <alignment horizontal="right"/>
    </xf>
    <xf numFmtId="0" fontId="36" fillId="0" borderId="0" xfId="0" applyFont="1" applyAlignment="1">
      <alignment horizontal="right"/>
    </xf>
    <xf numFmtId="0" fontId="37" fillId="0" borderId="0" xfId="0" applyFont="1"/>
    <xf numFmtId="0" fontId="38" fillId="0" borderId="0" xfId="5" applyNumberFormat="1" applyFont="1" applyFill="1" applyBorder="1" applyAlignment="1" applyProtection="1">
      <alignment horizontal="left" vertical="center" wrapText="1"/>
    </xf>
    <xf numFmtId="167" fontId="0" fillId="0" borderId="0" xfId="0" applyNumberFormat="1"/>
    <xf numFmtId="172" fontId="6" fillId="0" borderId="0" xfId="1" applyNumberFormat="1" applyFont="1" applyFill="1" applyBorder="1" applyAlignment="1" applyProtection="1">
      <alignment horizontal="left"/>
    </xf>
    <xf numFmtId="0" fontId="33" fillId="3" borderId="9" xfId="0" applyFont="1" applyFill="1" applyBorder="1"/>
    <xf numFmtId="170" fontId="19" fillId="0" borderId="0" xfId="4" applyNumberFormat="1" applyFont="1" applyFill="1" applyBorder="1" applyAlignment="1" applyProtection="1">
      <alignment horizontal="right"/>
    </xf>
    <xf numFmtId="0" fontId="39" fillId="0" borderId="0" xfId="4" applyNumberFormat="1" applyFont="1" applyFill="1" applyBorder="1" applyAlignment="1" applyProtection="1">
      <alignment vertical="center"/>
    </xf>
    <xf numFmtId="14" fontId="0" fillId="0" borderId="0" xfId="0" applyNumberFormat="1"/>
    <xf numFmtId="0" fontId="0" fillId="4" borderId="10" xfId="0" applyFont="1" applyFill="1" applyBorder="1"/>
    <xf numFmtId="0" fontId="0" fillId="4" borderId="0" xfId="0" applyFont="1" applyFill="1" applyBorder="1"/>
    <xf numFmtId="0" fontId="33" fillId="3" borderId="0" xfId="0" applyFont="1" applyFill="1"/>
    <xf numFmtId="0" fontId="7" fillId="4" borderId="0" xfId="5" applyFill="1" applyBorder="1"/>
    <xf numFmtId="0" fontId="0" fillId="4" borderId="9" xfId="0" applyFont="1" applyFill="1" applyBorder="1"/>
    <xf numFmtId="0" fontId="7" fillId="4" borderId="9" xfId="5" applyFont="1" applyFill="1" applyBorder="1"/>
    <xf numFmtId="0" fontId="33" fillId="3" borderId="11" xfId="0" applyFont="1" applyFill="1" applyBorder="1"/>
    <xf numFmtId="0" fontId="7" fillId="4" borderId="9" xfId="5" applyFill="1" applyBorder="1"/>
    <xf numFmtId="173" fontId="0" fillId="0" borderId="0" xfId="0" applyNumberFormat="1" applyAlignment="1">
      <alignment horizontal="right" vertical="center"/>
    </xf>
    <xf numFmtId="174" fontId="19" fillId="0" borderId="0" xfId="4" applyNumberFormat="1" applyFont="1" applyFill="1" applyBorder="1" applyAlignment="1" applyProtection="1">
      <alignment horizontal="right"/>
    </xf>
    <xf numFmtId="43" fontId="0" fillId="0" borderId="0" xfId="1" applyFont="1"/>
    <xf numFmtId="172" fontId="0" fillId="0" borderId="0" xfId="0" applyNumberFormat="1"/>
    <xf numFmtId="167" fontId="14" fillId="0" borderId="0" xfId="1" applyNumberFormat="1" applyFont="1" applyFill="1" applyBorder="1" applyAlignment="1" applyProtection="1">
      <alignment horizontal="right"/>
    </xf>
    <xf numFmtId="0" fontId="22" fillId="0" borderId="0" xfId="4" applyNumberFormat="1" applyFont="1" applyFill="1" applyBorder="1" applyAlignment="1" applyProtection="1">
      <alignment horizontal="left" vertical="center" wrapText="1"/>
    </xf>
    <xf numFmtId="175" fontId="6" fillId="0" borderId="0" xfId="1" applyNumberFormat="1" applyFont="1" applyFill="1" applyBorder="1" applyAlignment="1" applyProtection="1">
      <alignment horizontal="right"/>
    </xf>
    <xf numFmtId="169" fontId="0" fillId="0" borderId="0" xfId="1" applyNumberFormat="1" applyFont="1" applyAlignment="1">
      <alignment horizontal="right"/>
    </xf>
    <xf numFmtId="0" fontId="0" fillId="0" borderId="0" xfId="0" applyFont="1"/>
    <xf numFmtId="167" fontId="1" fillId="0" borderId="0" xfId="1" applyNumberFormat="1" applyFont="1"/>
    <xf numFmtId="0" fontId="0" fillId="0" borderId="0" xfId="0" applyNumberFormat="1" applyFont="1"/>
    <xf numFmtId="0" fontId="41" fillId="0" borderId="0" xfId="0" applyFont="1"/>
    <xf numFmtId="0" fontId="32" fillId="2" borderId="0" xfId="6" applyNumberFormat="1" applyBorder="1" applyAlignment="1" applyProtection="1">
      <alignment vertical="center"/>
    </xf>
    <xf numFmtId="0" fontId="0" fillId="5" borderId="0" xfId="0" applyFill="1"/>
    <xf numFmtId="0" fontId="33" fillId="6" borderId="0" xfId="0" applyFont="1" applyFill="1" applyBorder="1"/>
    <xf numFmtId="0" fontId="33" fillId="6" borderId="11" xfId="0" applyFont="1" applyFill="1" applyBorder="1"/>
    <xf numFmtId="43" fontId="0" fillId="0" borderId="0" xfId="0" applyNumberFormat="1" applyAlignment="1">
      <alignment horizontal="right" vertical="center"/>
    </xf>
    <xf numFmtId="0" fontId="0" fillId="0" borderId="0" xfId="0" applyFill="1"/>
    <xf numFmtId="0" fontId="0" fillId="0" borderId="0" xfId="0" applyFill="1" applyAlignment="1">
      <alignment horizontal="right"/>
    </xf>
    <xf numFmtId="170" fontId="0" fillId="0" borderId="0" xfId="0" applyNumberFormat="1" applyFill="1"/>
    <xf numFmtId="0" fontId="0" fillId="0" borderId="0" xfId="0" applyBorder="1"/>
    <xf numFmtId="0" fontId="32" fillId="2" borderId="0" xfId="6" applyBorder="1"/>
    <xf numFmtId="0" fontId="0" fillId="7" borderId="3" xfId="0" applyFill="1" applyBorder="1"/>
    <xf numFmtId="0" fontId="0" fillId="7" borderId="12" xfId="0" applyFill="1" applyBorder="1"/>
    <xf numFmtId="0" fontId="0" fillId="7" borderId="4" xfId="0" applyFill="1" applyBorder="1"/>
    <xf numFmtId="0" fontId="0" fillId="7" borderId="5" xfId="0" applyFill="1" applyBorder="1"/>
    <xf numFmtId="0" fontId="0" fillId="7" borderId="0" xfId="0" applyFill="1" applyBorder="1"/>
    <xf numFmtId="0" fontId="0" fillId="7" borderId="6" xfId="0" applyFill="1" applyBorder="1"/>
    <xf numFmtId="0" fontId="32" fillId="7" borderId="0" xfId="6" applyNumberFormat="1" applyFill="1" applyBorder="1" applyAlignment="1" applyProtection="1">
      <alignment vertical="center"/>
    </xf>
    <xf numFmtId="0" fontId="32" fillId="7" borderId="0" xfId="6" applyFill="1" applyBorder="1"/>
    <xf numFmtId="0" fontId="0" fillId="7" borderId="0" xfId="0" applyFill="1" applyBorder="1" applyAlignment="1">
      <alignment horizontal="center"/>
    </xf>
    <xf numFmtId="167" fontId="0" fillId="7" borderId="0" xfId="1" applyNumberFormat="1" applyFont="1" applyFill="1" applyBorder="1"/>
    <xf numFmtId="0" fontId="44" fillId="7" borderId="0" xfId="0" applyFont="1" applyFill="1" applyBorder="1" applyAlignment="1">
      <alignment vertical="center" wrapText="1"/>
    </xf>
    <xf numFmtId="0" fontId="7" fillId="7" borderId="5" xfId="5" applyFill="1" applyBorder="1"/>
    <xf numFmtId="0" fontId="0" fillId="7" borderId="0" xfId="0" applyFill="1" applyBorder="1" applyAlignment="1"/>
    <xf numFmtId="0" fontId="0" fillId="7" borderId="7" xfId="0" applyFill="1" applyBorder="1"/>
    <xf numFmtId="176" fontId="43" fillId="7" borderId="13" xfId="0" applyNumberFormat="1" applyFont="1" applyFill="1" applyBorder="1"/>
    <xf numFmtId="0" fontId="0" fillId="7" borderId="8" xfId="0" applyFill="1" applyBorder="1"/>
    <xf numFmtId="0" fontId="1" fillId="7" borderId="0" xfId="6" applyFont="1" applyFill="1"/>
    <xf numFmtId="14" fontId="1" fillId="7" borderId="0" xfId="6" applyNumberFormat="1" applyFont="1" applyFill="1"/>
    <xf numFmtId="0" fontId="0" fillId="7" borderId="13" xfId="0" applyFill="1" applyBorder="1"/>
    <xf numFmtId="0" fontId="0" fillId="7" borderId="0" xfId="0" applyFill="1" applyBorder="1" applyAlignment="1">
      <alignment horizontal="left"/>
    </xf>
    <xf numFmtId="0" fontId="0" fillId="7" borderId="6" xfId="0" applyFill="1" applyBorder="1" applyAlignment="1">
      <alignment horizontal="left"/>
    </xf>
    <xf numFmtId="167" fontId="0" fillId="7" borderId="0" xfId="1" applyNumberFormat="1" applyFont="1" applyFill="1" applyBorder="1" applyAlignment="1">
      <alignment horizontal="left"/>
    </xf>
    <xf numFmtId="0" fontId="32" fillId="2" borderId="0" xfId="6" applyNumberFormat="1" applyBorder="1" applyAlignment="1" applyProtection="1">
      <alignment horizontal="center" vertical="center"/>
    </xf>
    <xf numFmtId="0" fontId="42" fillId="0" borderId="0" xfId="0" applyFont="1" applyAlignment="1">
      <alignment horizontal="right"/>
    </xf>
    <xf numFmtId="0" fontId="32" fillId="2" borderId="0" xfId="6" applyBorder="1" applyAlignment="1">
      <alignment vertical="center" wrapText="1"/>
    </xf>
    <xf numFmtId="0" fontId="0" fillId="7" borderId="5" xfId="0" applyFill="1" applyBorder="1" applyAlignment="1"/>
    <xf numFmtId="176" fontId="43" fillId="7" borderId="7" xfId="0" applyNumberFormat="1" applyFont="1" applyFill="1" applyBorder="1"/>
    <xf numFmtId="0" fontId="0" fillId="0" borderId="13" xfId="0" applyBorder="1"/>
    <xf numFmtId="0" fontId="45" fillId="7" borderId="3" xfId="0" applyFont="1" applyFill="1" applyBorder="1"/>
    <xf numFmtId="0" fontId="0" fillId="7" borderId="6" xfId="0" applyFill="1" applyBorder="1" applyAlignment="1">
      <alignment horizontal="right"/>
    </xf>
    <xf numFmtId="0" fontId="0" fillId="7" borderId="8" xfId="0" applyFill="1" applyBorder="1" applyAlignment="1">
      <alignment horizontal="right"/>
    </xf>
    <xf numFmtId="0" fontId="47" fillId="0" borderId="0" xfId="0" applyFont="1" applyAlignment="1">
      <alignment vertical="center"/>
    </xf>
    <xf numFmtId="0" fontId="48" fillId="8" borderId="0" xfId="0" applyFont="1" applyFill="1" applyAlignment="1">
      <alignment vertical="center"/>
    </xf>
    <xf numFmtId="0" fontId="9" fillId="8" borderId="0" xfId="0" applyFont="1" applyFill="1" applyBorder="1" applyAlignment="1">
      <alignment horizontal="right"/>
    </xf>
    <xf numFmtId="0" fontId="46" fillId="8" borderId="0" xfId="0" applyFont="1" applyFill="1"/>
    <xf numFmtId="0" fontId="13" fillId="8" borderId="0" xfId="0" applyFont="1" applyFill="1" applyBorder="1" applyAlignment="1">
      <alignment horizontal="right"/>
    </xf>
    <xf numFmtId="164" fontId="24" fillId="0" borderId="0" xfId="1" applyNumberFormat="1" applyFont="1" applyFill="1" applyBorder="1" applyAlignment="1" applyProtection="1">
      <alignment horizontal="right"/>
    </xf>
    <xf numFmtId="0" fontId="0" fillId="7" borderId="0" xfId="0" applyFill="1" applyBorder="1" applyAlignment="1">
      <alignment horizontal="left"/>
    </xf>
    <xf numFmtId="0" fontId="0" fillId="7" borderId="6" xfId="0" applyFill="1" applyBorder="1" applyAlignment="1">
      <alignment horizontal="left"/>
    </xf>
    <xf numFmtId="0" fontId="7" fillId="7" borderId="0" xfId="5" applyFill="1" applyBorder="1" applyAlignment="1">
      <alignment horizontal="left"/>
    </xf>
    <xf numFmtId="0" fontId="7" fillId="7" borderId="6" xfId="5" applyFill="1" applyBorder="1" applyAlignment="1">
      <alignment horizontal="left"/>
    </xf>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12" fillId="0" borderId="0" xfId="5" applyNumberFormat="1" applyFont="1" applyFill="1" applyBorder="1" applyAlignment="1" applyProtection="1">
      <alignment horizontal="left" vertical="center"/>
    </xf>
    <xf numFmtId="0" fontId="22" fillId="0" borderId="0" xfId="4" applyNumberFormat="1" applyFont="1" applyFill="1" applyBorder="1" applyAlignment="1" applyProtection="1">
      <alignment vertical="center" wrapText="1"/>
    </xf>
    <xf numFmtId="0" fontId="16" fillId="0" borderId="0" xfId="4" applyNumberFormat="1" applyFont="1" applyFill="1" applyBorder="1" applyAlignment="1" applyProtection="1">
      <alignment horizontal="left" vertical="center"/>
    </xf>
    <xf numFmtId="0" fontId="17" fillId="0" borderId="0" xfId="4" applyNumberFormat="1" applyFont="1" applyFill="1" applyBorder="1" applyAlignment="1" applyProtection="1">
      <alignment horizontal="center" vertical="center" textRotation="90" wrapText="1"/>
    </xf>
    <xf numFmtId="173" fontId="18" fillId="0" borderId="0" xfId="4" applyNumberFormat="1" applyFont="1" applyFill="1" applyBorder="1" applyAlignment="1" applyProtection="1">
      <alignment horizontal="left" vertical="center"/>
    </xf>
  </cellXfs>
  <cellStyles count="7">
    <cellStyle name="Comma" xfId="1" builtinId="3"/>
    <cellStyle name="Currency" xfId="2" builtinId="4"/>
    <cellStyle name="Excel_BuiltIn_Title 1" xfId="4" xr:uid="{F76D663A-E153-4B86-8701-AA475EE04C0D}"/>
    <cellStyle name="Good" xfId="6" builtinId="26"/>
    <cellStyle name="Hyperlink" xfId="5" builtinId="8"/>
    <cellStyle name="Normal" xfId="0" builtinId="0"/>
    <cellStyle name="Percent" xfId="3" builtinId="5"/>
  </cellStyles>
  <dxfs count="82">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font>
        <b val="0"/>
      </font>
    </dxf>
    <dxf>
      <font>
        <b val="0"/>
      </font>
    </dxf>
    <dxf>
      <font>
        <b val="0"/>
      </font>
    </dxf>
    <dxf>
      <font>
        <b val="0"/>
      </font>
    </dxf>
    <dxf>
      <font>
        <b val="0"/>
      </font>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fill>
        <patternFill patternType="solid">
          <fgColor indexed="64"/>
          <bgColor theme="0"/>
        </patternFill>
      </fill>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dxf>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CBB496A8-2657-4894-9AD5-7CE06190530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Growth and Profitability</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79112405193925E-2"/>
          <c:y val="9.4020997375328083E-2"/>
          <c:w val="0.80897223956825437"/>
          <c:h val="0.69285318241469818"/>
        </c:manualLayout>
      </c:layout>
      <c:barChart>
        <c:barDir val="col"/>
        <c:grouping val="clustered"/>
        <c:varyColors val="0"/>
        <c:ser>
          <c:idx val="0"/>
          <c:order val="0"/>
          <c:tx>
            <c:strRef>
              <c:f>'Financial Statements and Ratios'!$C$18</c:f>
              <c:strCache>
                <c:ptCount val="1"/>
                <c:pt idx="0">
                  <c:v> Total Revenue </c:v>
                </c:pt>
              </c:strCache>
            </c:strRef>
          </c:tx>
          <c:spPr>
            <a:solidFill>
              <a:schemeClr val="accent1">
                <a:lumMod val="60000"/>
                <a:lumOff val="40000"/>
              </a:schemeClr>
            </a:solidFill>
            <a:ln>
              <a:noFill/>
            </a:ln>
            <a:effectLst/>
          </c:spPr>
          <c:invertIfNegative val="0"/>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Ratios'!$E$18:$I$18</c:f>
              <c:numCache>
                <c:formatCode>_(* #,##0_);_(* \(#,##0\);_(* "-"??_);_(@_)</c:formatCode>
                <c:ptCount val="5"/>
                <c:pt idx="0">
                  <c:v>79920</c:v>
                </c:pt>
                <c:pt idx="1">
                  <c:v>79139</c:v>
                </c:pt>
                <c:pt idx="2">
                  <c:v>79590</c:v>
                </c:pt>
                <c:pt idx="3">
                  <c:v>77147</c:v>
                </c:pt>
                <c:pt idx="4">
                  <c:v>73621</c:v>
                </c:pt>
              </c:numCache>
            </c:numRef>
          </c:val>
          <c:extLst>
            <c:ext xmlns:c16="http://schemas.microsoft.com/office/drawing/2014/chart" uri="{C3380CC4-5D6E-409C-BE32-E72D297353CC}">
              <c16:uniqueId val="{00000000-AF06-4EC4-91C5-A2231CE9F60D}"/>
            </c:ext>
          </c:extLst>
        </c:ser>
        <c:ser>
          <c:idx val="1"/>
          <c:order val="1"/>
          <c:tx>
            <c:strRef>
              <c:f>'Financial Statements and Ratios'!$C$58</c:f>
              <c:strCache>
                <c:ptCount val="1"/>
                <c:pt idx="0">
                  <c:v> Pre-Tax Income </c:v>
                </c:pt>
              </c:strCache>
            </c:strRef>
          </c:tx>
          <c:spPr>
            <a:solidFill>
              <a:schemeClr val="accent2"/>
            </a:solidFill>
            <a:ln>
              <a:noFill/>
            </a:ln>
            <a:effectLst/>
          </c:spPr>
          <c:invertIfNegative val="0"/>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Ratios'!$E$58:$I$58</c:f>
              <c:numCache>
                <c:formatCode>_(* #,##0_);_(* \(#,##0\);_(* "-"??_);_(@_)</c:formatCode>
                <c:ptCount val="5"/>
                <c:pt idx="0">
                  <c:v>12332</c:v>
                </c:pt>
                <c:pt idx="1">
                  <c:v>11399</c:v>
                </c:pt>
                <c:pt idx="2">
                  <c:v>11341</c:v>
                </c:pt>
                <c:pt idx="3">
                  <c:v>10167</c:v>
                </c:pt>
                <c:pt idx="4">
                  <c:v>4637</c:v>
                </c:pt>
              </c:numCache>
            </c:numRef>
          </c:val>
          <c:extLst>
            <c:ext xmlns:c16="http://schemas.microsoft.com/office/drawing/2014/chart" uri="{C3380CC4-5D6E-409C-BE32-E72D297353CC}">
              <c16:uniqueId val="{00000001-AF06-4EC4-91C5-A2231CE9F60D}"/>
            </c:ext>
          </c:extLst>
        </c:ser>
        <c:ser>
          <c:idx val="2"/>
          <c:order val="2"/>
          <c:tx>
            <c:strRef>
              <c:f>'Financial Statements and Ratios'!$C$66</c:f>
              <c:strCache>
                <c:ptCount val="1"/>
                <c:pt idx="0">
                  <c:v> GAAP Net Income </c:v>
                </c:pt>
              </c:strCache>
            </c:strRef>
          </c:tx>
          <c:spPr>
            <a:solidFill>
              <a:schemeClr val="accent3"/>
            </a:solidFill>
            <a:ln>
              <a:noFill/>
            </a:ln>
            <a:effectLst/>
          </c:spPr>
          <c:invertIfNegative val="0"/>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Ratios'!$E$66:$I$66</c:f>
              <c:numCache>
                <c:formatCode>_(* #,##0_);_(* \(#,##0\);_(* "-"??_);_(@_)</c:formatCode>
                <c:ptCount val="5"/>
                <c:pt idx="0">
                  <c:v>11874</c:v>
                </c:pt>
                <c:pt idx="1">
                  <c:v>5752</c:v>
                </c:pt>
                <c:pt idx="2">
                  <c:v>8727</c:v>
                </c:pt>
                <c:pt idx="3">
                  <c:v>9432</c:v>
                </c:pt>
                <c:pt idx="4">
                  <c:v>5590</c:v>
                </c:pt>
              </c:numCache>
            </c:numRef>
          </c:val>
          <c:extLst>
            <c:ext xmlns:c16="http://schemas.microsoft.com/office/drawing/2014/chart" uri="{C3380CC4-5D6E-409C-BE32-E72D297353CC}">
              <c16:uniqueId val="{00000002-AF06-4EC4-91C5-A2231CE9F60D}"/>
            </c:ext>
          </c:extLst>
        </c:ser>
        <c:dLbls>
          <c:showLegendKey val="0"/>
          <c:showVal val="0"/>
          <c:showCatName val="0"/>
          <c:showSerName val="0"/>
          <c:showPercent val="0"/>
          <c:showBubbleSize val="0"/>
        </c:dLbls>
        <c:gapWidth val="219"/>
        <c:axId val="1771440704"/>
        <c:axId val="1771450688"/>
      </c:barChart>
      <c:lineChart>
        <c:grouping val="standard"/>
        <c:varyColors val="0"/>
        <c:ser>
          <c:idx val="3"/>
          <c:order val="3"/>
          <c:tx>
            <c:strRef>
              <c:f>'Financial Statements and Ratios'!$C$189</c:f>
              <c:strCache>
                <c:ptCount val="1"/>
                <c:pt idx="0">
                  <c:v> Operating Margin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'Financial Statements and Ratios'!$E$189:$I$189</c:f>
              <c:numCache>
                <c:formatCode>0.0%</c:formatCode>
                <c:ptCount val="5"/>
                <c:pt idx="0">
                  <c:v>0.1640015015015015</c:v>
                </c:pt>
                <c:pt idx="1">
                  <c:v>0.14907946777189501</c:v>
                </c:pt>
                <c:pt idx="2">
                  <c:v>0.16605101143359718</c:v>
                </c:pt>
                <c:pt idx="3">
                  <c:v>0.13667414157387844</c:v>
                </c:pt>
                <c:pt idx="4">
                  <c:v>9.2174787085206669E-2</c:v>
                </c:pt>
              </c:numCache>
            </c:numRef>
          </c:val>
          <c:smooth val="0"/>
          <c:extLst>
            <c:ext xmlns:c16="http://schemas.microsoft.com/office/drawing/2014/chart" uri="{C3380CC4-5D6E-409C-BE32-E72D297353CC}">
              <c16:uniqueId val="{00000003-AF06-4EC4-91C5-A2231CE9F60D}"/>
            </c:ext>
          </c:extLst>
        </c:ser>
        <c:ser>
          <c:idx val="4"/>
          <c:order val="4"/>
          <c:tx>
            <c:strRef>
              <c:f>'Financial Statements and Ratios'!$C$191</c:f>
              <c:strCache>
                <c:ptCount val="1"/>
                <c:pt idx="0">
                  <c:v> Operating Cash Flow Margin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'Financial Statements and Ratios'!$E$191:$I$191</c:f>
              <c:numCache>
                <c:formatCode>0.0%</c:formatCode>
                <c:ptCount val="5"/>
                <c:pt idx="0">
                  <c:v>0.21218718718718718</c:v>
                </c:pt>
                <c:pt idx="1">
                  <c:v>0.21132437862495104</c:v>
                </c:pt>
                <c:pt idx="2">
                  <c:v>0.1915692926247016</c:v>
                </c:pt>
                <c:pt idx="3">
                  <c:v>0.19145268124489612</c:v>
                </c:pt>
                <c:pt idx="4">
                  <c:v>0.24717132339957348</c:v>
                </c:pt>
              </c:numCache>
            </c:numRef>
          </c:val>
          <c:smooth val="0"/>
          <c:extLst>
            <c:ext xmlns:c16="http://schemas.microsoft.com/office/drawing/2014/chart" uri="{C3380CC4-5D6E-409C-BE32-E72D297353CC}">
              <c16:uniqueId val="{00000004-AF06-4EC4-91C5-A2231CE9F60D}"/>
            </c:ext>
          </c:extLst>
        </c:ser>
        <c:dLbls>
          <c:showLegendKey val="0"/>
          <c:showVal val="0"/>
          <c:showCatName val="0"/>
          <c:showSerName val="0"/>
          <c:showPercent val="0"/>
          <c:showBubbleSize val="0"/>
        </c:dLbls>
        <c:marker val="1"/>
        <c:smooth val="0"/>
        <c:axId val="1089950384"/>
        <c:axId val="1089950800"/>
      </c:lineChart>
      <c:catAx>
        <c:axId val="1771440704"/>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0688"/>
        <c:crosses val="autoZero"/>
        <c:auto val="0"/>
        <c:lblAlgn val="ctr"/>
        <c:lblOffset val="100"/>
        <c:noMultiLvlLbl val="1"/>
      </c:catAx>
      <c:valAx>
        <c:axId val="17714506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40704"/>
        <c:crosses val="autoZero"/>
        <c:crossBetween val="between"/>
      </c:valAx>
      <c:valAx>
        <c:axId val="108995080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89950384"/>
        <c:crosses val="max"/>
        <c:crossBetween val="between"/>
      </c:valAx>
      <c:catAx>
        <c:axId val="1089950384"/>
        <c:scaling>
          <c:orientation val="minMax"/>
        </c:scaling>
        <c:delete val="1"/>
        <c:axPos val="b"/>
        <c:majorTickMark val="out"/>
        <c:minorTickMark val="none"/>
        <c:tickLblPos val="nextTo"/>
        <c:crossAx val="1089950800"/>
        <c:crosses val="autoZero"/>
        <c:auto val="1"/>
        <c:lblAlgn val="ctr"/>
        <c:lblOffset val="100"/>
        <c:noMultiLvlLbl val="0"/>
      </c:catAx>
      <c:spPr>
        <a:noFill/>
        <a:ln>
          <a:noFill/>
        </a:ln>
        <a:effectLst/>
      </c:spPr>
    </c:plotArea>
    <c:legend>
      <c:legendPos val="b"/>
      <c:layout>
        <c:manualLayout>
          <c:xMode val="edge"/>
          <c:yMode val="edge"/>
          <c:x val="3.2485230892383379E-2"/>
          <c:y val="0.8700270669291339"/>
          <c:w val="0.95833755832205014"/>
          <c:h val="8.413959973753282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CashFlow Trends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 Statements and Ratios'!$E$11</c:f>
              <c:strCache>
                <c:ptCount val="1"/>
                <c:pt idx="0">
                  <c:v>Dec-2016</c:v>
                </c:pt>
              </c:strCache>
            </c:strRef>
          </c:tx>
          <c:spPr>
            <a:solidFill>
              <a:schemeClr val="accent1"/>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Ratios'!$E$143:$E$145</c:f>
              <c:numCache>
                <c:formatCode>_(* #,##0_);_(* \(#,##0\);_(* "-"??_);_(@_)</c:formatCode>
                <c:ptCount val="3"/>
                <c:pt idx="0">
                  <c:v>16958</c:v>
                </c:pt>
                <c:pt idx="1">
                  <c:v>-10976</c:v>
                </c:pt>
                <c:pt idx="2">
                  <c:v>-5791</c:v>
                </c:pt>
              </c:numCache>
            </c:numRef>
          </c:val>
          <c:extLst>
            <c:ext xmlns:c16="http://schemas.microsoft.com/office/drawing/2014/chart" uri="{C3380CC4-5D6E-409C-BE32-E72D297353CC}">
              <c16:uniqueId val="{00000000-3FA9-49D4-BCF6-BF4576C98ED2}"/>
            </c:ext>
          </c:extLst>
        </c:ser>
        <c:ser>
          <c:idx val="1"/>
          <c:order val="1"/>
          <c:tx>
            <c:strRef>
              <c:f>'Financial Statements and Ratios'!$F$11</c:f>
              <c:strCache>
                <c:ptCount val="1"/>
                <c:pt idx="0">
                  <c:v>Dec-2017</c:v>
                </c:pt>
              </c:strCache>
            </c:strRef>
          </c:tx>
          <c:spPr>
            <a:solidFill>
              <a:schemeClr val="accent2"/>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Ratios'!$F$143:$F$145</c:f>
              <c:numCache>
                <c:formatCode>_(* #,##0_);_(* \(#,##0\);_(* "-"??_);_(@_)</c:formatCode>
                <c:ptCount val="3"/>
                <c:pt idx="0">
                  <c:v>16724</c:v>
                </c:pt>
                <c:pt idx="1">
                  <c:v>-7096</c:v>
                </c:pt>
                <c:pt idx="2">
                  <c:v>-6418</c:v>
                </c:pt>
              </c:numCache>
            </c:numRef>
          </c:val>
          <c:extLst>
            <c:ext xmlns:c16="http://schemas.microsoft.com/office/drawing/2014/chart" uri="{C3380CC4-5D6E-409C-BE32-E72D297353CC}">
              <c16:uniqueId val="{00000001-3FA9-49D4-BCF6-BF4576C98ED2}"/>
            </c:ext>
          </c:extLst>
        </c:ser>
        <c:ser>
          <c:idx val="2"/>
          <c:order val="2"/>
          <c:tx>
            <c:strRef>
              <c:f>'Financial Statements and Ratios'!$G$11</c:f>
              <c:strCache>
                <c:ptCount val="1"/>
                <c:pt idx="0">
                  <c:v>Dec-2018</c:v>
                </c:pt>
              </c:strCache>
            </c:strRef>
          </c:tx>
          <c:spPr>
            <a:solidFill>
              <a:schemeClr val="accent3"/>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Ratios'!$G$143:$G$145</c:f>
              <c:numCache>
                <c:formatCode>_(* #,##0_);_(* \(#,##0\);_(* "-"??_);_(@_)</c:formatCode>
                <c:ptCount val="3"/>
                <c:pt idx="0">
                  <c:v>15247</c:v>
                </c:pt>
                <c:pt idx="1">
                  <c:v>-4913</c:v>
                </c:pt>
                <c:pt idx="2">
                  <c:v>-10469</c:v>
                </c:pt>
              </c:numCache>
            </c:numRef>
          </c:val>
          <c:extLst>
            <c:ext xmlns:c16="http://schemas.microsoft.com/office/drawing/2014/chart" uri="{C3380CC4-5D6E-409C-BE32-E72D297353CC}">
              <c16:uniqueId val="{00000002-3FA9-49D4-BCF6-BF4576C98ED2}"/>
            </c:ext>
          </c:extLst>
        </c:ser>
        <c:ser>
          <c:idx val="3"/>
          <c:order val="3"/>
          <c:tx>
            <c:strRef>
              <c:f>'Financial Statements and Ratios'!$H$11</c:f>
              <c:strCache>
                <c:ptCount val="1"/>
                <c:pt idx="0">
                  <c:v>Dec-2019</c:v>
                </c:pt>
              </c:strCache>
            </c:strRef>
          </c:tx>
          <c:spPr>
            <a:solidFill>
              <a:schemeClr val="accent4"/>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Ratios'!$H$143:$H$145</c:f>
              <c:numCache>
                <c:formatCode>_(* #,##0_);_(* \(#,##0\);_(* "-"??_);_(@_)</c:formatCode>
                <c:ptCount val="3"/>
                <c:pt idx="0">
                  <c:v>14770</c:v>
                </c:pt>
                <c:pt idx="1">
                  <c:v>-26936</c:v>
                </c:pt>
                <c:pt idx="2">
                  <c:v>9042</c:v>
                </c:pt>
              </c:numCache>
            </c:numRef>
          </c:val>
          <c:extLst>
            <c:ext xmlns:c16="http://schemas.microsoft.com/office/drawing/2014/chart" uri="{C3380CC4-5D6E-409C-BE32-E72D297353CC}">
              <c16:uniqueId val="{00000003-3FA9-49D4-BCF6-BF4576C98ED2}"/>
            </c:ext>
          </c:extLst>
        </c:ser>
        <c:ser>
          <c:idx val="4"/>
          <c:order val="4"/>
          <c:tx>
            <c:strRef>
              <c:f>'Financial Statements and Ratios'!$I$11</c:f>
              <c:strCache>
                <c:ptCount val="1"/>
                <c:pt idx="0">
                  <c:v>Dec-2020</c:v>
                </c:pt>
              </c:strCache>
            </c:strRef>
          </c:tx>
          <c:spPr>
            <a:solidFill>
              <a:schemeClr val="accent5"/>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Ratios'!$I$143:$I$145</c:f>
              <c:numCache>
                <c:formatCode>_(* #,##0_);_(* \(#,##0\);_(* "-"??_);_(@_)</c:formatCode>
                <c:ptCount val="3"/>
                <c:pt idx="0">
                  <c:v>18197</c:v>
                </c:pt>
                <c:pt idx="1">
                  <c:v>-3028</c:v>
                </c:pt>
                <c:pt idx="2">
                  <c:v>-9721</c:v>
                </c:pt>
              </c:numCache>
            </c:numRef>
          </c:val>
          <c:extLst>
            <c:ext xmlns:c16="http://schemas.microsoft.com/office/drawing/2014/chart" uri="{C3380CC4-5D6E-409C-BE32-E72D297353CC}">
              <c16:uniqueId val="{00000004-3FA9-49D4-BCF6-BF4576C98ED2}"/>
            </c:ext>
          </c:extLst>
        </c:ser>
        <c:dLbls>
          <c:showLegendKey val="0"/>
          <c:showVal val="0"/>
          <c:showCatName val="0"/>
          <c:showSerName val="0"/>
          <c:showPercent val="0"/>
          <c:showBubbleSize val="0"/>
        </c:dLbls>
        <c:gapWidth val="219"/>
        <c:overlap val="-27"/>
        <c:axId val="1666568079"/>
        <c:axId val="1666562671"/>
      </c:barChart>
      <c:catAx>
        <c:axId val="16665680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2671"/>
        <c:crosses val="autoZero"/>
        <c:auto val="1"/>
        <c:lblAlgn val="ctr"/>
        <c:lblOffset val="100"/>
        <c:noMultiLvlLbl val="0"/>
      </c:catAx>
      <c:valAx>
        <c:axId val="166656267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807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Margin Analysis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743940637768737"/>
          <c:y val="0.11156475805602123"/>
          <c:w val="0.79319704380586387"/>
          <c:h val="0.66842941167344283"/>
        </c:manualLayout>
      </c:layout>
      <c:lineChart>
        <c:grouping val="standard"/>
        <c:varyColors val="0"/>
        <c:ser>
          <c:idx val="0"/>
          <c:order val="0"/>
          <c:tx>
            <c:strRef>
              <c:f>'Financial Statements and Ratios'!$C$188</c:f>
              <c:strCache>
                <c:ptCount val="1"/>
                <c:pt idx="0">
                  <c:v> Gross Margin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Ratios'!$E$188:$I$188</c:f>
              <c:numCache>
                <c:formatCode>0.0%</c:formatCode>
                <c:ptCount val="5"/>
                <c:pt idx="0">
                  <c:v>0.47917917917917918</c:v>
                </c:pt>
                <c:pt idx="1">
                  <c:v>0.45775155106837334</c:v>
                </c:pt>
                <c:pt idx="2">
                  <c:v>0.46406583741676088</c:v>
                </c:pt>
                <c:pt idx="3">
                  <c:v>0.47298015476946609</c:v>
                </c:pt>
                <c:pt idx="4">
                  <c:v>0.48321810353024275</c:v>
                </c:pt>
              </c:numCache>
            </c:numRef>
          </c:val>
          <c:smooth val="0"/>
          <c:extLst>
            <c:ext xmlns:c16="http://schemas.microsoft.com/office/drawing/2014/chart" uri="{C3380CC4-5D6E-409C-BE32-E72D297353CC}">
              <c16:uniqueId val="{00000000-470B-4FDE-9DE3-952DA69B2068}"/>
            </c:ext>
          </c:extLst>
        </c:ser>
        <c:ser>
          <c:idx val="1"/>
          <c:order val="1"/>
          <c:tx>
            <c:strRef>
              <c:f>'Financial Statements and Ratios'!$C$189</c:f>
              <c:strCache>
                <c:ptCount val="1"/>
                <c:pt idx="0">
                  <c:v> Operating Margin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Ratios'!$E$189:$I$189</c:f>
              <c:numCache>
                <c:formatCode>0.0%</c:formatCode>
                <c:ptCount val="5"/>
                <c:pt idx="0">
                  <c:v>0.1640015015015015</c:v>
                </c:pt>
                <c:pt idx="1">
                  <c:v>0.14907946777189501</c:v>
                </c:pt>
                <c:pt idx="2">
                  <c:v>0.16605101143359718</c:v>
                </c:pt>
                <c:pt idx="3">
                  <c:v>0.13667414157387844</c:v>
                </c:pt>
                <c:pt idx="4">
                  <c:v>9.2174787085206669E-2</c:v>
                </c:pt>
              </c:numCache>
            </c:numRef>
          </c:val>
          <c:smooth val="0"/>
          <c:extLst>
            <c:ext xmlns:c16="http://schemas.microsoft.com/office/drawing/2014/chart" uri="{C3380CC4-5D6E-409C-BE32-E72D297353CC}">
              <c16:uniqueId val="{00000001-470B-4FDE-9DE3-952DA69B2068}"/>
            </c:ext>
          </c:extLst>
        </c:ser>
        <c:ser>
          <c:idx val="2"/>
          <c:order val="2"/>
          <c:tx>
            <c:strRef>
              <c:f>'Financial Statements and Ratios'!$C$190</c:f>
              <c:strCache>
                <c:ptCount val="1"/>
                <c:pt idx="0">
                  <c:v> Net Margin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Ratios'!$E$190:$I$190</c:f>
              <c:numCache>
                <c:formatCode>0.0%</c:formatCode>
                <c:ptCount val="5"/>
                <c:pt idx="0">
                  <c:v>0.14857357357357356</c:v>
                </c:pt>
                <c:pt idx="1">
                  <c:v>7.2682242636373975E-2</c:v>
                </c:pt>
                <c:pt idx="2">
                  <c:v>0.10964945344892574</c:v>
                </c:pt>
                <c:pt idx="3">
                  <c:v>0.12226010084643603</c:v>
                </c:pt>
                <c:pt idx="4">
                  <c:v>7.5929422311568712E-2</c:v>
                </c:pt>
              </c:numCache>
            </c:numRef>
          </c:val>
          <c:smooth val="0"/>
          <c:extLst>
            <c:ext xmlns:c16="http://schemas.microsoft.com/office/drawing/2014/chart" uri="{C3380CC4-5D6E-409C-BE32-E72D297353CC}">
              <c16:uniqueId val="{00000002-470B-4FDE-9DE3-952DA69B2068}"/>
            </c:ext>
          </c:extLst>
        </c:ser>
        <c:ser>
          <c:idx val="3"/>
          <c:order val="3"/>
          <c:tx>
            <c:strRef>
              <c:f>'Financial Statements and Ratios'!$C$191</c:f>
              <c:strCache>
                <c:ptCount val="1"/>
                <c:pt idx="0">
                  <c:v> Operating Cash Flow Margin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Ratios'!$E$191:$I$191</c:f>
              <c:numCache>
                <c:formatCode>0.0%</c:formatCode>
                <c:ptCount val="5"/>
                <c:pt idx="0">
                  <c:v>0.21218718718718718</c:v>
                </c:pt>
                <c:pt idx="1">
                  <c:v>0.21132437862495104</c:v>
                </c:pt>
                <c:pt idx="2">
                  <c:v>0.1915692926247016</c:v>
                </c:pt>
                <c:pt idx="3">
                  <c:v>0.19145268124489612</c:v>
                </c:pt>
                <c:pt idx="4">
                  <c:v>0.24717132339957348</c:v>
                </c:pt>
              </c:numCache>
            </c:numRef>
          </c:val>
          <c:smooth val="0"/>
          <c:extLst>
            <c:ext xmlns:c16="http://schemas.microsoft.com/office/drawing/2014/chart" uri="{C3380CC4-5D6E-409C-BE32-E72D297353CC}">
              <c16:uniqueId val="{00000003-470B-4FDE-9DE3-952DA69B2068}"/>
            </c:ext>
          </c:extLst>
        </c:ser>
        <c:ser>
          <c:idx val="4"/>
          <c:order val="4"/>
          <c:tx>
            <c:strRef>
              <c:f>'Financial Statements and Ratios'!$C$192</c:f>
              <c:strCache>
                <c:ptCount val="1"/>
                <c:pt idx="0">
                  <c:v> Free Cashflow Margin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Ratios'!$E$192:$I$192</c:f>
              <c:numCache>
                <c:formatCode>0.0%</c:formatCode>
                <c:ptCount val="5"/>
                <c:pt idx="0">
                  <c:v>0.1592092092092092</c:v>
                </c:pt>
                <c:pt idx="1">
                  <c:v>2.2277258999987365E-2</c:v>
                </c:pt>
                <c:pt idx="2">
                  <c:v>0.13440130669682121</c:v>
                </c:pt>
                <c:pt idx="3">
                  <c:v>0.30336889315203441</c:v>
                </c:pt>
                <c:pt idx="4">
                  <c:v>0.14232352182121949</c:v>
                </c:pt>
              </c:numCache>
            </c:numRef>
          </c:val>
          <c:smooth val="0"/>
          <c:extLst>
            <c:ext xmlns:c16="http://schemas.microsoft.com/office/drawing/2014/chart" uri="{C3380CC4-5D6E-409C-BE32-E72D297353CC}">
              <c16:uniqueId val="{00000004-470B-4FDE-9DE3-952DA69B2068}"/>
            </c:ext>
          </c:extLst>
        </c:ser>
        <c:dLbls>
          <c:showLegendKey val="0"/>
          <c:showVal val="0"/>
          <c:showCatName val="0"/>
          <c:showSerName val="0"/>
          <c:showPercent val="0"/>
          <c:showBubbleSize val="0"/>
        </c:dLbls>
        <c:marker val="1"/>
        <c:smooth val="0"/>
        <c:axId val="1666611343"/>
        <c:axId val="1666612175"/>
      </c:lineChart>
      <c:catAx>
        <c:axId val="1666611343"/>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a:softEdge rad="88900"/>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2175"/>
        <c:crosses val="autoZero"/>
        <c:auto val="0"/>
        <c:lblAlgn val="ctr"/>
        <c:lblOffset val="100"/>
        <c:noMultiLvlLbl val="1"/>
      </c:catAx>
      <c:valAx>
        <c:axId val="16666121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1343"/>
        <c:crossesAt val="43466"/>
        <c:crossBetween val="midCat"/>
      </c:valAx>
      <c:spPr>
        <a:noFill/>
        <a:ln>
          <a:noFill/>
        </a:ln>
        <a:effectLst/>
      </c:spPr>
    </c:plotArea>
    <c:legend>
      <c:legendPos val="b"/>
      <c:layout>
        <c:manualLayout>
          <c:xMode val="edge"/>
          <c:yMode val="edge"/>
          <c:x val="4.6910353600751221E-3"/>
          <c:y val="0.86404429699104146"/>
          <c:w val="0.99336856308069765"/>
          <c:h val="8.28076427171020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a:t>
            </a:r>
            <a:r>
              <a:rPr lang="en-US" sz="2000" baseline="0"/>
              <a:t> Chart</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Price_Vol!$C$1</c:f>
              <c:strCache>
                <c:ptCount val="1"/>
                <c:pt idx="0">
                  <c:v>Volume (m)</c:v>
                </c:pt>
              </c:strCache>
            </c:strRef>
          </c:tx>
          <c:spPr>
            <a:solidFill>
              <a:schemeClr val="accent2"/>
            </a:solidFill>
            <a:ln>
              <a:noFill/>
            </a:ln>
            <a:effectLst/>
          </c:spPr>
          <c:invertIfNegative val="0"/>
          <c:cat>
            <c:numRef>
              <c:f>Price_Vol!$A$2:$A$1988</c:f>
              <c:numCache>
                <c:formatCode>m/d/yyyy</c:formatCode>
                <c:ptCount val="1987"/>
                <c:pt idx="0">
                  <c:v>41432</c:v>
                </c:pt>
                <c:pt idx="1">
                  <c:v>41435</c:v>
                </c:pt>
                <c:pt idx="2">
                  <c:v>41436</c:v>
                </c:pt>
                <c:pt idx="3">
                  <c:v>41437</c:v>
                </c:pt>
                <c:pt idx="4">
                  <c:v>41438</c:v>
                </c:pt>
                <c:pt idx="5">
                  <c:v>41439</c:v>
                </c:pt>
                <c:pt idx="6">
                  <c:v>41442</c:v>
                </c:pt>
                <c:pt idx="7">
                  <c:v>41443</c:v>
                </c:pt>
                <c:pt idx="8">
                  <c:v>41444</c:v>
                </c:pt>
                <c:pt idx="9">
                  <c:v>41445</c:v>
                </c:pt>
                <c:pt idx="10">
                  <c:v>41446</c:v>
                </c:pt>
                <c:pt idx="11">
                  <c:v>41449</c:v>
                </c:pt>
                <c:pt idx="12">
                  <c:v>41450</c:v>
                </c:pt>
                <c:pt idx="13">
                  <c:v>41451</c:v>
                </c:pt>
                <c:pt idx="14">
                  <c:v>41452</c:v>
                </c:pt>
                <c:pt idx="15">
                  <c:v>41453</c:v>
                </c:pt>
                <c:pt idx="16">
                  <c:v>41456</c:v>
                </c:pt>
                <c:pt idx="17">
                  <c:v>41457</c:v>
                </c:pt>
                <c:pt idx="18">
                  <c:v>41458</c:v>
                </c:pt>
                <c:pt idx="19">
                  <c:v>41459</c:v>
                </c:pt>
                <c:pt idx="20">
                  <c:v>41460</c:v>
                </c:pt>
                <c:pt idx="21">
                  <c:v>41463</c:v>
                </c:pt>
                <c:pt idx="22">
                  <c:v>41464</c:v>
                </c:pt>
                <c:pt idx="23">
                  <c:v>41465</c:v>
                </c:pt>
                <c:pt idx="24">
                  <c:v>41466</c:v>
                </c:pt>
                <c:pt idx="25">
                  <c:v>41467</c:v>
                </c:pt>
                <c:pt idx="26">
                  <c:v>41470</c:v>
                </c:pt>
                <c:pt idx="27">
                  <c:v>41471</c:v>
                </c:pt>
                <c:pt idx="28">
                  <c:v>41472</c:v>
                </c:pt>
                <c:pt idx="29">
                  <c:v>41473</c:v>
                </c:pt>
                <c:pt idx="30">
                  <c:v>41474</c:v>
                </c:pt>
                <c:pt idx="31">
                  <c:v>41477</c:v>
                </c:pt>
                <c:pt idx="32">
                  <c:v>41478</c:v>
                </c:pt>
                <c:pt idx="33">
                  <c:v>41479</c:v>
                </c:pt>
                <c:pt idx="34">
                  <c:v>41480</c:v>
                </c:pt>
                <c:pt idx="35">
                  <c:v>41481</c:v>
                </c:pt>
                <c:pt idx="36">
                  <c:v>41484</c:v>
                </c:pt>
                <c:pt idx="37">
                  <c:v>41485</c:v>
                </c:pt>
                <c:pt idx="38">
                  <c:v>41486</c:v>
                </c:pt>
                <c:pt idx="39">
                  <c:v>41487</c:v>
                </c:pt>
                <c:pt idx="40">
                  <c:v>41488</c:v>
                </c:pt>
                <c:pt idx="41">
                  <c:v>41491</c:v>
                </c:pt>
                <c:pt idx="42">
                  <c:v>41492</c:v>
                </c:pt>
                <c:pt idx="43">
                  <c:v>41493</c:v>
                </c:pt>
                <c:pt idx="44">
                  <c:v>41494</c:v>
                </c:pt>
                <c:pt idx="45">
                  <c:v>41495</c:v>
                </c:pt>
                <c:pt idx="46">
                  <c:v>41498</c:v>
                </c:pt>
                <c:pt idx="47">
                  <c:v>41499</c:v>
                </c:pt>
                <c:pt idx="48">
                  <c:v>41500</c:v>
                </c:pt>
                <c:pt idx="49">
                  <c:v>41501</c:v>
                </c:pt>
                <c:pt idx="50">
                  <c:v>41502</c:v>
                </c:pt>
                <c:pt idx="51">
                  <c:v>41505</c:v>
                </c:pt>
                <c:pt idx="52">
                  <c:v>41506</c:v>
                </c:pt>
                <c:pt idx="53">
                  <c:v>41507</c:v>
                </c:pt>
                <c:pt idx="54">
                  <c:v>41508</c:v>
                </c:pt>
                <c:pt idx="55">
                  <c:v>41509</c:v>
                </c:pt>
                <c:pt idx="56">
                  <c:v>41512</c:v>
                </c:pt>
                <c:pt idx="57">
                  <c:v>41513</c:v>
                </c:pt>
                <c:pt idx="58">
                  <c:v>41514</c:v>
                </c:pt>
                <c:pt idx="59">
                  <c:v>41515</c:v>
                </c:pt>
                <c:pt idx="60">
                  <c:v>41516</c:v>
                </c:pt>
                <c:pt idx="61">
                  <c:v>41520</c:v>
                </c:pt>
                <c:pt idx="62">
                  <c:v>41521</c:v>
                </c:pt>
                <c:pt idx="63">
                  <c:v>41522</c:v>
                </c:pt>
                <c:pt idx="64">
                  <c:v>41523</c:v>
                </c:pt>
                <c:pt idx="65">
                  <c:v>41526</c:v>
                </c:pt>
                <c:pt idx="66">
                  <c:v>41527</c:v>
                </c:pt>
                <c:pt idx="67">
                  <c:v>41528</c:v>
                </c:pt>
                <c:pt idx="68">
                  <c:v>41529</c:v>
                </c:pt>
                <c:pt idx="69">
                  <c:v>41530</c:v>
                </c:pt>
                <c:pt idx="70">
                  <c:v>41533</c:v>
                </c:pt>
                <c:pt idx="71">
                  <c:v>41534</c:v>
                </c:pt>
                <c:pt idx="72">
                  <c:v>41535</c:v>
                </c:pt>
                <c:pt idx="73">
                  <c:v>41536</c:v>
                </c:pt>
                <c:pt idx="74">
                  <c:v>41537</c:v>
                </c:pt>
                <c:pt idx="75">
                  <c:v>41540</c:v>
                </c:pt>
                <c:pt idx="76">
                  <c:v>41541</c:v>
                </c:pt>
                <c:pt idx="77">
                  <c:v>41542</c:v>
                </c:pt>
                <c:pt idx="78">
                  <c:v>41543</c:v>
                </c:pt>
                <c:pt idx="79">
                  <c:v>41544</c:v>
                </c:pt>
                <c:pt idx="80">
                  <c:v>41547</c:v>
                </c:pt>
                <c:pt idx="81">
                  <c:v>41548</c:v>
                </c:pt>
                <c:pt idx="82">
                  <c:v>41549</c:v>
                </c:pt>
                <c:pt idx="83">
                  <c:v>41550</c:v>
                </c:pt>
                <c:pt idx="84">
                  <c:v>41551</c:v>
                </c:pt>
                <c:pt idx="85">
                  <c:v>41554</c:v>
                </c:pt>
                <c:pt idx="86">
                  <c:v>41555</c:v>
                </c:pt>
                <c:pt idx="87">
                  <c:v>41556</c:v>
                </c:pt>
                <c:pt idx="88">
                  <c:v>41557</c:v>
                </c:pt>
                <c:pt idx="89">
                  <c:v>41558</c:v>
                </c:pt>
                <c:pt idx="90">
                  <c:v>41561</c:v>
                </c:pt>
                <c:pt idx="91">
                  <c:v>41562</c:v>
                </c:pt>
                <c:pt idx="92">
                  <c:v>41563</c:v>
                </c:pt>
                <c:pt idx="93">
                  <c:v>41564</c:v>
                </c:pt>
                <c:pt idx="94">
                  <c:v>41565</c:v>
                </c:pt>
                <c:pt idx="95">
                  <c:v>41568</c:v>
                </c:pt>
                <c:pt idx="96">
                  <c:v>41569</c:v>
                </c:pt>
                <c:pt idx="97">
                  <c:v>41570</c:v>
                </c:pt>
                <c:pt idx="98">
                  <c:v>41571</c:v>
                </c:pt>
                <c:pt idx="99">
                  <c:v>41572</c:v>
                </c:pt>
                <c:pt idx="100">
                  <c:v>41575</c:v>
                </c:pt>
                <c:pt idx="101">
                  <c:v>41576</c:v>
                </c:pt>
                <c:pt idx="102">
                  <c:v>41577</c:v>
                </c:pt>
                <c:pt idx="103">
                  <c:v>41578</c:v>
                </c:pt>
                <c:pt idx="104">
                  <c:v>41579</c:v>
                </c:pt>
                <c:pt idx="105">
                  <c:v>41582</c:v>
                </c:pt>
                <c:pt idx="106">
                  <c:v>41583</c:v>
                </c:pt>
                <c:pt idx="107">
                  <c:v>41584</c:v>
                </c:pt>
                <c:pt idx="108">
                  <c:v>41585</c:v>
                </c:pt>
                <c:pt idx="109">
                  <c:v>41586</c:v>
                </c:pt>
                <c:pt idx="110">
                  <c:v>41589</c:v>
                </c:pt>
                <c:pt idx="111">
                  <c:v>41590</c:v>
                </c:pt>
                <c:pt idx="112">
                  <c:v>41591</c:v>
                </c:pt>
                <c:pt idx="113">
                  <c:v>41592</c:v>
                </c:pt>
                <c:pt idx="114">
                  <c:v>41593</c:v>
                </c:pt>
                <c:pt idx="115">
                  <c:v>41596</c:v>
                </c:pt>
                <c:pt idx="116">
                  <c:v>41597</c:v>
                </c:pt>
                <c:pt idx="117">
                  <c:v>41598</c:v>
                </c:pt>
                <c:pt idx="118">
                  <c:v>41599</c:v>
                </c:pt>
                <c:pt idx="119">
                  <c:v>41600</c:v>
                </c:pt>
                <c:pt idx="120">
                  <c:v>41603</c:v>
                </c:pt>
                <c:pt idx="121">
                  <c:v>41604</c:v>
                </c:pt>
                <c:pt idx="122">
                  <c:v>41605</c:v>
                </c:pt>
                <c:pt idx="123">
                  <c:v>41607</c:v>
                </c:pt>
                <c:pt idx="124">
                  <c:v>41610</c:v>
                </c:pt>
                <c:pt idx="125">
                  <c:v>41611</c:v>
                </c:pt>
                <c:pt idx="126">
                  <c:v>41612</c:v>
                </c:pt>
                <c:pt idx="127">
                  <c:v>41613</c:v>
                </c:pt>
                <c:pt idx="128">
                  <c:v>41614</c:v>
                </c:pt>
                <c:pt idx="129">
                  <c:v>41617</c:v>
                </c:pt>
                <c:pt idx="130">
                  <c:v>41618</c:v>
                </c:pt>
                <c:pt idx="131">
                  <c:v>41619</c:v>
                </c:pt>
                <c:pt idx="132">
                  <c:v>41620</c:v>
                </c:pt>
                <c:pt idx="133">
                  <c:v>41621</c:v>
                </c:pt>
                <c:pt idx="134">
                  <c:v>41624</c:v>
                </c:pt>
                <c:pt idx="135">
                  <c:v>41625</c:v>
                </c:pt>
                <c:pt idx="136">
                  <c:v>41626</c:v>
                </c:pt>
                <c:pt idx="137">
                  <c:v>41627</c:v>
                </c:pt>
                <c:pt idx="138">
                  <c:v>41628</c:v>
                </c:pt>
                <c:pt idx="139">
                  <c:v>41631</c:v>
                </c:pt>
                <c:pt idx="140">
                  <c:v>41632</c:v>
                </c:pt>
                <c:pt idx="141">
                  <c:v>41634</c:v>
                </c:pt>
                <c:pt idx="142">
                  <c:v>41635</c:v>
                </c:pt>
                <c:pt idx="143">
                  <c:v>41638</c:v>
                </c:pt>
                <c:pt idx="144">
                  <c:v>41639</c:v>
                </c:pt>
                <c:pt idx="145">
                  <c:v>41641</c:v>
                </c:pt>
                <c:pt idx="146">
                  <c:v>41642</c:v>
                </c:pt>
                <c:pt idx="147">
                  <c:v>41645</c:v>
                </c:pt>
                <c:pt idx="148">
                  <c:v>41646</c:v>
                </c:pt>
                <c:pt idx="149">
                  <c:v>41647</c:v>
                </c:pt>
                <c:pt idx="150">
                  <c:v>41648</c:v>
                </c:pt>
                <c:pt idx="151">
                  <c:v>41649</c:v>
                </c:pt>
                <c:pt idx="152">
                  <c:v>41652</c:v>
                </c:pt>
                <c:pt idx="153">
                  <c:v>41653</c:v>
                </c:pt>
                <c:pt idx="154">
                  <c:v>41654</c:v>
                </c:pt>
                <c:pt idx="155">
                  <c:v>41655</c:v>
                </c:pt>
                <c:pt idx="156">
                  <c:v>41656</c:v>
                </c:pt>
                <c:pt idx="157">
                  <c:v>41660</c:v>
                </c:pt>
                <c:pt idx="158">
                  <c:v>41661</c:v>
                </c:pt>
                <c:pt idx="159">
                  <c:v>41662</c:v>
                </c:pt>
                <c:pt idx="160">
                  <c:v>41663</c:v>
                </c:pt>
                <c:pt idx="161">
                  <c:v>41666</c:v>
                </c:pt>
                <c:pt idx="162">
                  <c:v>41667</c:v>
                </c:pt>
                <c:pt idx="163">
                  <c:v>41668</c:v>
                </c:pt>
                <c:pt idx="164">
                  <c:v>41669</c:v>
                </c:pt>
                <c:pt idx="165">
                  <c:v>41670</c:v>
                </c:pt>
                <c:pt idx="166">
                  <c:v>41673</c:v>
                </c:pt>
                <c:pt idx="167">
                  <c:v>41674</c:v>
                </c:pt>
                <c:pt idx="168">
                  <c:v>41675</c:v>
                </c:pt>
                <c:pt idx="169">
                  <c:v>41676</c:v>
                </c:pt>
                <c:pt idx="170">
                  <c:v>41677</c:v>
                </c:pt>
                <c:pt idx="171">
                  <c:v>41680</c:v>
                </c:pt>
                <c:pt idx="172">
                  <c:v>41681</c:v>
                </c:pt>
                <c:pt idx="173">
                  <c:v>41682</c:v>
                </c:pt>
                <c:pt idx="174">
                  <c:v>41683</c:v>
                </c:pt>
                <c:pt idx="175">
                  <c:v>41684</c:v>
                </c:pt>
                <c:pt idx="176">
                  <c:v>41688</c:v>
                </c:pt>
                <c:pt idx="177">
                  <c:v>41689</c:v>
                </c:pt>
                <c:pt idx="178">
                  <c:v>41690</c:v>
                </c:pt>
                <c:pt idx="179">
                  <c:v>41691</c:v>
                </c:pt>
                <c:pt idx="180">
                  <c:v>41694</c:v>
                </c:pt>
                <c:pt idx="181">
                  <c:v>41695</c:v>
                </c:pt>
                <c:pt idx="182">
                  <c:v>41696</c:v>
                </c:pt>
                <c:pt idx="183">
                  <c:v>41697</c:v>
                </c:pt>
                <c:pt idx="184">
                  <c:v>41698</c:v>
                </c:pt>
                <c:pt idx="185">
                  <c:v>41701</c:v>
                </c:pt>
                <c:pt idx="186">
                  <c:v>41702</c:v>
                </c:pt>
                <c:pt idx="187">
                  <c:v>41703</c:v>
                </c:pt>
                <c:pt idx="188">
                  <c:v>41704</c:v>
                </c:pt>
                <c:pt idx="189">
                  <c:v>41705</c:v>
                </c:pt>
                <c:pt idx="190">
                  <c:v>41708</c:v>
                </c:pt>
                <c:pt idx="191">
                  <c:v>41709</c:v>
                </c:pt>
                <c:pt idx="192">
                  <c:v>41710</c:v>
                </c:pt>
                <c:pt idx="193">
                  <c:v>41711</c:v>
                </c:pt>
                <c:pt idx="194">
                  <c:v>41712</c:v>
                </c:pt>
                <c:pt idx="195">
                  <c:v>41715</c:v>
                </c:pt>
                <c:pt idx="196">
                  <c:v>41716</c:v>
                </c:pt>
                <c:pt idx="197">
                  <c:v>41717</c:v>
                </c:pt>
                <c:pt idx="198">
                  <c:v>41718</c:v>
                </c:pt>
                <c:pt idx="199">
                  <c:v>41719</c:v>
                </c:pt>
                <c:pt idx="200">
                  <c:v>41722</c:v>
                </c:pt>
                <c:pt idx="201">
                  <c:v>41723</c:v>
                </c:pt>
                <c:pt idx="202">
                  <c:v>41724</c:v>
                </c:pt>
                <c:pt idx="203">
                  <c:v>41725</c:v>
                </c:pt>
                <c:pt idx="204">
                  <c:v>41726</c:v>
                </c:pt>
                <c:pt idx="205">
                  <c:v>41729</c:v>
                </c:pt>
                <c:pt idx="206">
                  <c:v>41730</c:v>
                </c:pt>
                <c:pt idx="207">
                  <c:v>41731</c:v>
                </c:pt>
                <c:pt idx="208">
                  <c:v>41732</c:v>
                </c:pt>
                <c:pt idx="209">
                  <c:v>41733</c:v>
                </c:pt>
                <c:pt idx="210">
                  <c:v>41736</c:v>
                </c:pt>
                <c:pt idx="211">
                  <c:v>41737</c:v>
                </c:pt>
                <c:pt idx="212">
                  <c:v>41738</c:v>
                </c:pt>
                <c:pt idx="213">
                  <c:v>41739</c:v>
                </c:pt>
                <c:pt idx="214">
                  <c:v>41740</c:v>
                </c:pt>
                <c:pt idx="215">
                  <c:v>41743</c:v>
                </c:pt>
                <c:pt idx="216">
                  <c:v>41744</c:v>
                </c:pt>
                <c:pt idx="217">
                  <c:v>41745</c:v>
                </c:pt>
                <c:pt idx="218">
                  <c:v>41746</c:v>
                </c:pt>
                <c:pt idx="219">
                  <c:v>41750</c:v>
                </c:pt>
                <c:pt idx="220">
                  <c:v>41751</c:v>
                </c:pt>
                <c:pt idx="221">
                  <c:v>41752</c:v>
                </c:pt>
                <c:pt idx="222">
                  <c:v>41753</c:v>
                </c:pt>
                <c:pt idx="223">
                  <c:v>41754</c:v>
                </c:pt>
                <c:pt idx="224">
                  <c:v>41757</c:v>
                </c:pt>
                <c:pt idx="225">
                  <c:v>41758</c:v>
                </c:pt>
                <c:pt idx="226">
                  <c:v>41759</c:v>
                </c:pt>
                <c:pt idx="227">
                  <c:v>41760</c:v>
                </c:pt>
                <c:pt idx="228">
                  <c:v>41761</c:v>
                </c:pt>
                <c:pt idx="229">
                  <c:v>41764</c:v>
                </c:pt>
                <c:pt idx="230">
                  <c:v>41765</c:v>
                </c:pt>
                <c:pt idx="231">
                  <c:v>41766</c:v>
                </c:pt>
                <c:pt idx="232">
                  <c:v>41767</c:v>
                </c:pt>
                <c:pt idx="233">
                  <c:v>41768</c:v>
                </c:pt>
                <c:pt idx="234">
                  <c:v>41771</c:v>
                </c:pt>
                <c:pt idx="235">
                  <c:v>41772</c:v>
                </c:pt>
                <c:pt idx="236">
                  <c:v>41773</c:v>
                </c:pt>
                <c:pt idx="237">
                  <c:v>41774</c:v>
                </c:pt>
                <c:pt idx="238">
                  <c:v>41775</c:v>
                </c:pt>
                <c:pt idx="239">
                  <c:v>41778</c:v>
                </c:pt>
                <c:pt idx="240">
                  <c:v>41779</c:v>
                </c:pt>
                <c:pt idx="241">
                  <c:v>41780</c:v>
                </c:pt>
                <c:pt idx="242">
                  <c:v>41781</c:v>
                </c:pt>
                <c:pt idx="243">
                  <c:v>41782</c:v>
                </c:pt>
                <c:pt idx="244">
                  <c:v>41786</c:v>
                </c:pt>
                <c:pt idx="245">
                  <c:v>41787</c:v>
                </c:pt>
                <c:pt idx="246">
                  <c:v>41788</c:v>
                </c:pt>
                <c:pt idx="247">
                  <c:v>41789</c:v>
                </c:pt>
                <c:pt idx="248">
                  <c:v>41792</c:v>
                </c:pt>
                <c:pt idx="249">
                  <c:v>41793</c:v>
                </c:pt>
                <c:pt idx="250">
                  <c:v>41794</c:v>
                </c:pt>
                <c:pt idx="251">
                  <c:v>41795</c:v>
                </c:pt>
                <c:pt idx="252">
                  <c:v>41796</c:v>
                </c:pt>
                <c:pt idx="253">
                  <c:v>41799</c:v>
                </c:pt>
                <c:pt idx="254">
                  <c:v>41800</c:v>
                </c:pt>
                <c:pt idx="255">
                  <c:v>41801</c:v>
                </c:pt>
                <c:pt idx="256">
                  <c:v>41802</c:v>
                </c:pt>
                <c:pt idx="257">
                  <c:v>41803</c:v>
                </c:pt>
                <c:pt idx="258">
                  <c:v>41806</c:v>
                </c:pt>
                <c:pt idx="259">
                  <c:v>41807</c:v>
                </c:pt>
                <c:pt idx="260">
                  <c:v>41808</c:v>
                </c:pt>
                <c:pt idx="261">
                  <c:v>41809</c:v>
                </c:pt>
                <c:pt idx="262">
                  <c:v>41810</c:v>
                </c:pt>
                <c:pt idx="263">
                  <c:v>41813</c:v>
                </c:pt>
                <c:pt idx="264">
                  <c:v>41814</c:v>
                </c:pt>
                <c:pt idx="265">
                  <c:v>41815</c:v>
                </c:pt>
                <c:pt idx="266">
                  <c:v>41816</c:v>
                </c:pt>
                <c:pt idx="267">
                  <c:v>41817</c:v>
                </c:pt>
                <c:pt idx="268">
                  <c:v>41820</c:v>
                </c:pt>
                <c:pt idx="269">
                  <c:v>41821</c:v>
                </c:pt>
                <c:pt idx="270">
                  <c:v>41822</c:v>
                </c:pt>
                <c:pt idx="271">
                  <c:v>41823</c:v>
                </c:pt>
                <c:pt idx="272">
                  <c:v>41827</c:v>
                </c:pt>
                <c:pt idx="273">
                  <c:v>41828</c:v>
                </c:pt>
                <c:pt idx="274">
                  <c:v>41829</c:v>
                </c:pt>
                <c:pt idx="275">
                  <c:v>41830</c:v>
                </c:pt>
                <c:pt idx="276">
                  <c:v>41831</c:v>
                </c:pt>
                <c:pt idx="277">
                  <c:v>41834</c:v>
                </c:pt>
                <c:pt idx="278">
                  <c:v>41835</c:v>
                </c:pt>
                <c:pt idx="279">
                  <c:v>41836</c:v>
                </c:pt>
                <c:pt idx="280">
                  <c:v>41837</c:v>
                </c:pt>
                <c:pt idx="281">
                  <c:v>41838</c:v>
                </c:pt>
                <c:pt idx="282">
                  <c:v>41841</c:v>
                </c:pt>
                <c:pt idx="283">
                  <c:v>41842</c:v>
                </c:pt>
                <c:pt idx="284">
                  <c:v>41843</c:v>
                </c:pt>
                <c:pt idx="285">
                  <c:v>41844</c:v>
                </c:pt>
                <c:pt idx="286">
                  <c:v>41845</c:v>
                </c:pt>
                <c:pt idx="287">
                  <c:v>41848</c:v>
                </c:pt>
                <c:pt idx="288">
                  <c:v>41849</c:v>
                </c:pt>
                <c:pt idx="289">
                  <c:v>41850</c:v>
                </c:pt>
                <c:pt idx="290">
                  <c:v>41851</c:v>
                </c:pt>
                <c:pt idx="291">
                  <c:v>41852</c:v>
                </c:pt>
                <c:pt idx="292">
                  <c:v>41855</c:v>
                </c:pt>
                <c:pt idx="293">
                  <c:v>41856</c:v>
                </c:pt>
                <c:pt idx="294">
                  <c:v>41857</c:v>
                </c:pt>
                <c:pt idx="295">
                  <c:v>41858</c:v>
                </c:pt>
                <c:pt idx="296">
                  <c:v>41859</c:v>
                </c:pt>
                <c:pt idx="297">
                  <c:v>41862</c:v>
                </c:pt>
                <c:pt idx="298">
                  <c:v>41863</c:v>
                </c:pt>
                <c:pt idx="299">
                  <c:v>41864</c:v>
                </c:pt>
                <c:pt idx="300">
                  <c:v>41865</c:v>
                </c:pt>
                <c:pt idx="301">
                  <c:v>41866</c:v>
                </c:pt>
                <c:pt idx="302">
                  <c:v>41869</c:v>
                </c:pt>
                <c:pt idx="303">
                  <c:v>41870</c:v>
                </c:pt>
                <c:pt idx="304">
                  <c:v>41871</c:v>
                </c:pt>
                <c:pt idx="305">
                  <c:v>41872</c:v>
                </c:pt>
                <c:pt idx="306">
                  <c:v>41873</c:v>
                </c:pt>
                <c:pt idx="307">
                  <c:v>41876</c:v>
                </c:pt>
                <c:pt idx="308">
                  <c:v>41877</c:v>
                </c:pt>
                <c:pt idx="309">
                  <c:v>41878</c:v>
                </c:pt>
                <c:pt idx="310">
                  <c:v>41879</c:v>
                </c:pt>
                <c:pt idx="311">
                  <c:v>41880</c:v>
                </c:pt>
                <c:pt idx="312">
                  <c:v>41883</c:v>
                </c:pt>
                <c:pt idx="313">
                  <c:v>41884</c:v>
                </c:pt>
                <c:pt idx="314">
                  <c:v>41885</c:v>
                </c:pt>
                <c:pt idx="315">
                  <c:v>41886</c:v>
                </c:pt>
                <c:pt idx="316">
                  <c:v>41887</c:v>
                </c:pt>
                <c:pt idx="317">
                  <c:v>41890</c:v>
                </c:pt>
                <c:pt idx="318">
                  <c:v>41891</c:v>
                </c:pt>
                <c:pt idx="319">
                  <c:v>41892</c:v>
                </c:pt>
                <c:pt idx="320">
                  <c:v>41893</c:v>
                </c:pt>
                <c:pt idx="321">
                  <c:v>41894</c:v>
                </c:pt>
                <c:pt idx="322">
                  <c:v>41897</c:v>
                </c:pt>
                <c:pt idx="323">
                  <c:v>41898</c:v>
                </c:pt>
                <c:pt idx="324">
                  <c:v>41899</c:v>
                </c:pt>
                <c:pt idx="325">
                  <c:v>41900</c:v>
                </c:pt>
                <c:pt idx="326">
                  <c:v>41901</c:v>
                </c:pt>
                <c:pt idx="327">
                  <c:v>41904</c:v>
                </c:pt>
                <c:pt idx="328">
                  <c:v>41905</c:v>
                </c:pt>
                <c:pt idx="329">
                  <c:v>41906</c:v>
                </c:pt>
                <c:pt idx="330">
                  <c:v>41907</c:v>
                </c:pt>
                <c:pt idx="331">
                  <c:v>41908</c:v>
                </c:pt>
                <c:pt idx="332">
                  <c:v>41911</c:v>
                </c:pt>
                <c:pt idx="333">
                  <c:v>41912</c:v>
                </c:pt>
                <c:pt idx="334">
                  <c:v>41913</c:v>
                </c:pt>
                <c:pt idx="335">
                  <c:v>41914</c:v>
                </c:pt>
                <c:pt idx="336">
                  <c:v>41915</c:v>
                </c:pt>
                <c:pt idx="337">
                  <c:v>41918</c:v>
                </c:pt>
                <c:pt idx="338">
                  <c:v>41919</c:v>
                </c:pt>
                <c:pt idx="339">
                  <c:v>41920</c:v>
                </c:pt>
                <c:pt idx="340">
                  <c:v>41921</c:v>
                </c:pt>
                <c:pt idx="341">
                  <c:v>41922</c:v>
                </c:pt>
                <c:pt idx="342">
                  <c:v>41925</c:v>
                </c:pt>
                <c:pt idx="343">
                  <c:v>41926</c:v>
                </c:pt>
                <c:pt idx="344">
                  <c:v>41927</c:v>
                </c:pt>
                <c:pt idx="345">
                  <c:v>41928</c:v>
                </c:pt>
                <c:pt idx="346">
                  <c:v>41929</c:v>
                </c:pt>
                <c:pt idx="347">
                  <c:v>41932</c:v>
                </c:pt>
                <c:pt idx="348">
                  <c:v>41933</c:v>
                </c:pt>
                <c:pt idx="349">
                  <c:v>41934</c:v>
                </c:pt>
                <c:pt idx="350">
                  <c:v>41935</c:v>
                </c:pt>
                <c:pt idx="351">
                  <c:v>41936</c:v>
                </c:pt>
                <c:pt idx="352">
                  <c:v>41939</c:v>
                </c:pt>
                <c:pt idx="353">
                  <c:v>41940</c:v>
                </c:pt>
                <c:pt idx="354">
                  <c:v>41941</c:v>
                </c:pt>
                <c:pt idx="355">
                  <c:v>41942</c:v>
                </c:pt>
                <c:pt idx="356">
                  <c:v>41943</c:v>
                </c:pt>
                <c:pt idx="357">
                  <c:v>41946</c:v>
                </c:pt>
                <c:pt idx="358">
                  <c:v>41947</c:v>
                </c:pt>
                <c:pt idx="359">
                  <c:v>41948</c:v>
                </c:pt>
                <c:pt idx="360">
                  <c:v>41949</c:v>
                </c:pt>
                <c:pt idx="361">
                  <c:v>41950</c:v>
                </c:pt>
                <c:pt idx="362">
                  <c:v>41953</c:v>
                </c:pt>
                <c:pt idx="363">
                  <c:v>41954</c:v>
                </c:pt>
                <c:pt idx="364">
                  <c:v>41955</c:v>
                </c:pt>
                <c:pt idx="365">
                  <c:v>41956</c:v>
                </c:pt>
                <c:pt idx="366">
                  <c:v>41957</c:v>
                </c:pt>
                <c:pt idx="367">
                  <c:v>41960</c:v>
                </c:pt>
                <c:pt idx="368">
                  <c:v>41961</c:v>
                </c:pt>
                <c:pt idx="369">
                  <c:v>41962</c:v>
                </c:pt>
                <c:pt idx="370">
                  <c:v>41963</c:v>
                </c:pt>
                <c:pt idx="371">
                  <c:v>41964</c:v>
                </c:pt>
                <c:pt idx="372">
                  <c:v>41967</c:v>
                </c:pt>
                <c:pt idx="373">
                  <c:v>41968</c:v>
                </c:pt>
                <c:pt idx="374">
                  <c:v>41969</c:v>
                </c:pt>
                <c:pt idx="375">
                  <c:v>41970</c:v>
                </c:pt>
                <c:pt idx="376">
                  <c:v>41971</c:v>
                </c:pt>
                <c:pt idx="377">
                  <c:v>41974</c:v>
                </c:pt>
                <c:pt idx="378">
                  <c:v>41975</c:v>
                </c:pt>
                <c:pt idx="379">
                  <c:v>41976</c:v>
                </c:pt>
                <c:pt idx="380">
                  <c:v>41977</c:v>
                </c:pt>
                <c:pt idx="381">
                  <c:v>41978</c:v>
                </c:pt>
                <c:pt idx="382">
                  <c:v>41981</c:v>
                </c:pt>
                <c:pt idx="383">
                  <c:v>41982</c:v>
                </c:pt>
                <c:pt idx="384">
                  <c:v>41983</c:v>
                </c:pt>
                <c:pt idx="385">
                  <c:v>41984</c:v>
                </c:pt>
                <c:pt idx="386">
                  <c:v>41985</c:v>
                </c:pt>
                <c:pt idx="387">
                  <c:v>41988</c:v>
                </c:pt>
                <c:pt idx="388">
                  <c:v>41989</c:v>
                </c:pt>
                <c:pt idx="389">
                  <c:v>41990</c:v>
                </c:pt>
                <c:pt idx="390">
                  <c:v>41991</c:v>
                </c:pt>
                <c:pt idx="391">
                  <c:v>41992</c:v>
                </c:pt>
                <c:pt idx="392">
                  <c:v>41995</c:v>
                </c:pt>
                <c:pt idx="393">
                  <c:v>41996</c:v>
                </c:pt>
                <c:pt idx="394">
                  <c:v>41997</c:v>
                </c:pt>
                <c:pt idx="395">
                  <c:v>41999</c:v>
                </c:pt>
                <c:pt idx="396">
                  <c:v>42002</c:v>
                </c:pt>
                <c:pt idx="397">
                  <c:v>42003</c:v>
                </c:pt>
                <c:pt idx="398">
                  <c:v>42004</c:v>
                </c:pt>
                <c:pt idx="399">
                  <c:v>42006</c:v>
                </c:pt>
                <c:pt idx="400">
                  <c:v>42009</c:v>
                </c:pt>
                <c:pt idx="401">
                  <c:v>42010</c:v>
                </c:pt>
                <c:pt idx="402">
                  <c:v>42011</c:v>
                </c:pt>
                <c:pt idx="403">
                  <c:v>42012</c:v>
                </c:pt>
                <c:pt idx="404">
                  <c:v>42013</c:v>
                </c:pt>
                <c:pt idx="405">
                  <c:v>42016</c:v>
                </c:pt>
                <c:pt idx="406">
                  <c:v>42017</c:v>
                </c:pt>
                <c:pt idx="407">
                  <c:v>42018</c:v>
                </c:pt>
                <c:pt idx="408">
                  <c:v>42019</c:v>
                </c:pt>
                <c:pt idx="409">
                  <c:v>42020</c:v>
                </c:pt>
                <c:pt idx="410">
                  <c:v>42024</c:v>
                </c:pt>
                <c:pt idx="411">
                  <c:v>42025</c:v>
                </c:pt>
                <c:pt idx="412">
                  <c:v>42026</c:v>
                </c:pt>
                <c:pt idx="413">
                  <c:v>42027</c:v>
                </c:pt>
                <c:pt idx="414">
                  <c:v>42030</c:v>
                </c:pt>
                <c:pt idx="415">
                  <c:v>42031</c:v>
                </c:pt>
                <c:pt idx="416">
                  <c:v>42032</c:v>
                </c:pt>
                <c:pt idx="417">
                  <c:v>42033</c:v>
                </c:pt>
                <c:pt idx="418">
                  <c:v>42034</c:v>
                </c:pt>
                <c:pt idx="419">
                  <c:v>42037</c:v>
                </c:pt>
                <c:pt idx="420">
                  <c:v>42038</c:v>
                </c:pt>
                <c:pt idx="421">
                  <c:v>42039</c:v>
                </c:pt>
                <c:pt idx="422">
                  <c:v>42040</c:v>
                </c:pt>
                <c:pt idx="423">
                  <c:v>42041</c:v>
                </c:pt>
                <c:pt idx="424">
                  <c:v>42044</c:v>
                </c:pt>
                <c:pt idx="425">
                  <c:v>42045</c:v>
                </c:pt>
                <c:pt idx="426">
                  <c:v>42046</c:v>
                </c:pt>
                <c:pt idx="427">
                  <c:v>42047</c:v>
                </c:pt>
                <c:pt idx="428">
                  <c:v>42048</c:v>
                </c:pt>
                <c:pt idx="429">
                  <c:v>42052</c:v>
                </c:pt>
                <c:pt idx="430">
                  <c:v>42053</c:v>
                </c:pt>
                <c:pt idx="431">
                  <c:v>42054</c:v>
                </c:pt>
                <c:pt idx="432">
                  <c:v>42055</c:v>
                </c:pt>
                <c:pt idx="433">
                  <c:v>42058</c:v>
                </c:pt>
                <c:pt idx="434">
                  <c:v>42059</c:v>
                </c:pt>
                <c:pt idx="435">
                  <c:v>42060</c:v>
                </c:pt>
                <c:pt idx="436">
                  <c:v>42061</c:v>
                </c:pt>
                <c:pt idx="437">
                  <c:v>42062</c:v>
                </c:pt>
                <c:pt idx="438">
                  <c:v>42065</c:v>
                </c:pt>
                <c:pt idx="439">
                  <c:v>42066</c:v>
                </c:pt>
                <c:pt idx="440">
                  <c:v>42067</c:v>
                </c:pt>
                <c:pt idx="441">
                  <c:v>42068</c:v>
                </c:pt>
                <c:pt idx="442">
                  <c:v>42069</c:v>
                </c:pt>
                <c:pt idx="443">
                  <c:v>42072</c:v>
                </c:pt>
                <c:pt idx="444">
                  <c:v>42073</c:v>
                </c:pt>
                <c:pt idx="445">
                  <c:v>42074</c:v>
                </c:pt>
                <c:pt idx="446">
                  <c:v>42075</c:v>
                </c:pt>
                <c:pt idx="447">
                  <c:v>42076</c:v>
                </c:pt>
                <c:pt idx="448">
                  <c:v>42079</c:v>
                </c:pt>
                <c:pt idx="449">
                  <c:v>42080</c:v>
                </c:pt>
                <c:pt idx="450">
                  <c:v>42081</c:v>
                </c:pt>
                <c:pt idx="451">
                  <c:v>42082</c:v>
                </c:pt>
                <c:pt idx="452">
                  <c:v>42083</c:v>
                </c:pt>
                <c:pt idx="453">
                  <c:v>42086</c:v>
                </c:pt>
                <c:pt idx="454">
                  <c:v>42087</c:v>
                </c:pt>
                <c:pt idx="455">
                  <c:v>42088</c:v>
                </c:pt>
                <c:pt idx="456">
                  <c:v>42089</c:v>
                </c:pt>
                <c:pt idx="457">
                  <c:v>42090</c:v>
                </c:pt>
                <c:pt idx="458">
                  <c:v>42093</c:v>
                </c:pt>
                <c:pt idx="459">
                  <c:v>42094</c:v>
                </c:pt>
                <c:pt idx="460">
                  <c:v>42095</c:v>
                </c:pt>
                <c:pt idx="461">
                  <c:v>42096</c:v>
                </c:pt>
                <c:pt idx="462">
                  <c:v>42100</c:v>
                </c:pt>
                <c:pt idx="463">
                  <c:v>42101</c:v>
                </c:pt>
                <c:pt idx="464">
                  <c:v>42102</c:v>
                </c:pt>
                <c:pt idx="465">
                  <c:v>42103</c:v>
                </c:pt>
                <c:pt idx="466">
                  <c:v>42104</c:v>
                </c:pt>
                <c:pt idx="467">
                  <c:v>42107</c:v>
                </c:pt>
                <c:pt idx="468">
                  <c:v>42108</c:v>
                </c:pt>
                <c:pt idx="469">
                  <c:v>42109</c:v>
                </c:pt>
                <c:pt idx="470">
                  <c:v>42110</c:v>
                </c:pt>
                <c:pt idx="471">
                  <c:v>42111</c:v>
                </c:pt>
                <c:pt idx="472">
                  <c:v>42114</c:v>
                </c:pt>
                <c:pt idx="473">
                  <c:v>42115</c:v>
                </c:pt>
                <c:pt idx="474">
                  <c:v>42116</c:v>
                </c:pt>
                <c:pt idx="475">
                  <c:v>42117</c:v>
                </c:pt>
                <c:pt idx="476">
                  <c:v>42118</c:v>
                </c:pt>
                <c:pt idx="477">
                  <c:v>42121</c:v>
                </c:pt>
                <c:pt idx="478">
                  <c:v>42122</c:v>
                </c:pt>
                <c:pt idx="479">
                  <c:v>42123</c:v>
                </c:pt>
                <c:pt idx="480">
                  <c:v>42124</c:v>
                </c:pt>
                <c:pt idx="481">
                  <c:v>42125</c:v>
                </c:pt>
                <c:pt idx="482">
                  <c:v>42128</c:v>
                </c:pt>
                <c:pt idx="483">
                  <c:v>42129</c:v>
                </c:pt>
                <c:pt idx="484">
                  <c:v>42130</c:v>
                </c:pt>
                <c:pt idx="485">
                  <c:v>42131</c:v>
                </c:pt>
                <c:pt idx="486">
                  <c:v>42132</c:v>
                </c:pt>
                <c:pt idx="487">
                  <c:v>42135</c:v>
                </c:pt>
                <c:pt idx="488">
                  <c:v>42136</c:v>
                </c:pt>
                <c:pt idx="489">
                  <c:v>42137</c:v>
                </c:pt>
                <c:pt idx="490">
                  <c:v>42138</c:v>
                </c:pt>
                <c:pt idx="491">
                  <c:v>42139</c:v>
                </c:pt>
                <c:pt idx="492">
                  <c:v>42142</c:v>
                </c:pt>
                <c:pt idx="493">
                  <c:v>42143</c:v>
                </c:pt>
                <c:pt idx="494">
                  <c:v>42144</c:v>
                </c:pt>
                <c:pt idx="495">
                  <c:v>42145</c:v>
                </c:pt>
                <c:pt idx="496">
                  <c:v>42146</c:v>
                </c:pt>
                <c:pt idx="497">
                  <c:v>42150</c:v>
                </c:pt>
                <c:pt idx="498">
                  <c:v>42151</c:v>
                </c:pt>
                <c:pt idx="499">
                  <c:v>42152</c:v>
                </c:pt>
                <c:pt idx="500">
                  <c:v>42153</c:v>
                </c:pt>
                <c:pt idx="501">
                  <c:v>42156</c:v>
                </c:pt>
                <c:pt idx="502">
                  <c:v>42157</c:v>
                </c:pt>
                <c:pt idx="503">
                  <c:v>42158</c:v>
                </c:pt>
                <c:pt idx="504">
                  <c:v>42159</c:v>
                </c:pt>
                <c:pt idx="505">
                  <c:v>42160</c:v>
                </c:pt>
                <c:pt idx="506">
                  <c:v>42163</c:v>
                </c:pt>
                <c:pt idx="507">
                  <c:v>42164</c:v>
                </c:pt>
                <c:pt idx="508">
                  <c:v>42165</c:v>
                </c:pt>
                <c:pt idx="509">
                  <c:v>42166</c:v>
                </c:pt>
                <c:pt idx="510">
                  <c:v>42167</c:v>
                </c:pt>
                <c:pt idx="511">
                  <c:v>42170</c:v>
                </c:pt>
                <c:pt idx="512">
                  <c:v>42171</c:v>
                </c:pt>
                <c:pt idx="513">
                  <c:v>42172</c:v>
                </c:pt>
                <c:pt idx="514">
                  <c:v>42173</c:v>
                </c:pt>
                <c:pt idx="515">
                  <c:v>42174</c:v>
                </c:pt>
                <c:pt idx="516">
                  <c:v>42177</c:v>
                </c:pt>
                <c:pt idx="517">
                  <c:v>42178</c:v>
                </c:pt>
                <c:pt idx="518">
                  <c:v>42179</c:v>
                </c:pt>
                <c:pt idx="519">
                  <c:v>42180</c:v>
                </c:pt>
                <c:pt idx="520">
                  <c:v>42181</c:v>
                </c:pt>
                <c:pt idx="521">
                  <c:v>42184</c:v>
                </c:pt>
                <c:pt idx="522">
                  <c:v>42185</c:v>
                </c:pt>
                <c:pt idx="523">
                  <c:v>42186</c:v>
                </c:pt>
                <c:pt idx="524">
                  <c:v>42187</c:v>
                </c:pt>
                <c:pt idx="525">
                  <c:v>42191</c:v>
                </c:pt>
                <c:pt idx="526">
                  <c:v>42192</c:v>
                </c:pt>
                <c:pt idx="527">
                  <c:v>42193</c:v>
                </c:pt>
                <c:pt idx="528">
                  <c:v>42194</c:v>
                </c:pt>
                <c:pt idx="529">
                  <c:v>42195</c:v>
                </c:pt>
                <c:pt idx="530">
                  <c:v>42198</c:v>
                </c:pt>
                <c:pt idx="531">
                  <c:v>42199</c:v>
                </c:pt>
                <c:pt idx="532">
                  <c:v>42200</c:v>
                </c:pt>
                <c:pt idx="533">
                  <c:v>42201</c:v>
                </c:pt>
                <c:pt idx="534">
                  <c:v>42202</c:v>
                </c:pt>
                <c:pt idx="535">
                  <c:v>42205</c:v>
                </c:pt>
                <c:pt idx="536">
                  <c:v>42206</c:v>
                </c:pt>
                <c:pt idx="537">
                  <c:v>42207</c:v>
                </c:pt>
                <c:pt idx="538">
                  <c:v>42208</c:v>
                </c:pt>
                <c:pt idx="539">
                  <c:v>42209</c:v>
                </c:pt>
                <c:pt idx="540">
                  <c:v>42212</c:v>
                </c:pt>
                <c:pt idx="541">
                  <c:v>42213</c:v>
                </c:pt>
                <c:pt idx="542">
                  <c:v>42214</c:v>
                </c:pt>
                <c:pt idx="543">
                  <c:v>42215</c:v>
                </c:pt>
                <c:pt idx="544">
                  <c:v>42216</c:v>
                </c:pt>
                <c:pt idx="545">
                  <c:v>42219</c:v>
                </c:pt>
                <c:pt idx="546">
                  <c:v>42220</c:v>
                </c:pt>
                <c:pt idx="547">
                  <c:v>42221</c:v>
                </c:pt>
                <c:pt idx="548">
                  <c:v>42222</c:v>
                </c:pt>
                <c:pt idx="549">
                  <c:v>42223</c:v>
                </c:pt>
                <c:pt idx="550">
                  <c:v>42226</c:v>
                </c:pt>
                <c:pt idx="551">
                  <c:v>42227</c:v>
                </c:pt>
                <c:pt idx="552">
                  <c:v>42228</c:v>
                </c:pt>
                <c:pt idx="553">
                  <c:v>42229</c:v>
                </c:pt>
                <c:pt idx="554">
                  <c:v>42230</c:v>
                </c:pt>
                <c:pt idx="555">
                  <c:v>42233</c:v>
                </c:pt>
                <c:pt idx="556">
                  <c:v>42234</c:v>
                </c:pt>
                <c:pt idx="557">
                  <c:v>42235</c:v>
                </c:pt>
                <c:pt idx="558">
                  <c:v>42236</c:v>
                </c:pt>
                <c:pt idx="559">
                  <c:v>42237</c:v>
                </c:pt>
                <c:pt idx="560">
                  <c:v>42240</c:v>
                </c:pt>
                <c:pt idx="561">
                  <c:v>42241</c:v>
                </c:pt>
                <c:pt idx="562">
                  <c:v>42242</c:v>
                </c:pt>
                <c:pt idx="563">
                  <c:v>42243</c:v>
                </c:pt>
                <c:pt idx="564">
                  <c:v>42244</c:v>
                </c:pt>
                <c:pt idx="565">
                  <c:v>42247</c:v>
                </c:pt>
                <c:pt idx="566">
                  <c:v>42248</c:v>
                </c:pt>
                <c:pt idx="567">
                  <c:v>42249</c:v>
                </c:pt>
                <c:pt idx="568">
                  <c:v>42250</c:v>
                </c:pt>
                <c:pt idx="569">
                  <c:v>42251</c:v>
                </c:pt>
                <c:pt idx="570">
                  <c:v>42255</c:v>
                </c:pt>
                <c:pt idx="571">
                  <c:v>42256</c:v>
                </c:pt>
                <c:pt idx="572">
                  <c:v>42257</c:v>
                </c:pt>
                <c:pt idx="573">
                  <c:v>42258</c:v>
                </c:pt>
                <c:pt idx="574">
                  <c:v>42261</c:v>
                </c:pt>
                <c:pt idx="575">
                  <c:v>42262</c:v>
                </c:pt>
                <c:pt idx="576">
                  <c:v>42263</c:v>
                </c:pt>
                <c:pt idx="577">
                  <c:v>42264</c:v>
                </c:pt>
                <c:pt idx="578">
                  <c:v>42265</c:v>
                </c:pt>
                <c:pt idx="579">
                  <c:v>42268</c:v>
                </c:pt>
                <c:pt idx="580">
                  <c:v>42269</c:v>
                </c:pt>
                <c:pt idx="581">
                  <c:v>42270</c:v>
                </c:pt>
                <c:pt idx="582">
                  <c:v>42271</c:v>
                </c:pt>
                <c:pt idx="583">
                  <c:v>42272</c:v>
                </c:pt>
                <c:pt idx="584">
                  <c:v>42275</c:v>
                </c:pt>
                <c:pt idx="585">
                  <c:v>42276</c:v>
                </c:pt>
                <c:pt idx="586">
                  <c:v>42277</c:v>
                </c:pt>
                <c:pt idx="587">
                  <c:v>42278</c:v>
                </c:pt>
                <c:pt idx="588">
                  <c:v>42279</c:v>
                </c:pt>
                <c:pt idx="589">
                  <c:v>42282</c:v>
                </c:pt>
                <c:pt idx="590">
                  <c:v>42283</c:v>
                </c:pt>
                <c:pt idx="591">
                  <c:v>42284</c:v>
                </c:pt>
                <c:pt idx="592">
                  <c:v>42285</c:v>
                </c:pt>
                <c:pt idx="593">
                  <c:v>42286</c:v>
                </c:pt>
                <c:pt idx="594">
                  <c:v>42289</c:v>
                </c:pt>
                <c:pt idx="595">
                  <c:v>42290</c:v>
                </c:pt>
                <c:pt idx="596">
                  <c:v>42291</c:v>
                </c:pt>
                <c:pt idx="597">
                  <c:v>42292</c:v>
                </c:pt>
                <c:pt idx="598">
                  <c:v>42293</c:v>
                </c:pt>
                <c:pt idx="599">
                  <c:v>42296</c:v>
                </c:pt>
                <c:pt idx="600">
                  <c:v>42297</c:v>
                </c:pt>
                <c:pt idx="601">
                  <c:v>42298</c:v>
                </c:pt>
                <c:pt idx="602">
                  <c:v>42299</c:v>
                </c:pt>
                <c:pt idx="603">
                  <c:v>42300</c:v>
                </c:pt>
                <c:pt idx="604">
                  <c:v>42303</c:v>
                </c:pt>
                <c:pt idx="605">
                  <c:v>42304</c:v>
                </c:pt>
                <c:pt idx="606">
                  <c:v>42305</c:v>
                </c:pt>
                <c:pt idx="607">
                  <c:v>42306</c:v>
                </c:pt>
                <c:pt idx="608">
                  <c:v>42307</c:v>
                </c:pt>
                <c:pt idx="609">
                  <c:v>42310</c:v>
                </c:pt>
                <c:pt idx="610">
                  <c:v>42311</c:v>
                </c:pt>
                <c:pt idx="611">
                  <c:v>42312</c:v>
                </c:pt>
                <c:pt idx="612">
                  <c:v>42313</c:v>
                </c:pt>
                <c:pt idx="613">
                  <c:v>42314</c:v>
                </c:pt>
                <c:pt idx="614">
                  <c:v>42317</c:v>
                </c:pt>
                <c:pt idx="615">
                  <c:v>42318</c:v>
                </c:pt>
                <c:pt idx="616">
                  <c:v>42319</c:v>
                </c:pt>
                <c:pt idx="617">
                  <c:v>42320</c:v>
                </c:pt>
                <c:pt idx="618">
                  <c:v>42321</c:v>
                </c:pt>
                <c:pt idx="619">
                  <c:v>42324</c:v>
                </c:pt>
                <c:pt idx="620">
                  <c:v>42325</c:v>
                </c:pt>
                <c:pt idx="621">
                  <c:v>42326</c:v>
                </c:pt>
                <c:pt idx="622">
                  <c:v>42327</c:v>
                </c:pt>
                <c:pt idx="623">
                  <c:v>42328</c:v>
                </c:pt>
                <c:pt idx="624">
                  <c:v>42331</c:v>
                </c:pt>
                <c:pt idx="625">
                  <c:v>42332</c:v>
                </c:pt>
                <c:pt idx="626">
                  <c:v>42333</c:v>
                </c:pt>
                <c:pt idx="627">
                  <c:v>42335</c:v>
                </c:pt>
                <c:pt idx="628">
                  <c:v>42338</c:v>
                </c:pt>
                <c:pt idx="629">
                  <c:v>42339</c:v>
                </c:pt>
                <c:pt idx="630">
                  <c:v>42340</c:v>
                </c:pt>
                <c:pt idx="631">
                  <c:v>42341</c:v>
                </c:pt>
                <c:pt idx="632">
                  <c:v>42342</c:v>
                </c:pt>
                <c:pt idx="633">
                  <c:v>42345</c:v>
                </c:pt>
                <c:pt idx="634">
                  <c:v>42346</c:v>
                </c:pt>
                <c:pt idx="635">
                  <c:v>42347</c:v>
                </c:pt>
                <c:pt idx="636">
                  <c:v>42348</c:v>
                </c:pt>
                <c:pt idx="637">
                  <c:v>42349</c:v>
                </c:pt>
                <c:pt idx="638">
                  <c:v>42352</c:v>
                </c:pt>
                <c:pt idx="639">
                  <c:v>42353</c:v>
                </c:pt>
                <c:pt idx="640">
                  <c:v>42354</c:v>
                </c:pt>
                <c:pt idx="641">
                  <c:v>42355</c:v>
                </c:pt>
                <c:pt idx="642">
                  <c:v>42356</c:v>
                </c:pt>
                <c:pt idx="643">
                  <c:v>42359</c:v>
                </c:pt>
                <c:pt idx="644">
                  <c:v>42360</c:v>
                </c:pt>
                <c:pt idx="645">
                  <c:v>42361</c:v>
                </c:pt>
                <c:pt idx="646">
                  <c:v>42362</c:v>
                </c:pt>
                <c:pt idx="647">
                  <c:v>42366</c:v>
                </c:pt>
                <c:pt idx="648">
                  <c:v>42367</c:v>
                </c:pt>
                <c:pt idx="649">
                  <c:v>42368</c:v>
                </c:pt>
                <c:pt idx="650">
                  <c:v>42369</c:v>
                </c:pt>
                <c:pt idx="651">
                  <c:v>42373</c:v>
                </c:pt>
                <c:pt idx="652">
                  <c:v>42374</c:v>
                </c:pt>
                <c:pt idx="653">
                  <c:v>42375</c:v>
                </c:pt>
                <c:pt idx="654">
                  <c:v>42376</c:v>
                </c:pt>
                <c:pt idx="655">
                  <c:v>42377</c:v>
                </c:pt>
                <c:pt idx="656">
                  <c:v>42380</c:v>
                </c:pt>
                <c:pt idx="657">
                  <c:v>42381</c:v>
                </c:pt>
                <c:pt idx="658">
                  <c:v>42382</c:v>
                </c:pt>
                <c:pt idx="659">
                  <c:v>42383</c:v>
                </c:pt>
                <c:pt idx="660">
                  <c:v>42384</c:v>
                </c:pt>
                <c:pt idx="661">
                  <c:v>42388</c:v>
                </c:pt>
                <c:pt idx="662">
                  <c:v>42389</c:v>
                </c:pt>
                <c:pt idx="663">
                  <c:v>42390</c:v>
                </c:pt>
                <c:pt idx="664">
                  <c:v>42391</c:v>
                </c:pt>
                <c:pt idx="665">
                  <c:v>42394</c:v>
                </c:pt>
                <c:pt idx="666">
                  <c:v>42395</c:v>
                </c:pt>
                <c:pt idx="667">
                  <c:v>42396</c:v>
                </c:pt>
                <c:pt idx="668">
                  <c:v>42397</c:v>
                </c:pt>
                <c:pt idx="669">
                  <c:v>42398</c:v>
                </c:pt>
                <c:pt idx="670">
                  <c:v>42401</c:v>
                </c:pt>
                <c:pt idx="671">
                  <c:v>42402</c:v>
                </c:pt>
                <c:pt idx="672">
                  <c:v>42403</c:v>
                </c:pt>
                <c:pt idx="673">
                  <c:v>42404</c:v>
                </c:pt>
                <c:pt idx="674">
                  <c:v>42405</c:v>
                </c:pt>
                <c:pt idx="675">
                  <c:v>42408</c:v>
                </c:pt>
                <c:pt idx="676">
                  <c:v>42409</c:v>
                </c:pt>
                <c:pt idx="677">
                  <c:v>42410</c:v>
                </c:pt>
                <c:pt idx="678">
                  <c:v>42411</c:v>
                </c:pt>
                <c:pt idx="679">
                  <c:v>42412</c:v>
                </c:pt>
                <c:pt idx="680">
                  <c:v>42416</c:v>
                </c:pt>
                <c:pt idx="681">
                  <c:v>42417</c:v>
                </c:pt>
                <c:pt idx="682">
                  <c:v>42418</c:v>
                </c:pt>
                <c:pt idx="683">
                  <c:v>42419</c:v>
                </c:pt>
                <c:pt idx="684">
                  <c:v>42422</c:v>
                </c:pt>
                <c:pt idx="685">
                  <c:v>42423</c:v>
                </c:pt>
                <c:pt idx="686">
                  <c:v>42424</c:v>
                </c:pt>
                <c:pt idx="687">
                  <c:v>42425</c:v>
                </c:pt>
                <c:pt idx="688">
                  <c:v>42426</c:v>
                </c:pt>
                <c:pt idx="689">
                  <c:v>42429</c:v>
                </c:pt>
                <c:pt idx="690">
                  <c:v>42430</c:v>
                </c:pt>
                <c:pt idx="691">
                  <c:v>42431</c:v>
                </c:pt>
                <c:pt idx="692">
                  <c:v>42432</c:v>
                </c:pt>
                <c:pt idx="693">
                  <c:v>42433</c:v>
                </c:pt>
                <c:pt idx="694">
                  <c:v>42436</c:v>
                </c:pt>
                <c:pt idx="695">
                  <c:v>42437</c:v>
                </c:pt>
                <c:pt idx="696">
                  <c:v>42438</c:v>
                </c:pt>
                <c:pt idx="697">
                  <c:v>42439</c:v>
                </c:pt>
                <c:pt idx="698">
                  <c:v>42440</c:v>
                </c:pt>
                <c:pt idx="699">
                  <c:v>42443</c:v>
                </c:pt>
                <c:pt idx="700">
                  <c:v>42444</c:v>
                </c:pt>
                <c:pt idx="701">
                  <c:v>42445</c:v>
                </c:pt>
                <c:pt idx="702">
                  <c:v>42446</c:v>
                </c:pt>
                <c:pt idx="703">
                  <c:v>42447</c:v>
                </c:pt>
                <c:pt idx="704">
                  <c:v>42450</c:v>
                </c:pt>
                <c:pt idx="705">
                  <c:v>42451</c:v>
                </c:pt>
                <c:pt idx="706">
                  <c:v>42452</c:v>
                </c:pt>
                <c:pt idx="707">
                  <c:v>42453</c:v>
                </c:pt>
                <c:pt idx="708">
                  <c:v>42457</c:v>
                </c:pt>
                <c:pt idx="709">
                  <c:v>42458</c:v>
                </c:pt>
                <c:pt idx="710">
                  <c:v>42459</c:v>
                </c:pt>
                <c:pt idx="711">
                  <c:v>42460</c:v>
                </c:pt>
                <c:pt idx="712">
                  <c:v>42461</c:v>
                </c:pt>
                <c:pt idx="713">
                  <c:v>42464</c:v>
                </c:pt>
                <c:pt idx="714">
                  <c:v>42465</c:v>
                </c:pt>
                <c:pt idx="715">
                  <c:v>42466</c:v>
                </c:pt>
                <c:pt idx="716">
                  <c:v>42467</c:v>
                </c:pt>
                <c:pt idx="717">
                  <c:v>42468</c:v>
                </c:pt>
                <c:pt idx="718">
                  <c:v>42471</c:v>
                </c:pt>
                <c:pt idx="719">
                  <c:v>42472</c:v>
                </c:pt>
                <c:pt idx="720">
                  <c:v>42473</c:v>
                </c:pt>
                <c:pt idx="721">
                  <c:v>42474</c:v>
                </c:pt>
                <c:pt idx="722">
                  <c:v>42475</c:v>
                </c:pt>
                <c:pt idx="723">
                  <c:v>42478</c:v>
                </c:pt>
                <c:pt idx="724">
                  <c:v>42479</c:v>
                </c:pt>
                <c:pt idx="725">
                  <c:v>42480</c:v>
                </c:pt>
                <c:pt idx="726">
                  <c:v>42481</c:v>
                </c:pt>
                <c:pt idx="727">
                  <c:v>42482</c:v>
                </c:pt>
                <c:pt idx="728">
                  <c:v>42485</c:v>
                </c:pt>
                <c:pt idx="729">
                  <c:v>42486</c:v>
                </c:pt>
                <c:pt idx="730">
                  <c:v>42487</c:v>
                </c:pt>
                <c:pt idx="731">
                  <c:v>42488</c:v>
                </c:pt>
                <c:pt idx="732">
                  <c:v>42489</c:v>
                </c:pt>
                <c:pt idx="733">
                  <c:v>42492</c:v>
                </c:pt>
                <c:pt idx="734">
                  <c:v>42493</c:v>
                </c:pt>
                <c:pt idx="735">
                  <c:v>42494</c:v>
                </c:pt>
                <c:pt idx="736">
                  <c:v>42495</c:v>
                </c:pt>
                <c:pt idx="737">
                  <c:v>42496</c:v>
                </c:pt>
                <c:pt idx="738">
                  <c:v>42499</c:v>
                </c:pt>
                <c:pt idx="739">
                  <c:v>42500</c:v>
                </c:pt>
                <c:pt idx="740">
                  <c:v>42501</c:v>
                </c:pt>
                <c:pt idx="741">
                  <c:v>42502</c:v>
                </c:pt>
                <c:pt idx="742">
                  <c:v>42503</c:v>
                </c:pt>
                <c:pt idx="743">
                  <c:v>42506</c:v>
                </c:pt>
                <c:pt idx="744">
                  <c:v>42507</c:v>
                </c:pt>
                <c:pt idx="745">
                  <c:v>42508</c:v>
                </c:pt>
                <c:pt idx="746">
                  <c:v>42509</c:v>
                </c:pt>
                <c:pt idx="747">
                  <c:v>42510</c:v>
                </c:pt>
                <c:pt idx="748">
                  <c:v>42513</c:v>
                </c:pt>
                <c:pt idx="749">
                  <c:v>42514</c:v>
                </c:pt>
                <c:pt idx="750">
                  <c:v>42515</c:v>
                </c:pt>
                <c:pt idx="751">
                  <c:v>42516</c:v>
                </c:pt>
                <c:pt idx="752">
                  <c:v>42517</c:v>
                </c:pt>
                <c:pt idx="753">
                  <c:v>42521</c:v>
                </c:pt>
                <c:pt idx="754">
                  <c:v>42522</c:v>
                </c:pt>
                <c:pt idx="755">
                  <c:v>42523</c:v>
                </c:pt>
                <c:pt idx="756">
                  <c:v>42524</c:v>
                </c:pt>
                <c:pt idx="757">
                  <c:v>42527</c:v>
                </c:pt>
                <c:pt idx="758">
                  <c:v>42528</c:v>
                </c:pt>
                <c:pt idx="759">
                  <c:v>42529</c:v>
                </c:pt>
                <c:pt idx="760">
                  <c:v>42530</c:v>
                </c:pt>
                <c:pt idx="761">
                  <c:v>42531</c:v>
                </c:pt>
                <c:pt idx="762">
                  <c:v>42534</c:v>
                </c:pt>
                <c:pt idx="763">
                  <c:v>42535</c:v>
                </c:pt>
                <c:pt idx="764">
                  <c:v>42536</c:v>
                </c:pt>
                <c:pt idx="765">
                  <c:v>42537</c:v>
                </c:pt>
                <c:pt idx="766">
                  <c:v>42538</c:v>
                </c:pt>
                <c:pt idx="767">
                  <c:v>42541</c:v>
                </c:pt>
                <c:pt idx="768">
                  <c:v>42542</c:v>
                </c:pt>
                <c:pt idx="769">
                  <c:v>42543</c:v>
                </c:pt>
                <c:pt idx="770">
                  <c:v>42544</c:v>
                </c:pt>
                <c:pt idx="771">
                  <c:v>42545</c:v>
                </c:pt>
                <c:pt idx="772">
                  <c:v>42548</c:v>
                </c:pt>
                <c:pt idx="773">
                  <c:v>42549</c:v>
                </c:pt>
                <c:pt idx="774">
                  <c:v>42550</c:v>
                </c:pt>
                <c:pt idx="775">
                  <c:v>42551</c:v>
                </c:pt>
                <c:pt idx="776">
                  <c:v>42552</c:v>
                </c:pt>
                <c:pt idx="777">
                  <c:v>42556</c:v>
                </c:pt>
                <c:pt idx="778">
                  <c:v>42557</c:v>
                </c:pt>
                <c:pt idx="779">
                  <c:v>42558</c:v>
                </c:pt>
                <c:pt idx="780">
                  <c:v>42559</c:v>
                </c:pt>
                <c:pt idx="781">
                  <c:v>42562</c:v>
                </c:pt>
                <c:pt idx="782">
                  <c:v>42563</c:v>
                </c:pt>
                <c:pt idx="783">
                  <c:v>42564</c:v>
                </c:pt>
                <c:pt idx="784">
                  <c:v>42565</c:v>
                </c:pt>
                <c:pt idx="785">
                  <c:v>42566</c:v>
                </c:pt>
                <c:pt idx="786">
                  <c:v>42569</c:v>
                </c:pt>
                <c:pt idx="787">
                  <c:v>42570</c:v>
                </c:pt>
                <c:pt idx="788">
                  <c:v>42571</c:v>
                </c:pt>
                <c:pt idx="789">
                  <c:v>42572</c:v>
                </c:pt>
                <c:pt idx="790">
                  <c:v>42573</c:v>
                </c:pt>
                <c:pt idx="791">
                  <c:v>42576</c:v>
                </c:pt>
                <c:pt idx="792">
                  <c:v>42577</c:v>
                </c:pt>
                <c:pt idx="793">
                  <c:v>42578</c:v>
                </c:pt>
                <c:pt idx="794">
                  <c:v>42579</c:v>
                </c:pt>
                <c:pt idx="795">
                  <c:v>42580</c:v>
                </c:pt>
                <c:pt idx="796">
                  <c:v>42583</c:v>
                </c:pt>
                <c:pt idx="797">
                  <c:v>42584</c:v>
                </c:pt>
                <c:pt idx="798">
                  <c:v>42585</c:v>
                </c:pt>
                <c:pt idx="799">
                  <c:v>42586</c:v>
                </c:pt>
                <c:pt idx="800">
                  <c:v>42587</c:v>
                </c:pt>
                <c:pt idx="801">
                  <c:v>42590</c:v>
                </c:pt>
                <c:pt idx="802">
                  <c:v>42591</c:v>
                </c:pt>
                <c:pt idx="803">
                  <c:v>42592</c:v>
                </c:pt>
                <c:pt idx="804">
                  <c:v>42593</c:v>
                </c:pt>
                <c:pt idx="805">
                  <c:v>42594</c:v>
                </c:pt>
                <c:pt idx="806">
                  <c:v>42597</c:v>
                </c:pt>
                <c:pt idx="807">
                  <c:v>42598</c:v>
                </c:pt>
                <c:pt idx="808">
                  <c:v>42599</c:v>
                </c:pt>
                <c:pt idx="809">
                  <c:v>42600</c:v>
                </c:pt>
                <c:pt idx="810">
                  <c:v>42601</c:v>
                </c:pt>
                <c:pt idx="811">
                  <c:v>42604</c:v>
                </c:pt>
                <c:pt idx="812">
                  <c:v>42605</c:v>
                </c:pt>
                <c:pt idx="813">
                  <c:v>42606</c:v>
                </c:pt>
                <c:pt idx="814">
                  <c:v>42607</c:v>
                </c:pt>
                <c:pt idx="815">
                  <c:v>42608</c:v>
                </c:pt>
                <c:pt idx="816">
                  <c:v>42611</c:v>
                </c:pt>
                <c:pt idx="817">
                  <c:v>42612</c:v>
                </c:pt>
                <c:pt idx="818">
                  <c:v>42613</c:v>
                </c:pt>
                <c:pt idx="819">
                  <c:v>42614</c:v>
                </c:pt>
                <c:pt idx="820">
                  <c:v>42615</c:v>
                </c:pt>
                <c:pt idx="821">
                  <c:v>42619</c:v>
                </c:pt>
                <c:pt idx="822">
                  <c:v>42620</c:v>
                </c:pt>
                <c:pt idx="823">
                  <c:v>42621</c:v>
                </c:pt>
                <c:pt idx="824">
                  <c:v>42622</c:v>
                </c:pt>
                <c:pt idx="825">
                  <c:v>42625</c:v>
                </c:pt>
                <c:pt idx="826">
                  <c:v>42626</c:v>
                </c:pt>
                <c:pt idx="827">
                  <c:v>42627</c:v>
                </c:pt>
                <c:pt idx="828">
                  <c:v>42628</c:v>
                </c:pt>
                <c:pt idx="829">
                  <c:v>42629</c:v>
                </c:pt>
                <c:pt idx="830">
                  <c:v>42632</c:v>
                </c:pt>
                <c:pt idx="831">
                  <c:v>42633</c:v>
                </c:pt>
                <c:pt idx="832">
                  <c:v>42634</c:v>
                </c:pt>
                <c:pt idx="833">
                  <c:v>42635</c:v>
                </c:pt>
                <c:pt idx="834">
                  <c:v>42636</c:v>
                </c:pt>
                <c:pt idx="835">
                  <c:v>42639</c:v>
                </c:pt>
                <c:pt idx="836">
                  <c:v>42640</c:v>
                </c:pt>
                <c:pt idx="837">
                  <c:v>42641</c:v>
                </c:pt>
                <c:pt idx="838">
                  <c:v>42642</c:v>
                </c:pt>
                <c:pt idx="839">
                  <c:v>42643</c:v>
                </c:pt>
                <c:pt idx="840">
                  <c:v>42646</c:v>
                </c:pt>
                <c:pt idx="841">
                  <c:v>42647</c:v>
                </c:pt>
                <c:pt idx="842">
                  <c:v>42648</c:v>
                </c:pt>
                <c:pt idx="843">
                  <c:v>42649</c:v>
                </c:pt>
                <c:pt idx="844">
                  <c:v>42650</c:v>
                </c:pt>
                <c:pt idx="845">
                  <c:v>42653</c:v>
                </c:pt>
                <c:pt idx="846">
                  <c:v>42654</c:v>
                </c:pt>
                <c:pt idx="847">
                  <c:v>42655</c:v>
                </c:pt>
                <c:pt idx="848">
                  <c:v>42656</c:v>
                </c:pt>
                <c:pt idx="849">
                  <c:v>42657</c:v>
                </c:pt>
                <c:pt idx="850">
                  <c:v>42660</c:v>
                </c:pt>
                <c:pt idx="851">
                  <c:v>42661</c:v>
                </c:pt>
                <c:pt idx="852">
                  <c:v>42662</c:v>
                </c:pt>
                <c:pt idx="853">
                  <c:v>42663</c:v>
                </c:pt>
                <c:pt idx="854">
                  <c:v>42664</c:v>
                </c:pt>
                <c:pt idx="855">
                  <c:v>42667</c:v>
                </c:pt>
                <c:pt idx="856">
                  <c:v>42668</c:v>
                </c:pt>
                <c:pt idx="857">
                  <c:v>42669</c:v>
                </c:pt>
                <c:pt idx="858">
                  <c:v>42670</c:v>
                </c:pt>
                <c:pt idx="859">
                  <c:v>42671</c:v>
                </c:pt>
                <c:pt idx="860">
                  <c:v>42674</c:v>
                </c:pt>
                <c:pt idx="861">
                  <c:v>42675</c:v>
                </c:pt>
                <c:pt idx="862">
                  <c:v>42676</c:v>
                </c:pt>
                <c:pt idx="863">
                  <c:v>42677</c:v>
                </c:pt>
                <c:pt idx="864">
                  <c:v>42678</c:v>
                </c:pt>
                <c:pt idx="865">
                  <c:v>42681</c:v>
                </c:pt>
                <c:pt idx="866">
                  <c:v>42682</c:v>
                </c:pt>
                <c:pt idx="867">
                  <c:v>42683</c:v>
                </c:pt>
                <c:pt idx="868">
                  <c:v>42684</c:v>
                </c:pt>
                <c:pt idx="869">
                  <c:v>42685</c:v>
                </c:pt>
                <c:pt idx="870">
                  <c:v>42688</c:v>
                </c:pt>
                <c:pt idx="871">
                  <c:v>42689</c:v>
                </c:pt>
                <c:pt idx="872">
                  <c:v>42690</c:v>
                </c:pt>
                <c:pt idx="873">
                  <c:v>42691</c:v>
                </c:pt>
                <c:pt idx="874">
                  <c:v>42692</c:v>
                </c:pt>
                <c:pt idx="875">
                  <c:v>42695</c:v>
                </c:pt>
                <c:pt idx="876">
                  <c:v>42696</c:v>
                </c:pt>
                <c:pt idx="877">
                  <c:v>42697</c:v>
                </c:pt>
                <c:pt idx="878">
                  <c:v>42699</c:v>
                </c:pt>
                <c:pt idx="879">
                  <c:v>42702</c:v>
                </c:pt>
                <c:pt idx="880">
                  <c:v>42703</c:v>
                </c:pt>
                <c:pt idx="881">
                  <c:v>42704</c:v>
                </c:pt>
                <c:pt idx="882">
                  <c:v>42705</c:v>
                </c:pt>
                <c:pt idx="883">
                  <c:v>42706</c:v>
                </c:pt>
                <c:pt idx="884">
                  <c:v>42709</c:v>
                </c:pt>
                <c:pt idx="885">
                  <c:v>42710</c:v>
                </c:pt>
                <c:pt idx="886">
                  <c:v>42711</c:v>
                </c:pt>
                <c:pt idx="887">
                  <c:v>42712</c:v>
                </c:pt>
                <c:pt idx="888">
                  <c:v>42713</c:v>
                </c:pt>
                <c:pt idx="889">
                  <c:v>42716</c:v>
                </c:pt>
                <c:pt idx="890">
                  <c:v>42717</c:v>
                </c:pt>
                <c:pt idx="891">
                  <c:v>42718</c:v>
                </c:pt>
                <c:pt idx="892">
                  <c:v>42719</c:v>
                </c:pt>
                <c:pt idx="893">
                  <c:v>42720</c:v>
                </c:pt>
                <c:pt idx="894">
                  <c:v>42723</c:v>
                </c:pt>
                <c:pt idx="895">
                  <c:v>42724</c:v>
                </c:pt>
                <c:pt idx="896">
                  <c:v>42725</c:v>
                </c:pt>
                <c:pt idx="897">
                  <c:v>42726</c:v>
                </c:pt>
                <c:pt idx="898">
                  <c:v>42727</c:v>
                </c:pt>
                <c:pt idx="899">
                  <c:v>42731</c:v>
                </c:pt>
                <c:pt idx="900">
                  <c:v>42732</c:v>
                </c:pt>
                <c:pt idx="901">
                  <c:v>42733</c:v>
                </c:pt>
                <c:pt idx="902">
                  <c:v>42734</c:v>
                </c:pt>
                <c:pt idx="903">
                  <c:v>42738</c:v>
                </c:pt>
                <c:pt idx="904">
                  <c:v>42739</c:v>
                </c:pt>
                <c:pt idx="905">
                  <c:v>42740</c:v>
                </c:pt>
                <c:pt idx="906">
                  <c:v>42741</c:v>
                </c:pt>
                <c:pt idx="907">
                  <c:v>42744</c:v>
                </c:pt>
                <c:pt idx="908">
                  <c:v>42745</c:v>
                </c:pt>
                <c:pt idx="909">
                  <c:v>42746</c:v>
                </c:pt>
                <c:pt idx="910">
                  <c:v>42747</c:v>
                </c:pt>
                <c:pt idx="911">
                  <c:v>42748</c:v>
                </c:pt>
                <c:pt idx="912">
                  <c:v>42752</c:v>
                </c:pt>
                <c:pt idx="913">
                  <c:v>42753</c:v>
                </c:pt>
                <c:pt idx="914">
                  <c:v>42754</c:v>
                </c:pt>
                <c:pt idx="915">
                  <c:v>42755</c:v>
                </c:pt>
                <c:pt idx="916">
                  <c:v>42758</c:v>
                </c:pt>
                <c:pt idx="917">
                  <c:v>42759</c:v>
                </c:pt>
                <c:pt idx="918">
                  <c:v>42760</c:v>
                </c:pt>
                <c:pt idx="919">
                  <c:v>42761</c:v>
                </c:pt>
                <c:pt idx="920">
                  <c:v>42762</c:v>
                </c:pt>
                <c:pt idx="921">
                  <c:v>42765</c:v>
                </c:pt>
                <c:pt idx="922">
                  <c:v>42766</c:v>
                </c:pt>
                <c:pt idx="923">
                  <c:v>42767</c:v>
                </c:pt>
                <c:pt idx="924">
                  <c:v>42768</c:v>
                </c:pt>
                <c:pt idx="925">
                  <c:v>42769</c:v>
                </c:pt>
                <c:pt idx="926">
                  <c:v>42772</c:v>
                </c:pt>
                <c:pt idx="927">
                  <c:v>42773</c:v>
                </c:pt>
                <c:pt idx="928">
                  <c:v>42774</c:v>
                </c:pt>
                <c:pt idx="929">
                  <c:v>42775</c:v>
                </c:pt>
                <c:pt idx="930">
                  <c:v>42776</c:v>
                </c:pt>
                <c:pt idx="931">
                  <c:v>42779</c:v>
                </c:pt>
                <c:pt idx="932">
                  <c:v>42780</c:v>
                </c:pt>
                <c:pt idx="933">
                  <c:v>42781</c:v>
                </c:pt>
                <c:pt idx="934">
                  <c:v>42782</c:v>
                </c:pt>
                <c:pt idx="935">
                  <c:v>42783</c:v>
                </c:pt>
                <c:pt idx="936">
                  <c:v>42787</c:v>
                </c:pt>
                <c:pt idx="937">
                  <c:v>42788</c:v>
                </c:pt>
                <c:pt idx="938">
                  <c:v>42789</c:v>
                </c:pt>
                <c:pt idx="939">
                  <c:v>42790</c:v>
                </c:pt>
                <c:pt idx="940">
                  <c:v>42793</c:v>
                </c:pt>
                <c:pt idx="941">
                  <c:v>42794</c:v>
                </c:pt>
                <c:pt idx="942">
                  <c:v>42795</c:v>
                </c:pt>
                <c:pt idx="943">
                  <c:v>42796</c:v>
                </c:pt>
                <c:pt idx="944">
                  <c:v>42797</c:v>
                </c:pt>
                <c:pt idx="945">
                  <c:v>42800</c:v>
                </c:pt>
                <c:pt idx="946">
                  <c:v>42801</c:v>
                </c:pt>
                <c:pt idx="947">
                  <c:v>42802</c:v>
                </c:pt>
                <c:pt idx="948">
                  <c:v>42803</c:v>
                </c:pt>
                <c:pt idx="949">
                  <c:v>42804</c:v>
                </c:pt>
                <c:pt idx="950">
                  <c:v>42807</c:v>
                </c:pt>
                <c:pt idx="951">
                  <c:v>42808</c:v>
                </c:pt>
                <c:pt idx="952">
                  <c:v>42809</c:v>
                </c:pt>
                <c:pt idx="953">
                  <c:v>42810</c:v>
                </c:pt>
                <c:pt idx="954">
                  <c:v>42811</c:v>
                </c:pt>
                <c:pt idx="955">
                  <c:v>42814</c:v>
                </c:pt>
                <c:pt idx="956">
                  <c:v>42815</c:v>
                </c:pt>
                <c:pt idx="957">
                  <c:v>42816</c:v>
                </c:pt>
                <c:pt idx="958">
                  <c:v>42817</c:v>
                </c:pt>
                <c:pt idx="959">
                  <c:v>42818</c:v>
                </c:pt>
                <c:pt idx="960">
                  <c:v>42821</c:v>
                </c:pt>
                <c:pt idx="961">
                  <c:v>42822</c:v>
                </c:pt>
                <c:pt idx="962">
                  <c:v>42823</c:v>
                </c:pt>
                <c:pt idx="963">
                  <c:v>42824</c:v>
                </c:pt>
                <c:pt idx="964">
                  <c:v>42825</c:v>
                </c:pt>
                <c:pt idx="965">
                  <c:v>42828</c:v>
                </c:pt>
                <c:pt idx="966">
                  <c:v>42829</c:v>
                </c:pt>
                <c:pt idx="967">
                  <c:v>42830</c:v>
                </c:pt>
                <c:pt idx="968">
                  <c:v>42831</c:v>
                </c:pt>
                <c:pt idx="969">
                  <c:v>42832</c:v>
                </c:pt>
                <c:pt idx="970">
                  <c:v>42835</c:v>
                </c:pt>
                <c:pt idx="971">
                  <c:v>42836</c:v>
                </c:pt>
                <c:pt idx="972">
                  <c:v>42837</c:v>
                </c:pt>
                <c:pt idx="973">
                  <c:v>42838</c:v>
                </c:pt>
                <c:pt idx="974">
                  <c:v>42842</c:v>
                </c:pt>
                <c:pt idx="975">
                  <c:v>42843</c:v>
                </c:pt>
                <c:pt idx="976">
                  <c:v>42844</c:v>
                </c:pt>
                <c:pt idx="977">
                  <c:v>42845</c:v>
                </c:pt>
                <c:pt idx="978">
                  <c:v>42846</c:v>
                </c:pt>
                <c:pt idx="979">
                  <c:v>42849</c:v>
                </c:pt>
                <c:pt idx="980">
                  <c:v>42850</c:v>
                </c:pt>
                <c:pt idx="981">
                  <c:v>42851</c:v>
                </c:pt>
                <c:pt idx="982">
                  <c:v>42852</c:v>
                </c:pt>
                <c:pt idx="983">
                  <c:v>42853</c:v>
                </c:pt>
                <c:pt idx="984">
                  <c:v>42856</c:v>
                </c:pt>
                <c:pt idx="985">
                  <c:v>42857</c:v>
                </c:pt>
                <c:pt idx="986">
                  <c:v>42858</c:v>
                </c:pt>
                <c:pt idx="987">
                  <c:v>42859</c:v>
                </c:pt>
                <c:pt idx="988">
                  <c:v>42860</c:v>
                </c:pt>
                <c:pt idx="989">
                  <c:v>42863</c:v>
                </c:pt>
                <c:pt idx="990">
                  <c:v>42864</c:v>
                </c:pt>
                <c:pt idx="991">
                  <c:v>42865</c:v>
                </c:pt>
                <c:pt idx="992">
                  <c:v>42866</c:v>
                </c:pt>
                <c:pt idx="993">
                  <c:v>42867</c:v>
                </c:pt>
                <c:pt idx="994">
                  <c:v>42870</c:v>
                </c:pt>
                <c:pt idx="995">
                  <c:v>42871</c:v>
                </c:pt>
                <c:pt idx="996">
                  <c:v>42872</c:v>
                </c:pt>
                <c:pt idx="997">
                  <c:v>42873</c:v>
                </c:pt>
                <c:pt idx="998">
                  <c:v>42874</c:v>
                </c:pt>
                <c:pt idx="999">
                  <c:v>42877</c:v>
                </c:pt>
                <c:pt idx="1000">
                  <c:v>42878</c:v>
                </c:pt>
                <c:pt idx="1001">
                  <c:v>42879</c:v>
                </c:pt>
                <c:pt idx="1002">
                  <c:v>42880</c:v>
                </c:pt>
                <c:pt idx="1003">
                  <c:v>42881</c:v>
                </c:pt>
                <c:pt idx="1004">
                  <c:v>42885</c:v>
                </c:pt>
                <c:pt idx="1005">
                  <c:v>42886</c:v>
                </c:pt>
                <c:pt idx="1006">
                  <c:v>42887</c:v>
                </c:pt>
                <c:pt idx="1007">
                  <c:v>42888</c:v>
                </c:pt>
                <c:pt idx="1008">
                  <c:v>42891</c:v>
                </c:pt>
                <c:pt idx="1009">
                  <c:v>42892</c:v>
                </c:pt>
                <c:pt idx="1010">
                  <c:v>42893</c:v>
                </c:pt>
                <c:pt idx="1011">
                  <c:v>42894</c:v>
                </c:pt>
                <c:pt idx="1012">
                  <c:v>42895</c:v>
                </c:pt>
                <c:pt idx="1013">
                  <c:v>42898</c:v>
                </c:pt>
                <c:pt idx="1014">
                  <c:v>42899</c:v>
                </c:pt>
                <c:pt idx="1015">
                  <c:v>42900</c:v>
                </c:pt>
                <c:pt idx="1016">
                  <c:v>42901</c:v>
                </c:pt>
                <c:pt idx="1017">
                  <c:v>42902</c:v>
                </c:pt>
                <c:pt idx="1018">
                  <c:v>42905</c:v>
                </c:pt>
                <c:pt idx="1019">
                  <c:v>42906</c:v>
                </c:pt>
                <c:pt idx="1020">
                  <c:v>42907</c:v>
                </c:pt>
                <c:pt idx="1021">
                  <c:v>42908</c:v>
                </c:pt>
                <c:pt idx="1022">
                  <c:v>42909</c:v>
                </c:pt>
                <c:pt idx="1023">
                  <c:v>42912</c:v>
                </c:pt>
                <c:pt idx="1024">
                  <c:v>42913</c:v>
                </c:pt>
                <c:pt idx="1025">
                  <c:v>42914</c:v>
                </c:pt>
                <c:pt idx="1026">
                  <c:v>42915</c:v>
                </c:pt>
                <c:pt idx="1027">
                  <c:v>42916</c:v>
                </c:pt>
                <c:pt idx="1028">
                  <c:v>42919</c:v>
                </c:pt>
                <c:pt idx="1029">
                  <c:v>42921</c:v>
                </c:pt>
                <c:pt idx="1030">
                  <c:v>42922</c:v>
                </c:pt>
                <c:pt idx="1031">
                  <c:v>42923</c:v>
                </c:pt>
                <c:pt idx="1032">
                  <c:v>42926</c:v>
                </c:pt>
                <c:pt idx="1033">
                  <c:v>42927</c:v>
                </c:pt>
                <c:pt idx="1034">
                  <c:v>42928</c:v>
                </c:pt>
                <c:pt idx="1035">
                  <c:v>42929</c:v>
                </c:pt>
                <c:pt idx="1036">
                  <c:v>42930</c:v>
                </c:pt>
                <c:pt idx="1037">
                  <c:v>42933</c:v>
                </c:pt>
                <c:pt idx="1038">
                  <c:v>42934</c:v>
                </c:pt>
                <c:pt idx="1039">
                  <c:v>42935</c:v>
                </c:pt>
                <c:pt idx="1040">
                  <c:v>42936</c:v>
                </c:pt>
                <c:pt idx="1041">
                  <c:v>42937</c:v>
                </c:pt>
                <c:pt idx="1042">
                  <c:v>42940</c:v>
                </c:pt>
                <c:pt idx="1043">
                  <c:v>42941</c:v>
                </c:pt>
                <c:pt idx="1044">
                  <c:v>42942</c:v>
                </c:pt>
                <c:pt idx="1045">
                  <c:v>42943</c:v>
                </c:pt>
                <c:pt idx="1046">
                  <c:v>42944</c:v>
                </c:pt>
                <c:pt idx="1047">
                  <c:v>42947</c:v>
                </c:pt>
                <c:pt idx="1048">
                  <c:v>42948</c:v>
                </c:pt>
                <c:pt idx="1049">
                  <c:v>42949</c:v>
                </c:pt>
                <c:pt idx="1050">
                  <c:v>42950</c:v>
                </c:pt>
                <c:pt idx="1051">
                  <c:v>42951</c:v>
                </c:pt>
                <c:pt idx="1052">
                  <c:v>42954</c:v>
                </c:pt>
                <c:pt idx="1053">
                  <c:v>42955</c:v>
                </c:pt>
                <c:pt idx="1054">
                  <c:v>42956</c:v>
                </c:pt>
                <c:pt idx="1055">
                  <c:v>42957</c:v>
                </c:pt>
                <c:pt idx="1056">
                  <c:v>42958</c:v>
                </c:pt>
                <c:pt idx="1057">
                  <c:v>42961</c:v>
                </c:pt>
                <c:pt idx="1058">
                  <c:v>42962</c:v>
                </c:pt>
                <c:pt idx="1059">
                  <c:v>42963</c:v>
                </c:pt>
                <c:pt idx="1060">
                  <c:v>42964</c:v>
                </c:pt>
                <c:pt idx="1061">
                  <c:v>42965</c:v>
                </c:pt>
                <c:pt idx="1062">
                  <c:v>42968</c:v>
                </c:pt>
                <c:pt idx="1063">
                  <c:v>42969</c:v>
                </c:pt>
                <c:pt idx="1064">
                  <c:v>42970</c:v>
                </c:pt>
                <c:pt idx="1065">
                  <c:v>42971</c:v>
                </c:pt>
                <c:pt idx="1066">
                  <c:v>42972</c:v>
                </c:pt>
                <c:pt idx="1067">
                  <c:v>42975</c:v>
                </c:pt>
                <c:pt idx="1068">
                  <c:v>42976</c:v>
                </c:pt>
                <c:pt idx="1069">
                  <c:v>42977</c:v>
                </c:pt>
                <c:pt idx="1070">
                  <c:v>42978</c:v>
                </c:pt>
                <c:pt idx="1071">
                  <c:v>42979</c:v>
                </c:pt>
                <c:pt idx="1072">
                  <c:v>42983</c:v>
                </c:pt>
                <c:pt idx="1073">
                  <c:v>42984</c:v>
                </c:pt>
                <c:pt idx="1074">
                  <c:v>42985</c:v>
                </c:pt>
                <c:pt idx="1075">
                  <c:v>42986</c:v>
                </c:pt>
                <c:pt idx="1076">
                  <c:v>42989</c:v>
                </c:pt>
                <c:pt idx="1077">
                  <c:v>42990</c:v>
                </c:pt>
                <c:pt idx="1078">
                  <c:v>42991</c:v>
                </c:pt>
                <c:pt idx="1079">
                  <c:v>42992</c:v>
                </c:pt>
                <c:pt idx="1080">
                  <c:v>42993</c:v>
                </c:pt>
                <c:pt idx="1081">
                  <c:v>42996</c:v>
                </c:pt>
                <c:pt idx="1082">
                  <c:v>42997</c:v>
                </c:pt>
                <c:pt idx="1083">
                  <c:v>42998</c:v>
                </c:pt>
                <c:pt idx="1084">
                  <c:v>42999</c:v>
                </c:pt>
                <c:pt idx="1085">
                  <c:v>43000</c:v>
                </c:pt>
                <c:pt idx="1086">
                  <c:v>43003</c:v>
                </c:pt>
                <c:pt idx="1087">
                  <c:v>43004</c:v>
                </c:pt>
                <c:pt idx="1088">
                  <c:v>43005</c:v>
                </c:pt>
                <c:pt idx="1089">
                  <c:v>43006</c:v>
                </c:pt>
                <c:pt idx="1090">
                  <c:v>43007</c:v>
                </c:pt>
                <c:pt idx="1091">
                  <c:v>43010</c:v>
                </c:pt>
                <c:pt idx="1092">
                  <c:v>43011</c:v>
                </c:pt>
                <c:pt idx="1093">
                  <c:v>43012</c:v>
                </c:pt>
                <c:pt idx="1094">
                  <c:v>43013</c:v>
                </c:pt>
                <c:pt idx="1095">
                  <c:v>43014</c:v>
                </c:pt>
                <c:pt idx="1096">
                  <c:v>43017</c:v>
                </c:pt>
                <c:pt idx="1097">
                  <c:v>43018</c:v>
                </c:pt>
                <c:pt idx="1098">
                  <c:v>43019</c:v>
                </c:pt>
                <c:pt idx="1099">
                  <c:v>43020</c:v>
                </c:pt>
                <c:pt idx="1100">
                  <c:v>43021</c:v>
                </c:pt>
                <c:pt idx="1101">
                  <c:v>43024</c:v>
                </c:pt>
                <c:pt idx="1102">
                  <c:v>43025</c:v>
                </c:pt>
                <c:pt idx="1103">
                  <c:v>43026</c:v>
                </c:pt>
                <c:pt idx="1104">
                  <c:v>43027</c:v>
                </c:pt>
                <c:pt idx="1105">
                  <c:v>43028</c:v>
                </c:pt>
                <c:pt idx="1106">
                  <c:v>43031</c:v>
                </c:pt>
                <c:pt idx="1107">
                  <c:v>43032</c:v>
                </c:pt>
                <c:pt idx="1108">
                  <c:v>43033</c:v>
                </c:pt>
                <c:pt idx="1109">
                  <c:v>43034</c:v>
                </c:pt>
                <c:pt idx="1110">
                  <c:v>43035</c:v>
                </c:pt>
                <c:pt idx="1111">
                  <c:v>43038</c:v>
                </c:pt>
                <c:pt idx="1112">
                  <c:v>43039</c:v>
                </c:pt>
                <c:pt idx="1113">
                  <c:v>43040</c:v>
                </c:pt>
                <c:pt idx="1114">
                  <c:v>43041</c:v>
                </c:pt>
                <c:pt idx="1115">
                  <c:v>43042</c:v>
                </c:pt>
                <c:pt idx="1116">
                  <c:v>43045</c:v>
                </c:pt>
                <c:pt idx="1117">
                  <c:v>43046</c:v>
                </c:pt>
                <c:pt idx="1118">
                  <c:v>43047</c:v>
                </c:pt>
                <c:pt idx="1119">
                  <c:v>43048</c:v>
                </c:pt>
                <c:pt idx="1120">
                  <c:v>43049</c:v>
                </c:pt>
                <c:pt idx="1121">
                  <c:v>43052</c:v>
                </c:pt>
                <c:pt idx="1122">
                  <c:v>43053</c:v>
                </c:pt>
                <c:pt idx="1123">
                  <c:v>43054</c:v>
                </c:pt>
                <c:pt idx="1124">
                  <c:v>43055</c:v>
                </c:pt>
                <c:pt idx="1125">
                  <c:v>43056</c:v>
                </c:pt>
                <c:pt idx="1126">
                  <c:v>43059</c:v>
                </c:pt>
                <c:pt idx="1127">
                  <c:v>43060</c:v>
                </c:pt>
                <c:pt idx="1128">
                  <c:v>43061</c:v>
                </c:pt>
                <c:pt idx="1129">
                  <c:v>43063</c:v>
                </c:pt>
                <c:pt idx="1130">
                  <c:v>43066</c:v>
                </c:pt>
                <c:pt idx="1131">
                  <c:v>43067</c:v>
                </c:pt>
                <c:pt idx="1132">
                  <c:v>43068</c:v>
                </c:pt>
                <c:pt idx="1133">
                  <c:v>43069</c:v>
                </c:pt>
                <c:pt idx="1134">
                  <c:v>43070</c:v>
                </c:pt>
                <c:pt idx="1135">
                  <c:v>43073</c:v>
                </c:pt>
                <c:pt idx="1136">
                  <c:v>43074</c:v>
                </c:pt>
                <c:pt idx="1137">
                  <c:v>43075</c:v>
                </c:pt>
                <c:pt idx="1138">
                  <c:v>43076</c:v>
                </c:pt>
                <c:pt idx="1139">
                  <c:v>43077</c:v>
                </c:pt>
                <c:pt idx="1140">
                  <c:v>43080</c:v>
                </c:pt>
                <c:pt idx="1141">
                  <c:v>43081</c:v>
                </c:pt>
                <c:pt idx="1142">
                  <c:v>43082</c:v>
                </c:pt>
                <c:pt idx="1143">
                  <c:v>43083</c:v>
                </c:pt>
                <c:pt idx="1144">
                  <c:v>43084</c:v>
                </c:pt>
                <c:pt idx="1145">
                  <c:v>43087</c:v>
                </c:pt>
                <c:pt idx="1146">
                  <c:v>43088</c:v>
                </c:pt>
                <c:pt idx="1147">
                  <c:v>43089</c:v>
                </c:pt>
                <c:pt idx="1148">
                  <c:v>43090</c:v>
                </c:pt>
                <c:pt idx="1149">
                  <c:v>43091</c:v>
                </c:pt>
                <c:pt idx="1150">
                  <c:v>43095</c:v>
                </c:pt>
                <c:pt idx="1151">
                  <c:v>43096</c:v>
                </c:pt>
                <c:pt idx="1152">
                  <c:v>43097</c:v>
                </c:pt>
                <c:pt idx="1153">
                  <c:v>43098</c:v>
                </c:pt>
                <c:pt idx="1154">
                  <c:v>43102</c:v>
                </c:pt>
                <c:pt idx="1155">
                  <c:v>43103</c:v>
                </c:pt>
                <c:pt idx="1156">
                  <c:v>43104</c:v>
                </c:pt>
                <c:pt idx="1157">
                  <c:v>43105</c:v>
                </c:pt>
                <c:pt idx="1158">
                  <c:v>43108</c:v>
                </c:pt>
                <c:pt idx="1159">
                  <c:v>43109</c:v>
                </c:pt>
                <c:pt idx="1160">
                  <c:v>43110</c:v>
                </c:pt>
                <c:pt idx="1161">
                  <c:v>43111</c:v>
                </c:pt>
                <c:pt idx="1162">
                  <c:v>43112</c:v>
                </c:pt>
                <c:pt idx="1163">
                  <c:v>43116</c:v>
                </c:pt>
                <c:pt idx="1164">
                  <c:v>43117</c:v>
                </c:pt>
                <c:pt idx="1165">
                  <c:v>43118</c:v>
                </c:pt>
                <c:pt idx="1166">
                  <c:v>43119</c:v>
                </c:pt>
                <c:pt idx="1167">
                  <c:v>43122</c:v>
                </c:pt>
                <c:pt idx="1168">
                  <c:v>43123</c:v>
                </c:pt>
                <c:pt idx="1169">
                  <c:v>43124</c:v>
                </c:pt>
                <c:pt idx="1170">
                  <c:v>43125</c:v>
                </c:pt>
                <c:pt idx="1171">
                  <c:v>43126</c:v>
                </c:pt>
                <c:pt idx="1172">
                  <c:v>43129</c:v>
                </c:pt>
                <c:pt idx="1173">
                  <c:v>43130</c:v>
                </c:pt>
                <c:pt idx="1174">
                  <c:v>43131</c:v>
                </c:pt>
                <c:pt idx="1175">
                  <c:v>43132</c:v>
                </c:pt>
                <c:pt idx="1176">
                  <c:v>43133</c:v>
                </c:pt>
                <c:pt idx="1177">
                  <c:v>43136</c:v>
                </c:pt>
                <c:pt idx="1178">
                  <c:v>43137</c:v>
                </c:pt>
                <c:pt idx="1179">
                  <c:v>43138</c:v>
                </c:pt>
                <c:pt idx="1180">
                  <c:v>43139</c:v>
                </c:pt>
                <c:pt idx="1181">
                  <c:v>43140</c:v>
                </c:pt>
                <c:pt idx="1182">
                  <c:v>43143</c:v>
                </c:pt>
                <c:pt idx="1183">
                  <c:v>43144</c:v>
                </c:pt>
                <c:pt idx="1184">
                  <c:v>43145</c:v>
                </c:pt>
                <c:pt idx="1185">
                  <c:v>43146</c:v>
                </c:pt>
                <c:pt idx="1186">
                  <c:v>43147</c:v>
                </c:pt>
                <c:pt idx="1187">
                  <c:v>43151</c:v>
                </c:pt>
                <c:pt idx="1188">
                  <c:v>43152</c:v>
                </c:pt>
                <c:pt idx="1189">
                  <c:v>43153</c:v>
                </c:pt>
                <c:pt idx="1190">
                  <c:v>43154</c:v>
                </c:pt>
                <c:pt idx="1191">
                  <c:v>43157</c:v>
                </c:pt>
                <c:pt idx="1192">
                  <c:v>43158</c:v>
                </c:pt>
                <c:pt idx="1193">
                  <c:v>43159</c:v>
                </c:pt>
                <c:pt idx="1194">
                  <c:v>43160</c:v>
                </c:pt>
                <c:pt idx="1195">
                  <c:v>43161</c:v>
                </c:pt>
                <c:pt idx="1196">
                  <c:v>43164</c:v>
                </c:pt>
                <c:pt idx="1197">
                  <c:v>43165</c:v>
                </c:pt>
                <c:pt idx="1198">
                  <c:v>43166</c:v>
                </c:pt>
                <c:pt idx="1199">
                  <c:v>43167</c:v>
                </c:pt>
                <c:pt idx="1200">
                  <c:v>43168</c:v>
                </c:pt>
                <c:pt idx="1201">
                  <c:v>43171</c:v>
                </c:pt>
                <c:pt idx="1202">
                  <c:v>43172</c:v>
                </c:pt>
                <c:pt idx="1203">
                  <c:v>43173</c:v>
                </c:pt>
                <c:pt idx="1204">
                  <c:v>43174</c:v>
                </c:pt>
                <c:pt idx="1205">
                  <c:v>43175</c:v>
                </c:pt>
                <c:pt idx="1206">
                  <c:v>43178</c:v>
                </c:pt>
                <c:pt idx="1207">
                  <c:v>43179</c:v>
                </c:pt>
                <c:pt idx="1208">
                  <c:v>43180</c:v>
                </c:pt>
                <c:pt idx="1209">
                  <c:v>43181</c:v>
                </c:pt>
                <c:pt idx="1210">
                  <c:v>43182</c:v>
                </c:pt>
                <c:pt idx="1211">
                  <c:v>43185</c:v>
                </c:pt>
                <c:pt idx="1212">
                  <c:v>43186</c:v>
                </c:pt>
                <c:pt idx="1213">
                  <c:v>43187</c:v>
                </c:pt>
                <c:pt idx="1214">
                  <c:v>43188</c:v>
                </c:pt>
                <c:pt idx="1215">
                  <c:v>43192</c:v>
                </c:pt>
                <c:pt idx="1216">
                  <c:v>43193</c:v>
                </c:pt>
                <c:pt idx="1217">
                  <c:v>43194</c:v>
                </c:pt>
                <c:pt idx="1218">
                  <c:v>43195</c:v>
                </c:pt>
                <c:pt idx="1219">
                  <c:v>43196</c:v>
                </c:pt>
                <c:pt idx="1220">
                  <c:v>43199</c:v>
                </c:pt>
                <c:pt idx="1221">
                  <c:v>43200</c:v>
                </c:pt>
                <c:pt idx="1222">
                  <c:v>43201</c:v>
                </c:pt>
                <c:pt idx="1223">
                  <c:v>43202</c:v>
                </c:pt>
                <c:pt idx="1224">
                  <c:v>43203</c:v>
                </c:pt>
                <c:pt idx="1225">
                  <c:v>43206</c:v>
                </c:pt>
                <c:pt idx="1226">
                  <c:v>43207</c:v>
                </c:pt>
                <c:pt idx="1227">
                  <c:v>43208</c:v>
                </c:pt>
                <c:pt idx="1228">
                  <c:v>43209</c:v>
                </c:pt>
                <c:pt idx="1229">
                  <c:v>43210</c:v>
                </c:pt>
                <c:pt idx="1230">
                  <c:v>43213</c:v>
                </c:pt>
                <c:pt idx="1231">
                  <c:v>43214</c:v>
                </c:pt>
                <c:pt idx="1232">
                  <c:v>43215</c:v>
                </c:pt>
                <c:pt idx="1233">
                  <c:v>43216</c:v>
                </c:pt>
                <c:pt idx="1234">
                  <c:v>43217</c:v>
                </c:pt>
                <c:pt idx="1235">
                  <c:v>43220</c:v>
                </c:pt>
                <c:pt idx="1236">
                  <c:v>43221</c:v>
                </c:pt>
                <c:pt idx="1237">
                  <c:v>43222</c:v>
                </c:pt>
                <c:pt idx="1238">
                  <c:v>43223</c:v>
                </c:pt>
                <c:pt idx="1239">
                  <c:v>43224</c:v>
                </c:pt>
                <c:pt idx="1240">
                  <c:v>43227</c:v>
                </c:pt>
                <c:pt idx="1241">
                  <c:v>43228</c:v>
                </c:pt>
                <c:pt idx="1242">
                  <c:v>43229</c:v>
                </c:pt>
                <c:pt idx="1243">
                  <c:v>43230</c:v>
                </c:pt>
                <c:pt idx="1244">
                  <c:v>43231</c:v>
                </c:pt>
                <c:pt idx="1245">
                  <c:v>43234</c:v>
                </c:pt>
                <c:pt idx="1246">
                  <c:v>43235</c:v>
                </c:pt>
                <c:pt idx="1247">
                  <c:v>43236</c:v>
                </c:pt>
                <c:pt idx="1248">
                  <c:v>43237</c:v>
                </c:pt>
                <c:pt idx="1249">
                  <c:v>43238</c:v>
                </c:pt>
                <c:pt idx="1250">
                  <c:v>43241</c:v>
                </c:pt>
                <c:pt idx="1251">
                  <c:v>43242</c:v>
                </c:pt>
                <c:pt idx="1252">
                  <c:v>43243</c:v>
                </c:pt>
                <c:pt idx="1253">
                  <c:v>43244</c:v>
                </c:pt>
                <c:pt idx="1254">
                  <c:v>43245</c:v>
                </c:pt>
                <c:pt idx="1255">
                  <c:v>43249</c:v>
                </c:pt>
                <c:pt idx="1256">
                  <c:v>43250</c:v>
                </c:pt>
                <c:pt idx="1257">
                  <c:v>43251</c:v>
                </c:pt>
                <c:pt idx="1258">
                  <c:v>43252</c:v>
                </c:pt>
                <c:pt idx="1259">
                  <c:v>43255</c:v>
                </c:pt>
                <c:pt idx="1260">
                  <c:v>43256</c:v>
                </c:pt>
                <c:pt idx="1261">
                  <c:v>43257</c:v>
                </c:pt>
                <c:pt idx="1262">
                  <c:v>43258</c:v>
                </c:pt>
                <c:pt idx="1263">
                  <c:v>43259</c:v>
                </c:pt>
                <c:pt idx="1264">
                  <c:v>43262</c:v>
                </c:pt>
                <c:pt idx="1265">
                  <c:v>43263</c:v>
                </c:pt>
                <c:pt idx="1266">
                  <c:v>43264</c:v>
                </c:pt>
                <c:pt idx="1267">
                  <c:v>43265</c:v>
                </c:pt>
                <c:pt idx="1268">
                  <c:v>43266</c:v>
                </c:pt>
                <c:pt idx="1269">
                  <c:v>43269</c:v>
                </c:pt>
                <c:pt idx="1270">
                  <c:v>43270</c:v>
                </c:pt>
                <c:pt idx="1271">
                  <c:v>43271</c:v>
                </c:pt>
                <c:pt idx="1272">
                  <c:v>43272</c:v>
                </c:pt>
                <c:pt idx="1273">
                  <c:v>43273</c:v>
                </c:pt>
                <c:pt idx="1274">
                  <c:v>43276</c:v>
                </c:pt>
                <c:pt idx="1275">
                  <c:v>43277</c:v>
                </c:pt>
                <c:pt idx="1276">
                  <c:v>43278</c:v>
                </c:pt>
                <c:pt idx="1277">
                  <c:v>43279</c:v>
                </c:pt>
                <c:pt idx="1278">
                  <c:v>43280</c:v>
                </c:pt>
                <c:pt idx="1279">
                  <c:v>43283</c:v>
                </c:pt>
                <c:pt idx="1280">
                  <c:v>43284</c:v>
                </c:pt>
                <c:pt idx="1281">
                  <c:v>43286</c:v>
                </c:pt>
                <c:pt idx="1282">
                  <c:v>43287</c:v>
                </c:pt>
                <c:pt idx="1283">
                  <c:v>43290</c:v>
                </c:pt>
                <c:pt idx="1284">
                  <c:v>43291</c:v>
                </c:pt>
                <c:pt idx="1285">
                  <c:v>43292</c:v>
                </c:pt>
                <c:pt idx="1286">
                  <c:v>43293</c:v>
                </c:pt>
                <c:pt idx="1287">
                  <c:v>43294</c:v>
                </c:pt>
                <c:pt idx="1288">
                  <c:v>43297</c:v>
                </c:pt>
                <c:pt idx="1289">
                  <c:v>43298</c:v>
                </c:pt>
                <c:pt idx="1290">
                  <c:v>43299</c:v>
                </c:pt>
                <c:pt idx="1291">
                  <c:v>43300</c:v>
                </c:pt>
                <c:pt idx="1292">
                  <c:v>43301</c:v>
                </c:pt>
                <c:pt idx="1293">
                  <c:v>43304</c:v>
                </c:pt>
                <c:pt idx="1294">
                  <c:v>43305</c:v>
                </c:pt>
                <c:pt idx="1295">
                  <c:v>43306</c:v>
                </c:pt>
                <c:pt idx="1296">
                  <c:v>43307</c:v>
                </c:pt>
                <c:pt idx="1297">
                  <c:v>43308</c:v>
                </c:pt>
                <c:pt idx="1298">
                  <c:v>43311</c:v>
                </c:pt>
                <c:pt idx="1299">
                  <c:v>43312</c:v>
                </c:pt>
                <c:pt idx="1300">
                  <c:v>43313</c:v>
                </c:pt>
                <c:pt idx="1301">
                  <c:v>43314</c:v>
                </c:pt>
                <c:pt idx="1302">
                  <c:v>43315</c:v>
                </c:pt>
                <c:pt idx="1303">
                  <c:v>43318</c:v>
                </c:pt>
                <c:pt idx="1304">
                  <c:v>43319</c:v>
                </c:pt>
                <c:pt idx="1305">
                  <c:v>43320</c:v>
                </c:pt>
                <c:pt idx="1306">
                  <c:v>43321</c:v>
                </c:pt>
                <c:pt idx="1307">
                  <c:v>43322</c:v>
                </c:pt>
                <c:pt idx="1308">
                  <c:v>43325</c:v>
                </c:pt>
                <c:pt idx="1309">
                  <c:v>43326</c:v>
                </c:pt>
                <c:pt idx="1310">
                  <c:v>43327</c:v>
                </c:pt>
                <c:pt idx="1311">
                  <c:v>43328</c:v>
                </c:pt>
                <c:pt idx="1312">
                  <c:v>43329</c:v>
                </c:pt>
                <c:pt idx="1313">
                  <c:v>43332</c:v>
                </c:pt>
                <c:pt idx="1314">
                  <c:v>43333</c:v>
                </c:pt>
                <c:pt idx="1315">
                  <c:v>43334</c:v>
                </c:pt>
                <c:pt idx="1316">
                  <c:v>43335</c:v>
                </c:pt>
                <c:pt idx="1317">
                  <c:v>43336</c:v>
                </c:pt>
                <c:pt idx="1318">
                  <c:v>43339</c:v>
                </c:pt>
                <c:pt idx="1319">
                  <c:v>43340</c:v>
                </c:pt>
                <c:pt idx="1320">
                  <c:v>43341</c:v>
                </c:pt>
                <c:pt idx="1321">
                  <c:v>43342</c:v>
                </c:pt>
                <c:pt idx="1322">
                  <c:v>43343</c:v>
                </c:pt>
                <c:pt idx="1323">
                  <c:v>43347</c:v>
                </c:pt>
                <c:pt idx="1324">
                  <c:v>43348</c:v>
                </c:pt>
                <c:pt idx="1325">
                  <c:v>43349</c:v>
                </c:pt>
                <c:pt idx="1326">
                  <c:v>43350</c:v>
                </c:pt>
                <c:pt idx="1327">
                  <c:v>43353</c:v>
                </c:pt>
                <c:pt idx="1328">
                  <c:v>43354</c:v>
                </c:pt>
                <c:pt idx="1329">
                  <c:v>43355</c:v>
                </c:pt>
                <c:pt idx="1330">
                  <c:v>43356</c:v>
                </c:pt>
                <c:pt idx="1331">
                  <c:v>43357</c:v>
                </c:pt>
                <c:pt idx="1332">
                  <c:v>43360</c:v>
                </c:pt>
                <c:pt idx="1333">
                  <c:v>43361</c:v>
                </c:pt>
                <c:pt idx="1334">
                  <c:v>43362</c:v>
                </c:pt>
                <c:pt idx="1335">
                  <c:v>43363</c:v>
                </c:pt>
                <c:pt idx="1336">
                  <c:v>43364</c:v>
                </c:pt>
                <c:pt idx="1337">
                  <c:v>43367</c:v>
                </c:pt>
                <c:pt idx="1338">
                  <c:v>43368</c:v>
                </c:pt>
                <c:pt idx="1339">
                  <c:v>43369</c:v>
                </c:pt>
                <c:pt idx="1340">
                  <c:v>43370</c:v>
                </c:pt>
                <c:pt idx="1341">
                  <c:v>43371</c:v>
                </c:pt>
                <c:pt idx="1342">
                  <c:v>43374</c:v>
                </c:pt>
                <c:pt idx="1343">
                  <c:v>43375</c:v>
                </c:pt>
                <c:pt idx="1344">
                  <c:v>43376</c:v>
                </c:pt>
                <c:pt idx="1345">
                  <c:v>43377</c:v>
                </c:pt>
                <c:pt idx="1346">
                  <c:v>43378</c:v>
                </c:pt>
                <c:pt idx="1347">
                  <c:v>43381</c:v>
                </c:pt>
                <c:pt idx="1348">
                  <c:v>43382</c:v>
                </c:pt>
                <c:pt idx="1349">
                  <c:v>43383</c:v>
                </c:pt>
                <c:pt idx="1350">
                  <c:v>43384</c:v>
                </c:pt>
                <c:pt idx="1351">
                  <c:v>43385</c:v>
                </c:pt>
                <c:pt idx="1352">
                  <c:v>43388</c:v>
                </c:pt>
                <c:pt idx="1353">
                  <c:v>43389</c:v>
                </c:pt>
                <c:pt idx="1354">
                  <c:v>43390</c:v>
                </c:pt>
                <c:pt idx="1355">
                  <c:v>43391</c:v>
                </c:pt>
                <c:pt idx="1356">
                  <c:v>43392</c:v>
                </c:pt>
                <c:pt idx="1357">
                  <c:v>43395</c:v>
                </c:pt>
                <c:pt idx="1358">
                  <c:v>43396</c:v>
                </c:pt>
                <c:pt idx="1359">
                  <c:v>43397</c:v>
                </c:pt>
                <c:pt idx="1360">
                  <c:v>43398</c:v>
                </c:pt>
                <c:pt idx="1361">
                  <c:v>43399</c:v>
                </c:pt>
                <c:pt idx="1362">
                  <c:v>43402</c:v>
                </c:pt>
                <c:pt idx="1363">
                  <c:v>43403</c:v>
                </c:pt>
                <c:pt idx="1364">
                  <c:v>43404</c:v>
                </c:pt>
                <c:pt idx="1365">
                  <c:v>43405</c:v>
                </c:pt>
                <c:pt idx="1366">
                  <c:v>43406</c:v>
                </c:pt>
                <c:pt idx="1367">
                  <c:v>43409</c:v>
                </c:pt>
                <c:pt idx="1368">
                  <c:v>43410</c:v>
                </c:pt>
                <c:pt idx="1369">
                  <c:v>43411</c:v>
                </c:pt>
                <c:pt idx="1370">
                  <c:v>43412</c:v>
                </c:pt>
                <c:pt idx="1371">
                  <c:v>43413</c:v>
                </c:pt>
                <c:pt idx="1372">
                  <c:v>43416</c:v>
                </c:pt>
                <c:pt idx="1373">
                  <c:v>43417</c:v>
                </c:pt>
                <c:pt idx="1374">
                  <c:v>43418</c:v>
                </c:pt>
                <c:pt idx="1375">
                  <c:v>43419</c:v>
                </c:pt>
                <c:pt idx="1376">
                  <c:v>43420</c:v>
                </c:pt>
                <c:pt idx="1377">
                  <c:v>43423</c:v>
                </c:pt>
                <c:pt idx="1378">
                  <c:v>43424</c:v>
                </c:pt>
                <c:pt idx="1379">
                  <c:v>43425</c:v>
                </c:pt>
                <c:pt idx="1380">
                  <c:v>43427</c:v>
                </c:pt>
                <c:pt idx="1381">
                  <c:v>43430</c:v>
                </c:pt>
                <c:pt idx="1382">
                  <c:v>43431</c:v>
                </c:pt>
                <c:pt idx="1383">
                  <c:v>43432</c:v>
                </c:pt>
                <c:pt idx="1384">
                  <c:v>43433</c:v>
                </c:pt>
                <c:pt idx="1385">
                  <c:v>43434</c:v>
                </c:pt>
                <c:pt idx="1386">
                  <c:v>43437</c:v>
                </c:pt>
                <c:pt idx="1387">
                  <c:v>43438</c:v>
                </c:pt>
                <c:pt idx="1388">
                  <c:v>43440</c:v>
                </c:pt>
                <c:pt idx="1389">
                  <c:v>43441</c:v>
                </c:pt>
                <c:pt idx="1390">
                  <c:v>43444</c:v>
                </c:pt>
                <c:pt idx="1391">
                  <c:v>43445</c:v>
                </c:pt>
                <c:pt idx="1392">
                  <c:v>43446</c:v>
                </c:pt>
                <c:pt idx="1393">
                  <c:v>43447</c:v>
                </c:pt>
                <c:pt idx="1394">
                  <c:v>43448</c:v>
                </c:pt>
                <c:pt idx="1395">
                  <c:v>43451</c:v>
                </c:pt>
                <c:pt idx="1396">
                  <c:v>43452</c:v>
                </c:pt>
                <c:pt idx="1397">
                  <c:v>43453</c:v>
                </c:pt>
                <c:pt idx="1398">
                  <c:v>43454</c:v>
                </c:pt>
                <c:pt idx="1399">
                  <c:v>43455</c:v>
                </c:pt>
                <c:pt idx="1400">
                  <c:v>43458</c:v>
                </c:pt>
                <c:pt idx="1401">
                  <c:v>43460</c:v>
                </c:pt>
                <c:pt idx="1402">
                  <c:v>43461</c:v>
                </c:pt>
                <c:pt idx="1403">
                  <c:v>43462</c:v>
                </c:pt>
                <c:pt idx="1404">
                  <c:v>43465</c:v>
                </c:pt>
                <c:pt idx="1405">
                  <c:v>43467</c:v>
                </c:pt>
                <c:pt idx="1406">
                  <c:v>43468</c:v>
                </c:pt>
                <c:pt idx="1407">
                  <c:v>43469</c:v>
                </c:pt>
                <c:pt idx="1408">
                  <c:v>43472</c:v>
                </c:pt>
                <c:pt idx="1409">
                  <c:v>43473</c:v>
                </c:pt>
                <c:pt idx="1410">
                  <c:v>43474</c:v>
                </c:pt>
                <c:pt idx="1411">
                  <c:v>43475</c:v>
                </c:pt>
                <c:pt idx="1412">
                  <c:v>43476</c:v>
                </c:pt>
                <c:pt idx="1413">
                  <c:v>43479</c:v>
                </c:pt>
                <c:pt idx="1414">
                  <c:v>43480</c:v>
                </c:pt>
                <c:pt idx="1415">
                  <c:v>43481</c:v>
                </c:pt>
                <c:pt idx="1416">
                  <c:v>43482</c:v>
                </c:pt>
                <c:pt idx="1417">
                  <c:v>43483</c:v>
                </c:pt>
                <c:pt idx="1418">
                  <c:v>43487</c:v>
                </c:pt>
                <c:pt idx="1419">
                  <c:v>43488</c:v>
                </c:pt>
                <c:pt idx="1420">
                  <c:v>43489</c:v>
                </c:pt>
                <c:pt idx="1421">
                  <c:v>43490</c:v>
                </c:pt>
                <c:pt idx="1422">
                  <c:v>43493</c:v>
                </c:pt>
                <c:pt idx="1423">
                  <c:v>43494</c:v>
                </c:pt>
                <c:pt idx="1424">
                  <c:v>43495</c:v>
                </c:pt>
                <c:pt idx="1425">
                  <c:v>43496</c:v>
                </c:pt>
                <c:pt idx="1426">
                  <c:v>43497</c:v>
                </c:pt>
                <c:pt idx="1427">
                  <c:v>43500</c:v>
                </c:pt>
                <c:pt idx="1428">
                  <c:v>43501</c:v>
                </c:pt>
                <c:pt idx="1429">
                  <c:v>43502</c:v>
                </c:pt>
                <c:pt idx="1430">
                  <c:v>43503</c:v>
                </c:pt>
                <c:pt idx="1431">
                  <c:v>43504</c:v>
                </c:pt>
                <c:pt idx="1432">
                  <c:v>43507</c:v>
                </c:pt>
                <c:pt idx="1433">
                  <c:v>43508</c:v>
                </c:pt>
                <c:pt idx="1434">
                  <c:v>43509</c:v>
                </c:pt>
                <c:pt idx="1435">
                  <c:v>43510</c:v>
                </c:pt>
                <c:pt idx="1436">
                  <c:v>43511</c:v>
                </c:pt>
                <c:pt idx="1437">
                  <c:v>43515</c:v>
                </c:pt>
                <c:pt idx="1438">
                  <c:v>43516</c:v>
                </c:pt>
                <c:pt idx="1439">
                  <c:v>43517</c:v>
                </c:pt>
                <c:pt idx="1440">
                  <c:v>43518</c:v>
                </c:pt>
                <c:pt idx="1441">
                  <c:v>43521</c:v>
                </c:pt>
                <c:pt idx="1442">
                  <c:v>43522</c:v>
                </c:pt>
                <c:pt idx="1443">
                  <c:v>43523</c:v>
                </c:pt>
                <c:pt idx="1444">
                  <c:v>43524</c:v>
                </c:pt>
                <c:pt idx="1445">
                  <c:v>43525</c:v>
                </c:pt>
                <c:pt idx="1446">
                  <c:v>43528</c:v>
                </c:pt>
                <c:pt idx="1447">
                  <c:v>43529</c:v>
                </c:pt>
                <c:pt idx="1448">
                  <c:v>43530</c:v>
                </c:pt>
                <c:pt idx="1449">
                  <c:v>43531</c:v>
                </c:pt>
                <c:pt idx="1450">
                  <c:v>43532</c:v>
                </c:pt>
                <c:pt idx="1451">
                  <c:v>43535</c:v>
                </c:pt>
                <c:pt idx="1452">
                  <c:v>43536</c:v>
                </c:pt>
                <c:pt idx="1453">
                  <c:v>43537</c:v>
                </c:pt>
                <c:pt idx="1454">
                  <c:v>43538</c:v>
                </c:pt>
                <c:pt idx="1455">
                  <c:v>43539</c:v>
                </c:pt>
                <c:pt idx="1456">
                  <c:v>43542</c:v>
                </c:pt>
                <c:pt idx="1457">
                  <c:v>43543</c:v>
                </c:pt>
                <c:pt idx="1458">
                  <c:v>43544</c:v>
                </c:pt>
                <c:pt idx="1459">
                  <c:v>43545</c:v>
                </c:pt>
                <c:pt idx="1460">
                  <c:v>43546</c:v>
                </c:pt>
                <c:pt idx="1461">
                  <c:v>43549</c:v>
                </c:pt>
                <c:pt idx="1462">
                  <c:v>43550</c:v>
                </c:pt>
                <c:pt idx="1463">
                  <c:v>43551</c:v>
                </c:pt>
                <c:pt idx="1464">
                  <c:v>43552</c:v>
                </c:pt>
                <c:pt idx="1465">
                  <c:v>43553</c:v>
                </c:pt>
                <c:pt idx="1466">
                  <c:v>43556</c:v>
                </c:pt>
                <c:pt idx="1467">
                  <c:v>43557</c:v>
                </c:pt>
                <c:pt idx="1468">
                  <c:v>43558</c:v>
                </c:pt>
                <c:pt idx="1469">
                  <c:v>43559</c:v>
                </c:pt>
                <c:pt idx="1470">
                  <c:v>43560</c:v>
                </c:pt>
                <c:pt idx="1471">
                  <c:v>43563</c:v>
                </c:pt>
                <c:pt idx="1472">
                  <c:v>43564</c:v>
                </c:pt>
                <c:pt idx="1473">
                  <c:v>43565</c:v>
                </c:pt>
                <c:pt idx="1474">
                  <c:v>43566</c:v>
                </c:pt>
                <c:pt idx="1475">
                  <c:v>43567</c:v>
                </c:pt>
                <c:pt idx="1476">
                  <c:v>43570</c:v>
                </c:pt>
                <c:pt idx="1477">
                  <c:v>43571</c:v>
                </c:pt>
                <c:pt idx="1478">
                  <c:v>43572</c:v>
                </c:pt>
                <c:pt idx="1479">
                  <c:v>43573</c:v>
                </c:pt>
                <c:pt idx="1480">
                  <c:v>43577</c:v>
                </c:pt>
                <c:pt idx="1481">
                  <c:v>43578</c:v>
                </c:pt>
                <c:pt idx="1482">
                  <c:v>43579</c:v>
                </c:pt>
                <c:pt idx="1483">
                  <c:v>43580</c:v>
                </c:pt>
                <c:pt idx="1484">
                  <c:v>43581</c:v>
                </c:pt>
                <c:pt idx="1485">
                  <c:v>43584</c:v>
                </c:pt>
                <c:pt idx="1486">
                  <c:v>43585</c:v>
                </c:pt>
                <c:pt idx="1487">
                  <c:v>43586</c:v>
                </c:pt>
                <c:pt idx="1488">
                  <c:v>43587</c:v>
                </c:pt>
                <c:pt idx="1489">
                  <c:v>43588</c:v>
                </c:pt>
                <c:pt idx="1490">
                  <c:v>43591</c:v>
                </c:pt>
                <c:pt idx="1491">
                  <c:v>43592</c:v>
                </c:pt>
                <c:pt idx="1492">
                  <c:v>43593</c:v>
                </c:pt>
                <c:pt idx="1493">
                  <c:v>43594</c:v>
                </c:pt>
                <c:pt idx="1494">
                  <c:v>43595</c:v>
                </c:pt>
                <c:pt idx="1495">
                  <c:v>43598</c:v>
                </c:pt>
                <c:pt idx="1496">
                  <c:v>43599</c:v>
                </c:pt>
                <c:pt idx="1497">
                  <c:v>43600</c:v>
                </c:pt>
                <c:pt idx="1498">
                  <c:v>43601</c:v>
                </c:pt>
                <c:pt idx="1499">
                  <c:v>43602</c:v>
                </c:pt>
                <c:pt idx="1500">
                  <c:v>43605</c:v>
                </c:pt>
                <c:pt idx="1501">
                  <c:v>43606</c:v>
                </c:pt>
                <c:pt idx="1502">
                  <c:v>43607</c:v>
                </c:pt>
                <c:pt idx="1503">
                  <c:v>43608</c:v>
                </c:pt>
                <c:pt idx="1504">
                  <c:v>43609</c:v>
                </c:pt>
                <c:pt idx="1505">
                  <c:v>43613</c:v>
                </c:pt>
                <c:pt idx="1506">
                  <c:v>43614</c:v>
                </c:pt>
                <c:pt idx="1507">
                  <c:v>43615</c:v>
                </c:pt>
                <c:pt idx="1508">
                  <c:v>43616</c:v>
                </c:pt>
                <c:pt idx="1509">
                  <c:v>43619</c:v>
                </c:pt>
                <c:pt idx="1510">
                  <c:v>43620</c:v>
                </c:pt>
                <c:pt idx="1511">
                  <c:v>43621</c:v>
                </c:pt>
                <c:pt idx="1512">
                  <c:v>43622</c:v>
                </c:pt>
                <c:pt idx="1513">
                  <c:v>43623</c:v>
                </c:pt>
                <c:pt idx="1514">
                  <c:v>43626</c:v>
                </c:pt>
                <c:pt idx="1515">
                  <c:v>43627</c:v>
                </c:pt>
                <c:pt idx="1516">
                  <c:v>43628</c:v>
                </c:pt>
                <c:pt idx="1517">
                  <c:v>43629</c:v>
                </c:pt>
                <c:pt idx="1518">
                  <c:v>43630</c:v>
                </c:pt>
                <c:pt idx="1519">
                  <c:v>43633</c:v>
                </c:pt>
                <c:pt idx="1520">
                  <c:v>43634</c:v>
                </c:pt>
                <c:pt idx="1521">
                  <c:v>43635</c:v>
                </c:pt>
                <c:pt idx="1522">
                  <c:v>43636</c:v>
                </c:pt>
                <c:pt idx="1523">
                  <c:v>43637</c:v>
                </c:pt>
                <c:pt idx="1524">
                  <c:v>43640</c:v>
                </c:pt>
                <c:pt idx="1525">
                  <c:v>43641</c:v>
                </c:pt>
                <c:pt idx="1526">
                  <c:v>43642</c:v>
                </c:pt>
                <c:pt idx="1527">
                  <c:v>43643</c:v>
                </c:pt>
                <c:pt idx="1528">
                  <c:v>43644</c:v>
                </c:pt>
                <c:pt idx="1529">
                  <c:v>43647</c:v>
                </c:pt>
                <c:pt idx="1530">
                  <c:v>43648</c:v>
                </c:pt>
                <c:pt idx="1531">
                  <c:v>43649</c:v>
                </c:pt>
                <c:pt idx="1532">
                  <c:v>43651</c:v>
                </c:pt>
                <c:pt idx="1533">
                  <c:v>43654</c:v>
                </c:pt>
                <c:pt idx="1534">
                  <c:v>43655</c:v>
                </c:pt>
                <c:pt idx="1535">
                  <c:v>43656</c:v>
                </c:pt>
                <c:pt idx="1536">
                  <c:v>43657</c:v>
                </c:pt>
                <c:pt idx="1537">
                  <c:v>43658</c:v>
                </c:pt>
                <c:pt idx="1538">
                  <c:v>43661</c:v>
                </c:pt>
                <c:pt idx="1539">
                  <c:v>43662</c:v>
                </c:pt>
                <c:pt idx="1540">
                  <c:v>43663</c:v>
                </c:pt>
                <c:pt idx="1541">
                  <c:v>43664</c:v>
                </c:pt>
                <c:pt idx="1542">
                  <c:v>43665</c:v>
                </c:pt>
                <c:pt idx="1543">
                  <c:v>43668</c:v>
                </c:pt>
                <c:pt idx="1544">
                  <c:v>43669</c:v>
                </c:pt>
                <c:pt idx="1545">
                  <c:v>43670</c:v>
                </c:pt>
                <c:pt idx="1546">
                  <c:v>43671</c:v>
                </c:pt>
                <c:pt idx="1547">
                  <c:v>43672</c:v>
                </c:pt>
                <c:pt idx="1548">
                  <c:v>43675</c:v>
                </c:pt>
                <c:pt idx="1549">
                  <c:v>43676</c:v>
                </c:pt>
                <c:pt idx="1550">
                  <c:v>43677</c:v>
                </c:pt>
                <c:pt idx="1551">
                  <c:v>43678</c:v>
                </c:pt>
                <c:pt idx="1552">
                  <c:v>43679</c:v>
                </c:pt>
                <c:pt idx="1553">
                  <c:v>43682</c:v>
                </c:pt>
                <c:pt idx="1554">
                  <c:v>43683</c:v>
                </c:pt>
                <c:pt idx="1555">
                  <c:v>43684</c:v>
                </c:pt>
                <c:pt idx="1556">
                  <c:v>43685</c:v>
                </c:pt>
                <c:pt idx="1557">
                  <c:v>43686</c:v>
                </c:pt>
                <c:pt idx="1558">
                  <c:v>43689</c:v>
                </c:pt>
                <c:pt idx="1559">
                  <c:v>43690</c:v>
                </c:pt>
                <c:pt idx="1560">
                  <c:v>43691</c:v>
                </c:pt>
                <c:pt idx="1561">
                  <c:v>43692</c:v>
                </c:pt>
                <c:pt idx="1562">
                  <c:v>43693</c:v>
                </c:pt>
                <c:pt idx="1563">
                  <c:v>43696</c:v>
                </c:pt>
                <c:pt idx="1564">
                  <c:v>43697</c:v>
                </c:pt>
                <c:pt idx="1565">
                  <c:v>43698</c:v>
                </c:pt>
                <c:pt idx="1566">
                  <c:v>43699</c:v>
                </c:pt>
                <c:pt idx="1567">
                  <c:v>43700</c:v>
                </c:pt>
                <c:pt idx="1568">
                  <c:v>43703</c:v>
                </c:pt>
                <c:pt idx="1569">
                  <c:v>43704</c:v>
                </c:pt>
                <c:pt idx="1570">
                  <c:v>43705</c:v>
                </c:pt>
                <c:pt idx="1571">
                  <c:v>43706</c:v>
                </c:pt>
                <c:pt idx="1572">
                  <c:v>43707</c:v>
                </c:pt>
                <c:pt idx="1573">
                  <c:v>43711</c:v>
                </c:pt>
                <c:pt idx="1574">
                  <c:v>43712</c:v>
                </c:pt>
                <c:pt idx="1575">
                  <c:v>43713</c:v>
                </c:pt>
                <c:pt idx="1576">
                  <c:v>43714</c:v>
                </c:pt>
                <c:pt idx="1577">
                  <c:v>43717</c:v>
                </c:pt>
                <c:pt idx="1578">
                  <c:v>43718</c:v>
                </c:pt>
                <c:pt idx="1579">
                  <c:v>43719</c:v>
                </c:pt>
                <c:pt idx="1580">
                  <c:v>43720</c:v>
                </c:pt>
                <c:pt idx="1581">
                  <c:v>43721</c:v>
                </c:pt>
                <c:pt idx="1582">
                  <c:v>43724</c:v>
                </c:pt>
                <c:pt idx="1583">
                  <c:v>43725</c:v>
                </c:pt>
                <c:pt idx="1584">
                  <c:v>43726</c:v>
                </c:pt>
                <c:pt idx="1585">
                  <c:v>43727</c:v>
                </c:pt>
                <c:pt idx="1586">
                  <c:v>43728</c:v>
                </c:pt>
                <c:pt idx="1587">
                  <c:v>43731</c:v>
                </c:pt>
                <c:pt idx="1588">
                  <c:v>43732</c:v>
                </c:pt>
                <c:pt idx="1589">
                  <c:v>43733</c:v>
                </c:pt>
                <c:pt idx="1590">
                  <c:v>43734</c:v>
                </c:pt>
                <c:pt idx="1591">
                  <c:v>43735</c:v>
                </c:pt>
                <c:pt idx="1592">
                  <c:v>43738</c:v>
                </c:pt>
                <c:pt idx="1593">
                  <c:v>43739</c:v>
                </c:pt>
                <c:pt idx="1594">
                  <c:v>43740</c:v>
                </c:pt>
                <c:pt idx="1595">
                  <c:v>43741</c:v>
                </c:pt>
                <c:pt idx="1596">
                  <c:v>43742</c:v>
                </c:pt>
                <c:pt idx="1597">
                  <c:v>43745</c:v>
                </c:pt>
                <c:pt idx="1598">
                  <c:v>43746</c:v>
                </c:pt>
                <c:pt idx="1599">
                  <c:v>43747</c:v>
                </c:pt>
                <c:pt idx="1600">
                  <c:v>43748</c:v>
                </c:pt>
                <c:pt idx="1601">
                  <c:v>43749</c:v>
                </c:pt>
                <c:pt idx="1602">
                  <c:v>43752</c:v>
                </c:pt>
                <c:pt idx="1603">
                  <c:v>43753</c:v>
                </c:pt>
                <c:pt idx="1604">
                  <c:v>43754</c:v>
                </c:pt>
                <c:pt idx="1605">
                  <c:v>43755</c:v>
                </c:pt>
                <c:pt idx="1606">
                  <c:v>43756</c:v>
                </c:pt>
                <c:pt idx="1607">
                  <c:v>43759</c:v>
                </c:pt>
                <c:pt idx="1608">
                  <c:v>43760</c:v>
                </c:pt>
                <c:pt idx="1609">
                  <c:v>43761</c:v>
                </c:pt>
                <c:pt idx="1610">
                  <c:v>43762</c:v>
                </c:pt>
                <c:pt idx="1611">
                  <c:v>43763</c:v>
                </c:pt>
                <c:pt idx="1612">
                  <c:v>43766</c:v>
                </c:pt>
                <c:pt idx="1613">
                  <c:v>43767</c:v>
                </c:pt>
                <c:pt idx="1614">
                  <c:v>43768</c:v>
                </c:pt>
                <c:pt idx="1615">
                  <c:v>43769</c:v>
                </c:pt>
                <c:pt idx="1616">
                  <c:v>43770</c:v>
                </c:pt>
                <c:pt idx="1617">
                  <c:v>43773</c:v>
                </c:pt>
                <c:pt idx="1618">
                  <c:v>43774</c:v>
                </c:pt>
                <c:pt idx="1619">
                  <c:v>43775</c:v>
                </c:pt>
                <c:pt idx="1620">
                  <c:v>43776</c:v>
                </c:pt>
                <c:pt idx="1621">
                  <c:v>43777</c:v>
                </c:pt>
                <c:pt idx="1622">
                  <c:v>43780</c:v>
                </c:pt>
                <c:pt idx="1623">
                  <c:v>43781</c:v>
                </c:pt>
                <c:pt idx="1624">
                  <c:v>43782</c:v>
                </c:pt>
                <c:pt idx="1625">
                  <c:v>43783</c:v>
                </c:pt>
                <c:pt idx="1626">
                  <c:v>43784</c:v>
                </c:pt>
                <c:pt idx="1627">
                  <c:v>43787</c:v>
                </c:pt>
                <c:pt idx="1628">
                  <c:v>43788</c:v>
                </c:pt>
                <c:pt idx="1629">
                  <c:v>43789</c:v>
                </c:pt>
                <c:pt idx="1630">
                  <c:v>43790</c:v>
                </c:pt>
                <c:pt idx="1631">
                  <c:v>43791</c:v>
                </c:pt>
                <c:pt idx="1632">
                  <c:v>43794</c:v>
                </c:pt>
                <c:pt idx="1633">
                  <c:v>43795</c:v>
                </c:pt>
                <c:pt idx="1634">
                  <c:v>43796</c:v>
                </c:pt>
                <c:pt idx="1635">
                  <c:v>43798</c:v>
                </c:pt>
                <c:pt idx="1636">
                  <c:v>43801</c:v>
                </c:pt>
                <c:pt idx="1637">
                  <c:v>43802</c:v>
                </c:pt>
                <c:pt idx="1638">
                  <c:v>43803</c:v>
                </c:pt>
                <c:pt idx="1639">
                  <c:v>43804</c:v>
                </c:pt>
                <c:pt idx="1640">
                  <c:v>43805</c:v>
                </c:pt>
                <c:pt idx="1641">
                  <c:v>43808</c:v>
                </c:pt>
                <c:pt idx="1642">
                  <c:v>43809</c:v>
                </c:pt>
                <c:pt idx="1643">
                  <c:v>43810</c:v>
                </c:pt>
                <c:pt idx="1644">
                  <c:v>43811</c:v>
                </c:pt>
                <c:pt idx="1645">
                  <c:v>43812</c:v>
                </c:pt>
                <c:pt idx="1646">
                  <c:v>43815</c:v>
                </c:pt>
                <c:pt idx="1647">
                  <c:v>43816</c:v>
                </c:pt>
                <c:pt idx="1648">
                  <c:v>43817</c:v>
                </c:pt>
                <c:pt idx="1649">
                  <c:v>43818</c:v>
                </c:pt>
                <c:pt idx="1650">
                  <c:v>43819</c:v>
                </c:pt>
                <c:pt idx="1651">
                  <c:v>43822</c:v>
                </c:pt>
                <c:pt idx="1652">
                  <c:v>43823</c:v>
                </c:pt>
                <c:pt idx="1653">
                  <c:v>43825</c:v>
                </c:pt>
                <c:pt idx="1654">
                  <c:v>43826</c:v>
                </c:pt>
                <c:pt idx="1655">
                  <c:v>43829</c:v>
                </c:pt>
                <c:pt idx="1656">
                  <c:v>43830</c:v>
                </c:pt>
                <c:pt idx="1657">
                  <c:v>43832</c:v>
                </c:pt>
                <c:pt idx="1658">
                  <c:v>43833</c:v>
                </c:pt>
                <c:pt idx="1659">
                  <c:v>43836</c:v>
                </c:pt>
                <c:pt idx="1660">
                  <c:v>43837</c:v>
                </c:pt>
                <c:pt idx="1661">
                  <c:v>43838</c:v>
                </c:pt>
                <c:pt idx="1662">
                  <c:v>43839</c:v>
                </c:pt>
                <c:pt idx="1663">
                  <c:v>43840</c:v>
                </c:pt>
                <c:pt idx="1664">
                  <c:v>43843</c:v>
                </c:pt>
                <c:pt idx="1665">
                  <c:v>43844</c:v>
                </c:pt>
                <c:pt idx="1666">
                  <c:v>43845</c:v>
                </c:pt>
                <c:pt idx="1667">
                  <c:v>43846</c:v>
                </c:pt>
                <c:pt idx="1668">
                  <c:v>43847</c:v>
                </c:pt>
                <c:pt idx="1669">
                  <c:v>43851</c:v>
                </c:pt>
                <c:pt idx="1670">
                  <c:v>43852</c:v>
                </c:pt>
                <c:pt idx="1671">
                  <c:v>43853</c:v>
                </c:pt>
                <c:pt idx="1672">
                  <c:v>43854</c:v>
                </c:pt>
                <c:pt idx="1673">
                  <c:v>43857</c:v>
                </c:pt>
                <c:pt idx="1674">
                  <c:v>43858</c:v>
                </c:pt>
                <c:pt idx="1675">
                  <c:v>43859</c:v>
                </c:pt>
                <c:pt idx="1676">
                  <c:v>43860</c:v>
                </c:pt>
                <c:pt idx="1677">
                  <c:v>43861</c:v>
                </c:pt>
                <c:pt idx="1678">
                  <c:v>43864</c:v>
                </c:pt>
                <c:pt idx="1679">
                  <c:v>43865</c:v>
                </c:pt>
                <c:pt idx="1680">
                  <c:v>43866</c:v>
                </c:pt>
                <c:pt idx="1681">
                  <c:v>43867</c:v>
                </c:pt>
                <c:pt idx="1682">
                  <c:v>43868</c:v>
                </c:pt>
                <c:pt idx="1683">
                  <c:v>43871</c:v>
                </c:pt>
                <c:pt idx="1684">
                  <c:v>43872</c:v>
                </c:pt>
                <c:pt idx="1685">
                  <c:v>43873</c:v>
                </c:pt>
                <c:pt idx="1686">
                  <c:v>43874</c:v>
                </c:pt>
                <c:pt idx="1687">
                  <c:v>43875</c:v>
                </c:pt>
                <c:pt idx="1688">
                  <c:v>43879</c:v>
                </c:pt>
                <c:pt idx="1689">
                  <c:v>43880</c:v>
                </c:pt>
                <c:pt idx="1690">
                  <c:v>43881</c:v>
                </c:pt>
                <c:pt idx="1691">
                  <c:v>43882</c:v>
                </c:pt>
                <c:pt idx="1692">
                  <c:v>43885</c:v>
                </c:pt>
                <c:pt idx="1693">
                  <c:v>43886</c:v>
                </c:pt>
                <c:pt idx="1694">
                  <c:v>43887</c:v>
                </c:pt>
                <c:pt idx="1695">
                  <c:v>43888</c:v>
                </c:pt>
                <c:pt idx="1696">
                  <c:v>43889</c:v>
                </c:pt>
                <c:pt idx="1697">
                  <c:v>43892</c:v>
                </c:pt>
                <c:pt idx="1698">
                  <c:v>43893</c:v>
                </c:pt>
                <c:pt idx="1699">
                  <c:v>43894</c:v>
                </c:pt>
                <c:pt idx="1700">
                  <c:v>43895</c:v>
                </c:pt>
                <c:pt idx="1701">
                  <c:v>43896</c:v>
                </c:pt>
                <c:pt idx="1702">
                  <c:v>43899</c:v>
                </c:pt>
                <c:pt idx="1703">
                  <c:v>43900</c:v>
                </c:pt>
                <c:pt idx="1704">
                  <c:v>43901</c:v>
                </c:pt>
                <c:pt idx="1705">
                  <c:v>43902</c:v>
                </c:pt>
                <c:pt idx="1706">
                  <c:v>43903</c:v>
                </c:pt>
                <c:pt idx="1707">
                  <c:v>43906</c:v>
                </c:pt>
                <c:pt idx="1708">
                  <c:v>43907</c:v>
                </c:pt>
                <c:pt idx="1709">
                  <c:v>43908</c:v>
                </c:pt>
                <c:pt idx="1710">
                  <c:v>43909</c:v>
                </c:pt>
                <c:pt idx="1711">
                  <c:v>43910</c:v>
                </c:pt>
                <c:pt idx="1712">
                  <c:v>43913</c:v>
                </c:pt>
                <c:pt idx="1713">
                  <c:v>43914</c:v>
                </c:pt>
                <c:pt idx="1714">
                  <c:v>43915</c:v>
                </c:pt>
                <c:pt idx="1715">
                  <c:v>43916</c:v>
                </c:pt>
                <c:pt idx="1716">
                  <c:v>43917</c:v>
                </c:pt>
                <c:pt idx="1717">
                  <c:v>43920</c:v>
                </c:pt>
                <c:pt idx="1718">
                  <c:v>43921</c:v>
                </c:pt>
                <c:pt idx="1719">
                  <c:v>43922</c:v>
                </c:pt>
                <c:pt idx="1720">
                  <c:v>43923</c:v>
                </c:pt>
                <c:pt idx="1721">
                  <c:v>43924</c:v>
                </c:pt>
                <c:pt idx="1722">
                  <c:v>43927</c:v>
                </c:pt>
                <c:pt idx="1723">
                  <c:v>43928</c:v>
                </c:pt>
                <c:pt idx="1724">
                  <c:v>43929</c:v>
                </c:pt>
                <c:pt idx="1725">
                  <c:v>43930</c:v>
                </c:pt>
                <c:pt idx="1726">
                  <c:v>43934</c:v>
                </c:pt>
                <c:pt idx="1727">
                  <c:v>43935</c:v>
                </c:pt>
                <c:pt idx="1728">
                  <c:v>43936</c:v>
                </c:pt>
                <c:pt idx="1729">
                  <c:v>43937</c:v>
                </c:pt>
                <c:pt idx="1730">
                  <c:v>43938</c:v>
                </c:pt>
                <c:pt idx="1731">
                  <c:v>43941</c:v>
                </c:pt>
                <c:pt idx="1732">
                  <c:v>43942</c:v>
                </c:pt>
                <c:pt idx="1733">
                  <c:v>43943</c:v>
                </c:pt>
                <c:pt idx="1734">
                  <c:v>43944</c:v>
                </c:pt>
                <c:pt idx="1735">
                  <c:v>43945</c:v>
                </c:pt>
                <c:pt idx="1736">
                  <c:v>43948</c:v>
                </c:pt>
                <c:pt idx="1737">
                  <c:v>43949</c:v>
                </c:pt>
                <c:pt idx="1738">
                  <c:v>43950</c:v>
                </c:pt>
                <c:pt idx="1739">
                  <c:v>43951</c:v>
                </c:pt>
                <c:pt idx="1740">
                  <c:v>43952</c:v>
                </c:pt>
                <c:pt idx="1741">
                  <c:v>43955</c:v>
                </c:pt>
                <c:pt idx="1742">
                  <c:v>43956</c:v>
                </c:pt>
                <c:pt idx="1743">
                  <c:v>43957</c:v>
                </c:pt>
                <c:pt idx="1744">
                  <c:v>43958</c:v>
                </c:pt>
                <c:pt idx="1745">
                  <c:v>43959</c:v>
                </c:pt>
                <c:pt idx="1746">
                  <c:v>43962</c:v>
                </c:pt>
                <c:pt idx="1747">
                  <c:v>43963</c:v>
                </c:pt>
                <c:pt idx="1748">
                  <c:v>43964</c:v>
                </c:pt>
                <c:pt idx="1749">
                  <c:v>43965</c:v>
                </c:pt>
                <c:pt idx="1750">
                  <c:v>43966</c:v>
                </c:pt>
                <c:pt idx="1751">
                  <c:v>43969</c:v>
                </c:pt>
                <c:pt idx="1752">
                  <c:v>43970</c:v>
                </c:pt>
                <c:pt idx="1753">
                  <c:v>43971</c:v>
                </c:pt>
                <c:pt idx="1754">
                  <c:v>43972</c:v>
                </c:pt>
                <c:pt idx="1755">
                  <c:v>43973</c:v>
                </c:pt>
                <c:pt idx="1756">
                  <c:v>43977</c:v>
                </c:pt>
                <c:pt idx="1757">
                  <c:v>43978</c:v>
                </c:pt>
                <c:pt idx="1758">
                  <c:v>43979</c:v>
                </c:pt>
                <c:pt idx="1759">
                  <c:v>43980</c:v>
                </c:pt>
                <c:pt idx="1760">
                  <c:v>43983</c:v>
                </c:pt>
                <c:pt idx="1761">
                  <c:v>43984</c:v>
                </c:pt>
                <c:pt idx="1762">
                  <c:v>43985</c:v>
                </c:pt>
                <c:pt idx="1763">
                  <c:v>43986</c:v>
                </c:pt>
                <c:pt idx="1764">
                  <c:v>43987</c:v>
                </c:pt>
                <c:pt idx="1765">
                  <c:v>43990</c:v>
                </c:pt>
                <c:pt idx="1766">
                  <c:v>43991</c:v>
                </c:pt>
                <c:pt idx="1767">
                  <c:v>43992</c:v>
                </c:pt>
                <c:pt idx="1768">
                  <c:v>43993</c:v>
                </c:pt>
                <c:pt idx="1769">
                  <c:v>43994</c:v>
                </c:pt>
                <c:pt idx="1770">
                  <c:v>43997</c:v>
                </c:pt>
                <c:pt idx="1771">
                  <c:v>43998</c:v>
                </c:pt>
                <c:pt idx="1772">
                  <c:v>43999</c:v>
                </c:pt>
                <c:pt idx="1773">
                  <c:v>44000</c:v>
                </c:pt>
                <c:pt idx="1774">
                  <c:v>44001</c:v>
                </c:pt>
                <c:pt idx="1775">
                  <c:v>44004</c:v>
                </c:pt>
                <c:pt idx="1776">
                  <c:v>44005</c:v>
                </c:pt>
                <c:pt idx="1777">
                  <c:v>44006</c:v>
                </c:pt>
                <c:pt idx="1778">
                  <c:v>44007</c:v>
                </c:pt>
                <c:pt idx="1779">
                  <c:v>44008</c:v>
                </c:pt>
                <c:pt idx="1780">
                  <c:v>44011</c:v>
                </c:pt>
                <c:pt idx="1781">
                  <c:v>44012</c:v>
                </c:pt>
                <c:pt idx="1782">
                  <c:v>44013</c:v>
                </c:pt>
                <c:pt idx="1783">
                  <c:v>44014</c:v>
                </c:pt>
                <c:pt idx="1784">
                  <c:v>44018</c:v>
                </c:pt>
                <c:pt idx="1785">
                  <c:v>44019</c:v>
                </c:pt>
                <c:pt idx="1786">
                  <c:v>44020</c:v>
                </c:pt>
                <c:pt idx="1787">
                  <c:v>44021</c:v>
                </c:pt>
                <c:pt idx="1788">
                  <c:v>44022</c:v>
                </c:pt>
                <c:pt idx="1789">
                  <c:v>44025</c:v>
                </c:pt>
                <c:pt idx="1790">
                  <c:v>44026</c:v>
                </c:pt>
                <c:pt idx="1791">
                  <c:v>44027</c:v>
                </c:pt>
                <c:pt idx="1792">
                  <c:v>44028</c:v>
                </c:pt>
                <c:pt idx="1793">
                  <c:v>44029</c:v>
                </c:pt>
                <c:pt idx="1794">
                  <c:v>44032</c:v>
                </c:pt>
                <c:pt idx="1795">
                  <c:v>44033</c:v>
                </c:pt>
                <c:pt idx="1796">
                  <c:v>44034</c:v>
                </c:pt>
                <c:pt idx="1797">
                  <c:v>44035</c:v>
                </c:pt>
                <c:pt idx="1798">
                  <c:v>44036</c:v>
                </c:pt>
                <c:pt idx="1799">
                  <c:v>44039</c:v>
                </c:pt>
                <c:pt idx="1800">
                  <c:v>44040</c:v>
                </c:pt>
                <c:pt idx="1801">
                  <c:v>44041</c:v>
                </c:pt>
                <c:pt idx="1802">
                  <c:v>44042</c:v>
                </c:pt>
                <c:pt idx="1803">
                  <c:v>44043</c:v>
                </c:pt>
                <c:pt idx="1804">
                  <c:v>44046</c:v>
                </c:pt>
                <c:pt idx="1805">
                  <c:v>44047</c:v>
                </c:pt>
                <c:pt idx="1806">
                  <c:v>44048</c:v>
                </c:pt>
                <c:pt idx="1807">
                  <c:v>44049</c:v>
                </c:pt>
                <c:pt idx="1808">
                  <c:v>44050</c:v>
                </c:pt>
                <c:pt idx="1809">
                  <c:v>44053</c:v>
                </c:pt>
                <c:pt idx="1810">
                  <c:v>44054</c:v>
                </c:pt>
                <c:pt idx="1811">
                  <c:v>44055</c:v>
                </c:pt>
                <c:pt idx="1812">
                  <c:v>44056</c:v>
                </c:pt>
                <c:pt idx="1813">
                  <c:v>44057</c:v>
                </c:pt>
                <c:pt idx="1814">
                  <c:v>44060</c:v>
                </c:pt>
                <c:pt idx="1815">
                  <c:v>44061</c:v>
                </c:pt>
                <c:pt idx="1816">
                  <c:v>44062</c:v>
                </c:pt>
                <c:pt idx="1817">
                  <c:v>44063</c:v>
                </c:pt>
                <c:pt idx="1818">
                  <c:v>44064</c:v>
                </c:pt>
                <c:pt idx="1819">
                  <c:v>44067</c:v>
                </c:pt>
                <c:pt idx="1820">
                  <c:v>44068</c:v>
                </c:pt>
                <c:pt idx="1821">
                  <c:v>44069</c:v>
                </c:pt>
                <c:pt idx="1822">
                  <c:v>44070</c:v>
                </c:pt>
                <c:pt idx="1823">
                  <c:v>44071</c:v>
                </c:pt>
                <c:pt idx="1824">
                  <c:v>44074</c:v>
                </c:pt>
                <c:pt idx="1825">
                  <c:v>44075</c:v>
                </c:pt>
                <c:pt idx="1826">
                  <c:v>44076</c:v>
                </c:pt>
                <c:pt idx="1827">
                  <c:v>44077</c:v>
                </c:pt>
                <c:pt idx="1828">
                  <c:v>44078</c:v>
                </c:pt>
                <c:pt idx="1829">
                  <c:v>44082</c:v>
                </c:pt>
                <c:pt idx="1830">
                  <c:v>44083</c:v>
                </c:pt>
                <c:pt idx="1831">
                  <c:v>44084</c:v>
                </c:pt>
                <c:pt idx="1832">
                  <c:v>44085</c:v>
                </c:pt>
                <c:pt idx="1833">
                  <c:v>44088</c:v>
                </c:pt>
                <c:pt idx="1834">
                  <c:v>44089</c:v>
                </c:pt>
                <c:pt idx="1835">
                  <c:v>44090</c:v>
                </c:pt>
                <c:pt idx="1836">
                  <c:v>44091</c:v>
                </c:pt>
                <c:pt idx="1837">
                  <c:v>44092</c:v>
                </c:pt>
                <c:pt idx="1838">
                  <c:v>44095</c:v>
                </c:pt>
                <c:pt idx="1839">
                  <c:v>44096</c:v>
                </c:pt>
                <c:pt idx="1840">
                  <c:v>44097</c:v>
                </c:pt>
                <c:pt idx="1841">
                  <c:v>44098</c:v>
                </c:pt>
                <c:pt idx="1842">
                  <c:v>44099</c:v>
                </c:pt>
                <c:pt idx="1843">
                  <c:v>44102</c:v>
                </c:pt>
                <c:pt idx="1844">
                  <c:v>44103</c:v>
                </c:pt>
                <c:pt idx="1845">
                  <c:v>44104</c:v>
                </c:pt>
                <c:pt idx="1846">
                  <c:v>44105</c:v>
                </c:pt>
                <c:pt idx="1847">
                  <c:v>44106</c:v>
                </c:pt>
                <c:pt idx="1848">
                  <c:v>44109</c:v>
                </c:pt>
                <c:pt idx="1849">
                  <c:v>44110</c:v>
                </c:pt>
                <c:pt idx="1850">
                  <c:v>44111</c:v>
                </c:pt>
                <c:pt idx="1851">
                  <c:v>44112</c:v>
                </c:pt>
                <c:pt idx="1852">
                  <c:v>44113</c:v>
                </c:pt>
                <c:pt idx="1853">
                  <c:v>44116</c:v>
                </c:pt>
                <c:pt idx="1854">
                  <c:v>44117</c:v>
                </c:pt>
                <c:pt idx="1855">
                  <c:v>44118</c:v>
                </c:pt>
                <c:pt idx="1856">
                  <c:v>44119</c:v>
                </c:pt>
                <c:pt idx="1857">
                  <c:v>44120</c:v>
                </c:pt>
                <c:pt idx="1858">
                  <c:v>44123</c:v>
                </c:pt>
                <c:pt idx="1859">
                  <c:v>44124</c:v>
                </c:pt>
                <c:pt idx="1860">
                  <c:v>44125</c:v>
                </c:pt>
                <c:pt idx="1861">
                  <c:v>44126</c:v>
                </c:pt>
                <c:pt idx="1862">
                  <c:v>44127</c:v>
                </c:pt>
                <c:pt idx="1863">
                  <c:v>44130</c:v>
                </c:pt>
                <c:pt idx="1864">
                  <c:v>44131</c:v>
                </c:pt>
                <c:pt idx="1865">
                  <c:v>44132</c:v>
                </c:pt>
                <c:pt idx="1866">
                  <c:v>44133</c:v>
                </c:pt>
                <c:pt idx="1867">
                  <c:v>44134</c:v>
                </c:pt>
                <c:pt idx="1868">
                  <c:v>44137</c:v>
                </c:pt>
                <c:pt idx="1869">
                  <c:v>44138</c:v>
                </c:pt>
                <c:pt idx="1870">
                  <c:v>44139</c:v>
                </c:pt>
                <c:pt idx="1871">
                  <c:v>44140</c:v>
                </c:pt>
                <c:pt idx="1872">
                  <c:v>44141</c:v>
                </c:pt>
                <c:pt idx="1873">
                  <c:v>44144</c:v>
                </c:pt>
                <c:pt idx="1874">
                  <c:v>44145</c:v>
                </c:pt>
                <c:pt idx="1875">
                  <c:v>44146</c:v>
                </c:pt>
                <c:pt idx="1876">
                  <c:v>44147</c:v>
                </c:pt>
                <c:pt idx="1877">
                  <c:v>44148</c:v>
                </c:pt>
                <c:pt idx="1878">
                  <c:v>44151</c:v>
                </c:pt>
                <c:pt idx="1879">
                  <c:v>44152</c:v>
                </c:pt>
                <c:pt idx="1880">
                  <c:v>44153</c:v>
                </c:pt>
                <c:pt idx="1881">
                  <c:v>44154</c:v>
                </c:pt>
                <c:pt idx="1882">
                  <c:v>44155</c:v>
                </c:pt>
                <c:pt idx="1883">
                  <c:v>44158</c:v>
                </c:pt>
                <c:pt idx="1884">
                  <c:v>44159</c:v>
                </c:pt>
                <c:pt idx="1885">
                  <c:v>44160</c:v>
                </c:pt>
                <c:pt idx="1886">
                  <c:v>44162</c:v>
                </c:pt>
                <c:pt idx="1887">
                  <c:v>44165</c:v>
                </c:pt>
                <c:pt idx="1888">
                  <c:v>44166</c:v>
                </c:pt>
                <c:pt idx="1889">
                  <c:v>44167</c:v>
                </c:pt>
                <c:pt idx="1890">
                  <c:v>44168</c:v>
                </c:pt>
                <c:pt idx="1891">
                  <c:v>44169</c:v>
                </c:pt>
                <c:pt idx="1892">
                  <c:v>44172</c:v>
                </c:pt>
                <c:pt idx="1893">
                  <c:v>44173</c:v>
                </c:pt>
                <c:pt idx="1894">
                  <c:v>44174</c:v>
                </c:pt>
                <c:pt idx="1895">
                  <c:v>44175</c:v>
                </c:pt>
                <c:pt idx="1896">
                  <c:v>44176</c:v>
                </c:pt>
                <c:pt idx="1897">
                  <c:v>44179</c:v>
                </c:pt>
                <c:pt idx="1898">
                  <c:v>44180</c:v>
                </c:pt>
                <c:pt idx="1899">
                  <c:v>44181</c:v>
                </c:pt>
                <c:pt idx="1900">
                  <c:v>44182</c:v>
                </c:pt>
                <c:pt idx="1901">
                  <c:v>44183</c:v>
                </c:pt>
                <c:pt idx="1902">
                  <c:v>44186</c:v>
                </c:pt>
                <c:pt idx="1903">
                  <c:v>44187</c:v>
                </c:pt>
                <c:pt idx="1904">
                  <c:v>44188</c:v>
                </c:pt>
                <c:pt idx="1905">
                  <c:v>44189</c:v>
                </c:pt>
                <c:pt idx="1906">
                  <c:v>44193</c:v>
                </c:pt>
                <c:pt idx="1907">
                  <c:v>44194</c:v>
                </c:pt>
                <c:pt idx="1908">
                  <c:v>44195</c:v>
                </c:pt>
                <c:pt idx="1909">
                  <c:v>44196</c:v>
                </c:pt>
                <c:pt idx="1910">
                  <c:v>44200</c:v>
                </c:pt>
                <c:pt idx="1911">
                  <c:v>44201</c:v>
                </c:pt>
                <c:pt idx="1912">
                  <c:v>44202</c:v>
                </c:pt>
                <c:pt idx="1913">
                  <c:v>44203</c:v>
                </c:pt>
                <c:pt idx="1914">
                  <c:v>44204</c:v>
                </c:pt>
                <c:pt idx="1915">
                  <c:v>44207</c:v>
                </c:pt>
                <c:pt idx="1916">
                  <c:v>44208</c:v>
                </c:pt>
                <c:pt idx="1917">
                  <c:v>44209</c:v>
                </c:pt>
                <c:pt idx="1918">
                  <c:v>44210</c:v>
                </c:pt>
                <c:pt idx="1919">
                  <c:v>44211</c:v>
                </c:pt>
                <c:pt idx="1920">
                  <c:v>44215</c:v>
                </c:pt>
                <c:pt idx="1921">
                  <c:v>44216</c:v>
                </c:pt>
                <c:pt idx="1922">
                  <c:v>44217</c:v>
                </c:pt>
                <c:pt idx="1923">
                  <c:v>44218</c:v>
                </c:pt>
                <c:pt idx="1924">
                  <c:v>44221</c:v>
                </c:pt>
                <c:pt idx="1925">
                  <c:v>44222</c:v>
                </c:pt>
                <c:pt idx="1926">
                  <c:v>44223</c:v>
                </c:pt>
                <c:pt idx="1927">
                  <c:v>44224</c:v>
                </c:pt>
                <c:pt idx="1928">
                  <c:v>44225</c:v>
                </c:pt>
                <c:pt idx="1929">
                  <c:v>44228</c:v>
                </c:pt>
                <c:pt idx="1930">
                  <c:v>44229</c:v>
                </c:pt>
                <c:pt idx="1931">
                  <c:v>44230</c:v>
                </c:pt>
                <c:pt idx="1932">
                  <c:v>44231</c:v>
                </c:pt>
                <c:pt idx="1933">
                  <c:v>44232</c:v>
                </c:pt>
                <c:pt idx="1934">
                  <c:v>44235</c:v>
                </c:pt>
                <c:pt idx="1935">
                  <c:v>44236</c:v>
                </c:pt>
                <c:pt idx="1936">
                  <c:v>44237</c:v>
                </c:pt>
                <c:pt idx="1937">
                  <c:v>44238</c:v>
                </c:pt>
                <c:pt idx="1938">
                  <c:v>44239</c:v>
                </c:pt>
                <c:pt idx="1939">
                  <c:v>44243</c:v>
                </c:pt>
                <c:pt idx="1940">
                  <c:v>44244</c:v>
                </c:pt>
                <c:pt idx="1941">
                  <c:v>44245</c:v>
                </c:pt>
                <c:pt idx="1942">
                  <c:v>44246</c:v>
                </c:pt>
                <c:pt idx="1943">
                  <c:v>44249</c:v>
                </c:pt>
                <c:pt idx="1944">
                  <c:v>44250</c:v>
                </c:pt>
                <c:pt idx="1945">
                  <c:v>44251</c:v>
                </c:pt>
                <c:pt idx="1946">
                  <c:v>44252</c:v>
                </c:pt>
                <c:pt idx="1947">
                  <c:v>44253</c:v>
                </c:pt>
                <c:pt idx="1948">
                  <c:v>44256</c:v>
                </c:pt>
                <c:pt idx="1949">
                  <c:v>44257</c:v>
                </c:pt>
                <c:pt idx="1950">
                  <c:v>44258</c:v>
                </c:pt>
                <c:pt idx="1951">
                  <c:v>44259</c:v>
                </c:pt>
                <c:pt idx="1952">
                  <c:v>44260</c:v>
                </c:pt>
                <c:pt idx="1953">
                  <c:v>44263</c:v>
                </c:pt>
                <c:pt idx="1954">
                  <c:v>44264</c:v>
                </c:pt>
                <c:pt idx="1955">
                  <c:v>44265</c:v>
                </c:pt>
                <c:pt idx="1956">
                  <c:v>44266</c:v>
                </c:pt>
                <c:pt idx="1957">
                  <c:v>44267</c:v>
                </c:pt>
                <c:pt idx="1958">
                  <c:v>44270</c:v>
                </c:pt>
                <c:pt idx="1959">
                  <c:v>44271</c:v>
                </c:pt>
                <c:pt idx="1960">
                  <c:v>44272</c:v>
                </c:pt>
                <c:pt idx="1961">
                  <c:v>44273</c:v>
                </c:pt>
                <c:pt idx="1962">
                  <c:v>44274</c:v>
                </c:pt>
                <c:pt idx="1963">
                  <c:v>44277</c:v>
                </c:pt>
                <c:pt idx="1964">
                  <c:v>44278</c:v>
                </c:pt>
                <c:pt idx="1965">
                  <c:v>44279</c:v>
                </c:pt>
                <c:pt idx="1966">
                  <c:v>44280</c:v>
                </c:pt>
                <c:pt idx="1967">
                  <c:v>44281</c:v>
                </c:pt>
                <c:pt idx="1968">
                  <c:v>44284</c:v>
                </c:pt>
                <c:pt idx="1969">
                  <c:v>44285</c:v>
                </c:pt>
                <c:pt idx="1970">
                  <c:v>44286</c:v>
                </c:pt>
                <c:pt idx="1971">
                  <c:v>44287</c:v>
                </c:pt>
                <c:pt idx="1972">
                  <c:v>44291</c:v>
                </c:pt>
                <c:pt idx="1973">
                  <c:v>44292</c:v>
                </c:pt>
                <c:pt idx="1974">
                  <c:v>44293</c:v>
                </c:pt>
                <c:pt idx="1975">
                  <c:v>44294</c:v>
                </c:pt>
                <c:pt idx="1976">
                  <c:v>44295</c:v>
                </c:pt>
                <c:pt idx="1977">
                  <c:v>44298</c:v>
                </c:pt>
                <c:pt idx="1978">
                  <c:v>44299</c:v>
                </c:pt>
                <c:pt idx="1979">
                  <c:v>44300</c:v>
                </c:pt>
                <c:pt idx="1980">
                  <c:v>44301</c:v>
                </c:pt>
                <c:pt idx="1981">
                  <c:v>44302</c:v>
                </c:pt>
                <c:pt idx="1982">
                  <c:v>44305</c:v>
                </c:pt>
                <c:pt idx="1983">
                  <c:v>44306</c:v>
                </c:pt>
                <c:pt idx="1984">
                  <c:v>44307</c:v>
                </c:pt>
                <c:pt idx="1985">
                  <c:v>44308</c:v>
                </c:pt>
                <c:pt idx="1986">
                  <c:v>44309</c:v>
                </c:pt>
              </c:numCache>
            </c:numRef>
          </c:cat>
          <c:val>
            <c:numRef>
              <c:f>Price_Vol!$C$2:$C$1988</c:f>
              <c:numCache>
                <c:formatCode>General</c:formatCode>
                <c:ptCount val="1987"/>
                <c:pt idx="0">
                  <c:v>2.9535399999999998</c:v>
                </c:pt>
                <c:pt idx="1">
                  <c:v>2.6524200000000002</c:v>
                </c:pt>
                <c:pt idx="2">
                  <c:v>2.8145199999999999</c:v>
                </c:pt>
                <c:pt idx="3">
                  <c:v>3.4098549999999999</c:v>
                </c:pt>
                <c:pt idx="4">
                  <c:v>2.8996979999999999</c:v>
                </c:pt>
                <c:pt idx="5">
                  <c:v>2.804859</c:v>
                </c:pt>
                <c:pt idx="6">
                  <c:v>3.2200090000000001</c:v>
                </c:pt>
                <c:pt idx="7">
                  <c:v>3.2781509999999998</c:v>
                </c:pt>
                <c:pt idx="8">
                  <c:v>2.8462040000000002</c:v>
                </c:pt>
                <c:pt idx="9">
                  <c:v>4.5163289999999998</c:v>
                </c:pt>
                <c:pt idx="10">
                  <c:v>8.9192180000000008</c:v>
                </c:pt>
                <c:pt idx="11">
                  <c:v>4.3561529999999999</c:v>
                </c:pt>
                <c:pt idx="12">
                  <c:v>3.8480210000000001</c:v>
                </c:pt>
                <c:pt idx="13">
                  <c:v>3.3202020000000001</c:v>
                </c:pt>
                <c:pt idx="14">
                  <c:v>3.5193319999999999</c:v>
                </c:pt>
                <c:pt idx="15">
                  <c:v>10.056856</c:v>
                </c:pt>
                <c:pt idx="16">
                  <c:v>4.4424219999999996</c:v>
                </c:pt>
                <c:pt idx="17">
                  <c:v>3.6578550000000001</c:v>
                </c:pt>
                <c:pt idx="18">
                  <c:v>1.8783129999999999</c:v>
                </c:pt>
                <c:pt idx="19">
                  <c:v>1.8783129999999999</c:v>
                </c:pt>
                <c:pt idx="20">
                  <c:v>2.4079709999999999</c:v>
                </c:pt>
                <c:pt idx="21">
                  <c:v>2.948458</c:v>
                </c:pt>
                <c:pt idx="22">
                  <c:v>5.2046849999999996</c:v>
                </c:pt>
                <c:pt idx="23">
                  <c:v>3.8919600000000001</c:v>
                </c:pt>
                <c:pt idx="24">
                  <c:v>4.1791229999999997</c:v>
                </c:pt>
                <c:pt idx="25">
                  <c:v>4.4958920000000004</c:v>
                </c:pt>
                <c:pt idx="26">
                  <c:v>5.6782380000000003</c:v>
                </c:pt>
                <c:pt idx="27">
                  <c:v>3.7473939999999999</c:v>
                </c:pt>
                <c:pt idx="28">
                  <c:v>6.868411</c:v>
                </c:pt>
                <c:pt idx="29">
                  <c:v>8.3943100000000008</c:v>
                </c:pt>
                <c:pt idx="30">
                  <c:v>6.9985910000000002</c:v>
                </c:pt>
                <c:pt idx="31">
                  <c:v>3.3994610000000001</c:v>
                </c:pt>
                <c:pt idx="32">
                  <c:v>2.8641139999999998</c:v>
                </c:pt>
                <c:pt idx="33">
                  <c:v>2.9582389999999998</c:v>
                </c:pt>
                <c:pt idx="34">
                  <c:v>3.0142549999999999</c:v>
                </c:pt>
                <c:pt idx="35">
                  <c:v>2.4850059999999998</c:v>
                </c:pt>
                <c:pt idx="36">
                  <c:v>2.1137540000000001</c:v>
                </c:pt>
                <c:pt idx="37">
                  <c:v>2.6632159999999998</c:v>
                </c:pt>
                <c:pt idx="38">
                  <c:v>3.8099820000000002</c:v>
                </c:pt>
                <c:pt idx="39">
                  <c:v>2.8777699999999999</c:v>
                </c:pt>
                <c:pt idx="40">
                  <c:v>3.8739080000000001</c:v>
                </c:pt>
                <c:pt idx="41">
                  <c:v>2.4926629999999999</c:v>
                </c:pt>
                <c:pt idx="42">
                  <c:v>5.9395569999999998</c:v>
                </c:pt>
                <c:pt idx="43">
                  <c:v>3.901716</c:v>
                </c:pt>
                <c:pt idx="44">
                  <c:v>4.5477559999999997</c:v>
                </c:pt>
                <c:pt idx="45">
                  <c:v>3.25</c:v>
                </c:pt>
                <c:pt idx="46">
                  <c:v>3.0268389999999998</c:v>
                </c:pt>
                <c:pt idx="47">
                  <c:v>3.542932</c:v>
                </c:pt>
                <c:pt idx="48">
                  <c:v>2.8991150000000001</c:v>
                </c:pt>
                <c:pt idx="49">
                  <c:v>3.6923599999999999</c:v>
                </c:pt>
                <c:pt idx="50">
                  <c:v>3.4279639999999998</c:v>
                </c:pt>
                <c:pt idx="51">
                  <c:v>3.2511269999999999</c:v>
                </c:pt>
                <c:pt idx="52">
                  <c:v>3.1220979999999998</c:v>
                </c:pt>
                <c:pt idx="53">
                  <c:v>3.5512069999999998</c:v>
                </c:pt>
                <c:pt idx="54">
                  <c:v>2.3548360000000002</c:v>
                </c:pt>
                <c:pt idx="55">
                  <c:v>2.2950919999999999</c:v>
                </c:pt>
                <c:pt idx="56">
                  <c:v>2.1749079999999998</c:v>
                </c:pt>
                <c:pt idx="57">
                  <c:v>3.190642</c:v>
                </c:pt>
                <c:pt idx="58">
                  <c:v>3.979196</c:v>
                </c:pt>
                <c:pt idx="59">
                  <c:v>2.9811800000000002</c:v>
                </c:pt>
                <c:pt idx="60">
                  <c:v>2.731141</c:v>
                </c:pt>
                <c:pt idx="61">
                  <c:v>3.4874689999999999</c:v>
                </c:pt>
                <c:pt idx="62">
                  <c:v>2.601909</c:v>
                </c:pt>
                <c:pt idx="63">
                  <c:v>2.8698830000000002</c:v>
                </c:pt>
                <c:pt idx="64">
                  <c:v>2.9037169999999999</c:v>
                </c:pt>
                <c:pt idx="65">
                  <c:v>3.017439</c:v>
                </c:pt>
                <c:pt idx="66">
                  <c:v>3.1498300000000001</c:v>
                </c:pt>
                <c:pt idx="67">
                  <c:v>4.9630219999999996</c:v>
                </c:pt>
                <c:pt idx="68">
                  <c:v>3.3548450000000001</c:v>
                </c:pt>
                <c:pt idx="69">
                  <c:v>3.7103540000000002</c:v>
                </c:pt>
                <c:pt idx="70">
                  <c:v>3.9071859999999998</c:v>
                </c:pt>
                <c:pt idx="71">
                  <c:v>2.9317280000000001</c:v>
                </c:pt>
                <c:pt idx="72">
                  <c:v>3.841926</c:v>
                </c:pt>
                <c:pt idx="73">
                  <c:v>3.178067</c:v>
                </c:pt>
                <c:pt idx="74">
                  <c:v>8.531193</c:v>
                </c:pt>
                <c:pt idx="75">
                  <c:v>3.3408910000000001</c:v>
                </c:pt>
                <c:pt idx="76">
                  <c:v>3.085242</c:v>
                </c:pt>
                <c:pt idx="77">
                  <c:v>2.654833</c:v>
                </c:pt>
                <c:pt idx="78">
                  <c:v>2.0935839999999999</c:v>
                </c:pt>
                <c:pt idx="79">
                  <c:v>3.9079039999999998</c:v>
                </c:pt>
                <c:pt idx="80">
                  <c:v>3.978234</c:v>
                </c:pt>
                <c:pt idx="81">
                  <c:v>2.6821839999999999</c:v>
                </c:pt>
                <c:pt idx="82">
                  <c:v>3.6184590000000001</c:v>
                </c:pt>
                <c:pt idx="83">
                  <c:v>3.21224</c:v>
                </c:pt>
                <c:pt idx="84">
                  <c:v>2.864163</c:v>
                </c:pt>
                <c:pt idx="85">
                  <c:v>3.9683619999999999</c:v>
                </c:pt>
                <c:pt idx="86">
                  <c:v>5.5798329999999998</c:v>
                </c:pt>
                <c:pt idx="87">
                  <c:v>4.4243589999999999</c:v>
                </c:pt>
                <c:pt idx="88">
                  <c:v>3.6596060000000001</c:v>
                </c:pt>
                <c:pt idx="89">
                  <c:v>3.232828</c:v>
                </c:pt>
                <c:pt idx="90">
                  <c:v>2.6632069999999999</c:v>
                </c:pt>
                <c:pt idx="91">
                  <c:v>3.3672749999999998</c:v>
                </c:pt>
                <c:pt idx="92">
                  <c:v>6.7179789999999997</c:v>
                </c:pt>
                <c:pt idx="93">
                  <c:v>22.368939000000001</c:v>
                </c:pt>
                <c:pt idx="94">
                  <c:v>10.552466000000001</c:v>
                </c:pt>
                <c:pt idx="95">
                  <c:v>7.0986849999999997</c:v>
                </c:pt>
                <c:pt idx="96">
                  <c:v>6.9806229999999996</c:v>
                </c:pt>
                <c:pt idx="97">
                  <c:v>5.4163389999999998</c:v>
                </c:pt>
                <c:pt idx="98">
                  <c:v>5.5348850000000001</c:v>
                </c:pt>
                <c:pt idx="99">
                  <c:v>4.8443990000000001</c:v>
                </c:pt>
                <c:pt idx="100">
                  <c:v>3.7127330000000001</c:v>
                </c:pt>
                <c:pt idx="101">
                  <c:v>8.9093300000000006</c:v>
                </c:pt>
                <c:pt idx="102">
                  <c:v>5.2759219999999996</c:v>
                </c:pt>
                <c:pt idx="103">
                  <c:v>4.3181849999999997</c:v>
                </c:pt>
                <c:pt idx="104">
                  <c:v>3.644628</c:v>
                </c:pt>
                <c:pt idx="105">
                  <c:v>3.4843449999999998</c:v>
                </c:pt>
                <c:pt idx="106">
                  <c:v>6.1033860000000004</c:v>
                </c:pt>
                <c:pt idx="107">
                  <c:v>4.5606590000000002</c:v>
                </c:pt>
                <c:pt idx="108">
                  <c:v>5.2212810000000003</c:v>
                </c:pt>
                <c:pt idx="109">
                  <c:v>6.2750349999999999</c:v>
                </c:pt>
                <c:pt idx="110">
                  <c:v>5.2222989999999996</c:v>
                </c:pt>
                <c:pt idx="111">
                  <c:v>4.258623</c:v>
                </c:pt>
                <c:pt idx="112">
                  <c:v>4.7112759999999998</c:v>
                </c:pt>
                <c:pt idx="113">
                  <c:v>6.3226760000000004</c:v>
                </c:pt>
                <c:pt idx="114">
                  <c:v>5.1795109999999998</c:v>
                </c:pt>
                <c:pt idx="115">
                  <c:v>5.3448640000000003</c:v>
                </c:pt>
                <c:pt idx="116">
                  <c:v>4.5770369999999998</c:v>
                </c:pt>
                <c:pt idx="117">
                  <c:v>3.6461169999999998</c:v>
                </c:pt>
                <c:pt idx="118">
                  <c:v>4.4594509999999996</c:v>
                </c:pt>
                <c:pt idx="119">
                  <c:v>7.6105179999999999</c:v>
                </c:pt>
                <c:pt idx="120">
                  <c:v>7.1623739999999998</c:v>
                </c:pt>
                <c:pt idx="121">
                  <c:v>5.7561739999999997</c:v>
                </c:pt>
                <c:pt idx="122">
                  <c:v>4.5964739999999997</c:v>
                </c:pt>
                <c:pt idx="123">
                  <c:v>4.5964739999999997</c:v>
                </c:pt>
                <c:pt idx="124">
                  <c:v>4.5615769999999998</c:v>
                </c:pt>
                <c:pt idx="125">
                  <c:v>5.864045</c:v>
                </c:pt>
                <c:pt idx="126">
                  <c:v>5.2673639999999997</c:v>
                </c:pt>
                <c:pt idx="127">
                  <c:v>4.3850410000000002</c:v>
                </c:pt>
                <c:pt idx="128">
                  <c:v>4.7411190000000003</c:v>
                </c:pt>
                <c:pt idx="129">
                  <c:v>3.7966199999999999</c:v>
                </c:pt>
                <c:pt idx="130">
                  <c:v>4.1283859999999999</c:v>
                </c:pt>
                <c:pt idx="131">
                  <c:v>4.0904379999999998</c:v>
                </c:pt>
                <c:pt idx="132">
                  <c:v>5.6716490000000004</c:v>
                </c:pt>
                <c:pt idx="133">
                  <c:v>4.1848359999999998</c:v>
                </c:pt>
                <c:pt idx="134">
                  <c:v>7.521001</c:v>
                </c:pt>
                <c:pt idx="135">
                  <c:v>5.4764049999999997</c:v>
                </c:pt>
                <c:pt idx="136">
                  <c:v>5.6984370000000002</c:v>
                </c:pt>
                <c:pt idx="137">
                  <c:v>5.9295840000000002</c:v>
                </c:pt>
                <c:pt idx="138">
                  <c:v>7.6559980000000003</c:v>
                </c:pt>
                <c:pt idx="139">
                  <c:v>4.082821</c:v>
                </c:pt>
                <c:pt idx="140">
                  <c:v>1.6136140000000001</c:v>
                </c:pt>
                <c:pt idx="141">
                  <c:v>3.325841</c:v>
                </c:pt>
                <c:pt idx="142">
                  <c:v>3.382117</c:v>
                </c:pt>
                <c:pt idx="143">
                  <c:v>3.0185940000000002</c:v>
                </c:pt>
                <c:pt idx="144">
                  <c:v>3.6204130000000001</c:v>
                </c:pt>
                <c:pt idx="145">
                  <c:v>4.5468089999999997</c:v>
                </c:pt>
                <c:pt idx="146">
                  <c:v>4.064095</c:v>
                </c:pt>
                <c:pt idx="147">
                  <c:v>4.0681050000000001</c:v>
                </c:pt>
                <c:pt idx="148">
                  <c:v>5.9343219999999999</c:v>
                </c:pt>
                <c:pt idx="149">
                  <c:v>4.6041049999999997</c:v>
                </c:pt>
                <c:pt idx="150">
                  <c:v>4.3222839999999998</c:v>
                </c:pt>
                <c:pt idx="151">
                  <c:v>4.0230889999999997</c:v>
                </c:pt>
                <c:pt idx="152">
                  <c:v>5.7891069999999996</c:v>
                </c:pt>
                <c:pt idx="153">
                  <c:v>4.6195089999999999</c:v>
                </c:pt>
                <c:pt idx="154">
                  <c:v>4.8292909999999996</c:v>
                </c:pt>
                <c:pt idx="155">
                  <c:v>4.7751669999999997</c:v>
                </c:pt>
                <c:pt idx="156">
                  <c:v>7.6711460000000002</c:v>
                </c:pt>
                <c:pt idx="157">
                  <c:v>11.121409999999999</c:v>
                </c:pt>
                <c:pt idx="158">
                  <c:v>13.800585999999999</c:v>
                </c:pt>
                <c:pt idx="159">
                  <c:v>6.9743339999999998</c:v>
                </c:pt>
                <c:pt idx="160">
                  <c:v>6.9387679999999996</c:v>
                </c:pt>
                <c:pt idx="161">
                  <c:v>5.209244</c:v>
                </c:pt>
                <c:pt idx="162">
                  <c:v>5.336989</c:v>
                </c:pt>
                <c:pt idx="163">
                  <c:v>4.9711420000000004</c:v>
                </c:pt>
                <c:pt idx="164">
                  <c:v>4.8543969999999996</c:v>
                </c:pt>
                <c:pt idx="165">
                  <c:v>5.1953810000000002</c:v>
                </c:pt>
                <c:pt idx="166">
                  <c:v>7.187767</c:v>
                </c:pt>
                <c:pt idx="167">
                  <c:v>4.3511800000000003</c:v>
                </c:pt>
                <c:pt idx="168">
                  <c:v>4.7143750000000004</c:v>
                </c:pt>
                <c:pt idx="169">
                  <c:v>4.292478</c:v>
                </c:pt>
                <c:pt idx="170">
                  <c:v>4.7256470000000004</c:v>
                </c:pt>
                <c:pt idx="171">
                  <c:v>3.544486</c:v>
                </c:pt>
                <c:pt idx="172">
                  <c:v>4.6542070000000004</c:v>
                </c:pt>
                <c:pt idx="173">
                  <c:v>3.9841479999999998</c:v>
                </c:pt>
                <c:pt idx="174">
                  <c:v>4.482761</c:v>
                </c:pt>
                <c:pt idx="175">
                  <c:v>4.6658730000000004</c:v>
                </c:pt>
                <c:pt idx="176">
                  <c:v>4.4354839999999998</c:v>
                </c:pt>
                <c:pt idx="177">
                  <c:v>4.6717050000000002</c:v>
                </c:pt>
                <c:pt idx="178">
                  <c:v>4.968267</c:v>
                </c:pt>
                <c:pt idx="179">
                  <c:v>5.6993309999999999</c:v>
                </c:pt>
                <c:pt idx="180">
                  <c:v>4.5953119999999998</c:v>
                </c:pt>
                <c:pt idx="181">
                  <c:v>3.9023319999999999</c:v>
                </c:pt>
                <c:pt idx="182">
                  <c:v>3.7408839999999999</c:v>
                </c:pt>
                <c:pt idx="183">
                  <c:v>3.8279649999999998</c:v>
                </c:pt>
                <c:pt idx="184">
                  <c:v>4.6684520000000003</c:v>
                </c:pt>
                <c:pt idx="185">
                  <c:v>3.9527040000000002</c:v>
                </c:pt>
                <c:pt idx="186">
                  <c:v>4.734235</c:v>
                </c:pt>
                <c:pt idx="187">
                  <c:v>3.4873590000000001</c:v>
                </c:pt>
                <c:pt idx="188">
                  <c:v>3.817529</c:v>
                </c:pt>
                <c:pt idx="189">
                  <c:v>4.117826</c:v>
                </c:pt>
                <c:pt idx="190">
                  <c:v>4.5940539999999999</c:v>
                </c:pt>
                <c:pt idx="191">
                  <c:v>4.229679</c:v>
                </c:pt>
                <c:pt idx="192">
                  <c:v>4.8331580000000001</c:v>
                </c:pt>
                <c:pt idx="193">
                  <c:v>4.913208</c:v>
                </c:pt>
                <c:pt idx="194">
                  <c:v>5.4903259999999996</c:v>
                </c:pt>
                <c:pt idx="195">
                  <c:v>4.9387540000000003</c:v>
                </c:pt>
                <c:pt idx="196">
                  <c:v>3.961319</c:v>
                </c:pt>
                <c:pt idx="197">
                  <c:v>4.3239299999999998</c:v>
                </c:pt>
                <c:pt idx="198">
                  <c:v>5.0626290000000003</c:v>
                </c:pt>
                <c:pt idx="199">
                  <c:v>12.535280999999999</c:v>
                </c:pt>
                <c:pt idx="200">
                  <c:v>5.7384919999999999</c:v>
                </c:pt>
                <c:pt idx="201">
                  <c:v>10.912699</c:v>
                </c:pt>
                <c:pt idx="202">
                  <c:v>6.8517720000000004</c:v>
                </c:pt>
                <c:pt idx="203">
                  <c:v>6.7676530000000001</c:v>
                </c:pt>
                <c:pt idx="204">
                  <c:v>5.1944429999999997</c:v>
                </c:pt>
                <c:pt idx="205">
                  <c:v>8.5377460000000003</c:v>
                </c:pt>
                <c:pt idx="206">
                  <c:v>5.395346</c:v>
                </c:pt>
                <c:pt idx="207">
                  <c:v>4.9241330000000003</c:v>
                </c:pt>
                <c:pt idx="208">
                  <c:v>4.0910599999999997</c:v>
                </c:pt>
                <c:pt idx="209">
                  <c:v>6.0894560000000002</c:v>
                </c:pt>
                <c:pt idx="210">
                  <c:v>6.7470800000000004</c:v>
                </c:pt>
                <c:pt idx="211">
                  <c:v>5.1250010000000001</c:v>
                </c:pt>
                <c:pt idx="212">
                  <c:v>5.4851239999999999</c:v>
                </c:pt>
                <c:pt idx="213">
                  <c:v>8.4256010000000003</c:v>
                </c:pt>
                <c:pt idx="214">
                  <c:v>4.8352139999999997</c:v>
                </c:pt>
                <c:pt idx="215">
                  <c:v>5.4336209999999996</c:v>
                </c:pt>
                <c:pt idx="216">
                  <c:v>5.3531769999999996</c:v>
                </c:pt>
                <c:pt idx="217">
                  <c:v>8.5272950000000005</c:v>
                </c:pt>
                <c:pt idx="218">
                  <c:v>11.255493</c:v>
                </c:pt>
                <c:pt idx="219">
                  <c:v>5.4252830000000003</c:v>
                </c:pt>
                <c:pt idx="220">
                  <c:v>3.878619</c:v>
                </c:pt>
                <c:pt idx="221">
                  <c:v>4.7369190000000003</c:v>
                </c:pt>
                <c:pt idx="222">
                  <c:v>4.4073520000000004</c:v>
                </c:pt>
                <c:pt idx="223">
                  <c:v>3.871407</c:v>
                </c:pt>
                <c:pt idx="224">
                  <c:v>5.6383340000000004</c:v>
                </c:pt>
                <c:pt idx="225">
                  <c:v>4.6263519999999998</c:v>
                </c:pt>
                <c:pt idx="226">
                  <c:v>4.211284</c:v>
                </c:pt>
                <c:pt idx="227">
                  <c:v>3.6758229999999998</c:v>
                </c:pt>
                <c:pt idx="228">
                  <c:v>3.052953</c:v>
                </c:pt>
                <c:pt idx="229">
                  <c:v>2.2221679999999999</c:v>
                </c:pt>
                <c:pt idx="230">
                  <c:v>3.1887059999999998</c:v>
                </c:pt>
                <c:pt idx="231">
                  <c:v>3.8210229999999998</c:v>
                </c:pt>
                <c:pt idx="232">
                  <c:v>2.4319449999999998</c:v>
                </c:pt>
                <c:pt idx="233">
                  <c:v>2.2617389999999999</c:v>
                </c:pt>
                <c:pt idx="234">
                  <c:v>3.7786110000000002</c:v>
                </c:pt>
                <c:pt idx="235">
                  <c:v>2.2269969999999999</c:v>
                </c:pt>
                <c:pt idx="236">
                  <c:v>5.2559699999999996</c:v>
                </c:pt>
                <c:pt idx="237">
                  <c:v>4.2025560000000004</c:v>
                </c:pt>
                <c:pt idx="238">
                  <c:v>3.9496440000000002</c:v>
                </c:pt>
                <c:pt idx="239">
                  <c:v>3.27067</c:v>
                </c:pt>
                <c:pt idx="240">
                  <c:v>3.032896</c:v>
                </c:pt>
                <c:pt idx="241">
                  <c:v>2.9883479999999998</c:v>
                </c:pt>
                <c:pt idx="242">
                  <c:v>2.2181489999999999</c:v>
                </c:pt>
                <c:pt idx="243">
                  <c:v>2.5634239999999999</c:v>
                </c:pt>
                <c:pt idx="244">
                  <c:v>4.7945010000000003</c:v>
                </c:pt>
                <c:pt idx="245">
                  <c:v>3.7241240000000002</c:v>
                </c:pt>
                <c:pt idx="246">
                  <c:v>2.7599779999999998</c:v>
                </c:pt>
                <c:pt idx="247">
                  <c:v>4.6202069999999997</c:v>
                </c:pt>
                <c:pt idx="248">
                  <c:v>3.204034</c:v>
                </c:pt>
                <c:pt idx="249">
                  <c:v>2.5171230000000002</c:v>
                </c:pt>
                <c:pt idx="250">
                  <c:v>2.3769809999999998</c:v>
                </c:pt>
                <c:pt idx="251">
                  <c:v>2.861974</c:v>
                </c:pt>
                <c:pt idx="252">
                  <c:v>3.2968999999999999</c:v>
                </c:pt>
                <c:pt idx="253">
                  <c:v>2.7284030000000001</c:v>
                </c:pt>
                <c:pt idx="254">
                  <c:v>4.1570619999999998</c:v>
                </c:pt>
                <c:pt idx="255">
                  <c:v>4.0653100000000002</c:v>
                </c:pt>
                <c:pt idx="256">
                  <c:v>4.4254910000000001</c:v>
                </c:pt>
                <c:pt idx="257">
                  <c:v>2.7789839999999999</c:v>
                </c:pt>
                <c:pt idx="258">
                  <c:v>3.5562179999999999</c:v>
                </c:pt>
                <c:pt idx="259">
                  <c:v>2.4608569999999999</c:v>
                </c:pt>
                <c:pt idx="260">
                  <c:v>3.9356529999999998</c:v>
                </c:pt>
                <c:pt idx="261">
                  <c:v>3.5512760000000001</c:v>
                </c:pt>
                <c:pt idx="262">
                  <c:v>10.686833999999999</c:v>
                </c:pt>
                <c:pt idx="263">
                  <c:v>3.2316989999999999</c:v>
                </c:pt>
                <c:pt idx="264">
                  <c:v>3.8754529999999998</c:v>
                </c:pt>
                <c:pt idx="265">
                  <c:v>2.76302</c:v>
                </c:pt>
                <c:pt idx="266">
                  <c:v>3.25847</c:v>
                </c:pt>
                <c:pt idx="267">
                  <c:v>4.5756800000000002</c:v>
                </c:pt>
                <c:pt idx="268">
                  <c:v>4.2288360000000003</c:v>
                </c:pt>
                <c:pt idx="269">
                  <c:v>6.6443630000000002</c:v>
                </c:pt>
                <c:pt idx="270">
                  <c:v>5.0971989999999998</c:v>
                </c:pt>
                <c:pt idx="271">
                  <c:v>2.4223629999999998</c:v>
                </c:pt>
                <c:pt idx="272">
                  <c:v>2.9589470000000002</c:v>
                </c:pt>
                <c:pt idx="273">
                  <c:v>3.1351149999999999</c:v>
                </c:pt>
                <c:pt idx="274">
                  <c:v>3.3095590000000001</c:v>
                </c:pt>
                <c:pt idx="275">
                  <c:v>3.177816</c:v>
                </c:pt>
                <c:pt idx="276">
                  <c:v>2.4038400000000002</c:v>
                </c:pt>
                <c:pt idx="277">
                  <c:v>4.5022019999999996</c:v>
                </c:pt>
                <c:pt idx="278">
                  <c:v>4.8734520000000003</c:v>
                </c:pt>
                <c:pt idx="279">
                  <c:v>7.8156480000000004</c:v>
                </c:pt>
                <c:pt idx="280">
                  <c:v>8.8722689999999993</c:v>
                </c:pt>
                <c:pt idx="281">
                  <c:v>8.1693250000000006</c:v>
                </c:pt>
                <c:pt idx="282">
                  <c:v>4.1547400000000003</c:v>
                </c:pt>
                <c:pt idx="283">
                  <c:v>4.8530410000000002</c:v>
                </c:pt>
                <c:pt idx="284">
                  <c:v>3.5844649999999998</c:v>
                </c:pt>
                <c:pt idx="285">
                  <c:v>3.6126559999999999</c:v>
                </c:pt>
                <c:pt idx="286">
                  <c:v>3.376455</c:v>
                </c:pt>
                <c:pt idx="287">
                  <c:v>3.2424430000000002</c:v>
                </c:pt>
                <c:pt idx="288">
                  <c:v>3.2644090000000001</c:v>
                </c:pt>
                <c:pt idx="289">
                  <c:v>3.9456009999999999</c:v>
                </c:pt>
                <c:pt idx="290">
                  <c:v>4.208005</c:v>
                </c:pt>
                <c:pt idx="291">
                  <c:v>5.1810799999999997</c:v>
                </c:pt>
                <c:pt idx="292">
                  <c:v>2.1259350000000001</c:v>
                </c:pt>
                <c:pt idx="293">
                  <c:v>3.3079450000000001</c:v>
                </c:pt>
                <c:pt idx="294">
                  <c:v>3.8470460000000002</c:v>
                </c:pt>
                <c:pt idx="295">
                  <c:v>2.7089349999999999</c:v>
                </c:pt>
                <c:pt idx="296">
                  <c:v>2.781936</c:v>
                </c:pt>
                <c:pt idx="297">
                  <c:v>2.5272079999999999</c:v>
                </c:pt>
                <c:pt idx="298">
                  <c:v>1.858635</c:v>
                </c:pt>
                <c:pt idx="299">
                  <c:v>1.7970159999999999</c:v>
                </c:pt>
                <c:pt idx="300">
                  <c:v>1.929581</c:v>
                </c:pt>
                <c:pt idx="301">
                  <c:v>2.8158219999999998</c:v>
                </c:pt>
                <c:pt idx="302">
                  <c:v>2.040117</c:v>
                </c:pt>
                <c:pt idx="303">
                  <c:v>2.040117</c:v>
                </c:pt>
                <c:pt idx="304">
                  <c:v>2.177702</c:v>
                </c:pt>
                <c:pt idx="305">
                  <c:v>2.4979849999999999</c:v>
                </c:pt>
                <c:pt idx="306">
                  <c:v>1.940434</c:v>
                </c:pt>
                <c:pt idx="307">
                  <c:v>1.7261</c:v>
                </c:pt>
                <c:pt idx="308">
                  <c:v>3.1753990000000001</c:v>
                </c:pt>
                <c:pt idx="309">
                  <c:v>2.1902849999999998</c:v>
                </c:pt>
                <c:pt idx="310">
                  <c:v>1.503582</c:v>
                </c:pt>
                <c:pt idx="311">
                  <c:v>2.9110969999999998</c:v>
                </c:pt>
                <c:pt idx="312">
                  <c:v>2.9110969999999998</c:v>
                </c:pt>
                <c:pt idx="313">
                  <c:v>2.679659</c:v>
                </c:pt>
                <c:pt idx="314">
                  <c:v>1.8243780000000001</c:v>
                </c:pt>
                <c:pt idx="315">
                  <c:v>2.868754</c:v>
                </c:pt>
                <c:pt idx="316">
                  <c:v>2.261215</c:v>
                </c:pt>
                <c:pt idx="317">
                  <c:v>2.5256259999999999</c:v>
                </c:pt>
                <c:pt idx="318">
                  <c:v>2.4036309999999999</c:v>
                </c:pt>
                <c:pt idx="319">
                  <c:v>2.7653240000000001</c:v>
                </c:pt>
                <c:pt idx="320">
                  <c:v>2.2993899999999998</c:v>
                </c:pt>
                <c:pt idx="321">
                  <c:v>2.9009670000000001</c:v>
                </c:pt>
                <c:pt idx="322">
                  <c:v>2.4578030000000002</c:v>
                </c:pt>
                <c:pt idx="323">
                  <c:v>2.561528</c:v>
                </c:pt>
                <c:pt idx="324">
                  <c:v>3.2141169999999999</c:v>
                </c:pt>
                <c:pt idx="325">
                  <c:v>2.9634459999999998</c:v>
                </c:pt>
                <c:pt idx="326">
                  <c:v>8.854514</c:v>
                </c:pt>
                <c:pt idx="327">
                  <c:v>3.3179620000000001</c:v>
                </c:pt>
                <c:pt idx="328">
                  <c:v>3.3017970000000001</c:v>
                </c:pt>
                <c:pt idx="329">
                  <c:v>3.0825939999999998</c:v>
                </c:pt>
                <c:pt idx="330">
                  <c:v>4.1588159999999998</c:v>
                </c:pt>
                <c:pt idx="331">
                  <c:v>2.494024</c:v>
                </c:pt>
                <c:pt idx="332">
                  <c:v>2.3447230000000001</c:v>
                </c:pt>
                <c:pt idx="333">
                  <c:v>2.9325559999999999</c:v>
                </c:pt>
                <c:pt idx="334">
                  <c:v>3.7231920000000001</c:v>
                </c:pt>
                <c:pt idx="335">
                  <c:v>2.2836189999999998</c:v>
                </c:pt>
                <c:pt idx="336">
                  <c:v>3.0715210000000002</c:v>
                </c:pt>
                <c:pt idx="337">
                  <c:v>2.1001910000000001</c:v>
                </c:pt>
                <c:pt idx="338">
                  <c:v>2.994065</c:v>
                </c:pt>
                <c:pt idx="339">
                  <c:v>2.9853290000000001</c:v>
                </c:pt>
                <c:pt idx="340">
                  <c:v>2.6256089999999999</c:v>
                </c:pt>
                <c:pt idx="341">
                  <c:v>5.0903450000000001</c:v>
                </c:pt>
                <c:pt idx="342">
                  <c:v>3.5999240000000001</c:v>
                </c:pt>
                <c:pt idx="343">
                  <c:v>3.9249740000000002</c:v>
                </c:pt>
                <c:pt idx="344">
                  <c:v>6.8976559999999996</c:v>
                </c:pt>
                <c:pt idx="345">
                  <c:v>5.5786829999999998</c:v>
                </c:pt>
                <c:pt idx="346">
                  <c:v>4.3544419999999997</c:v>
                </c:pt>
                <c:pt idx="347">
                  <c:v>23.416511</c:v>
                </c:pt>
                <c:pt idx="348">
                  <c:v>20.953605</c:v>
                </c:pt>
                <c:pt idx="349">
                  <c:v>11.091424</c:v>
                </c:pt>
                <c:pt idx="350">
                  <c:v>7.6002700000000001</c:v>
                </c:pt>
                <c:pt idx="351">
                  <c:v>7.6002700000000001</c:v>
                </c:pt>
                <c:pt idx="352">
                  <c:v>7.8968629999999997</c:v>
                </c:pt>
                <c:pt idx="353">
                  <c:v>7.8968629999999997</c:v>
                </c:pt>
                <c:pt idx="354">
                  <c:v>4.741689</c:v>
                </c:pt>
                <c:pt idx="355">
                  <c:v>3.8959790000000001</c:v>
                </c:pt>
                <c:pt idx="356">
                  <c:v>5.8183749999999996</c:v>
                </c:pt>
                <c:pt idx="357">
                  <c:v>4.6902739999999996</c:v>
                </c:pt>
                <c:pt idx="358">
                  <c:v>4.2470790000000003</c:v>
                </c:pt>
                <c:pt idx="359">
                  <c:v>4.1047469999999997</c:v>
                </c:pt>
                <c:pt idx="360">
                  <c:v>4.0676410000000001</c:v>
                </c:pt>
                <c:pt idx="361">
                  <c:v>3.4948030000000001</c:v>
                </c:pt>
                <c:pt idx="362">
                  <c:v>4.9582360000000003</c:v>
                </c:pt>
                <c:pt idx="363">
                  <c:v>3.5356939999999999</c:v>
                </c:pt>
                <c:pt idx="364">
                  <c:v>3.3782290000000001</c:v>
                </c:pt>
                <c:pt idx="365">
                  <c:v>3.2397260000000001</c:v>
                </c:pt>
                <c:pt idx="366">
                  <c:v>4.978415</c:v>
                </c:pt>
                <c:pt idx="367">
                  <c:v>4.7989329999999999</c:v>
                </c:pt>
                <c:pt idx="368">
                  <c:v>5.4124949999999998</c:v>
                </c:pt>
                <c:pt idx="369">
                  <c:v>3.8026309999999999</c:v>
                </c:pt>
                <c:pt idx="370">
                  <c:v>4.1831019999999999</c:v>
                </c:pt>
                <c:pt idx="371">
                  <c:v>4.0768750000000002</c:v>
                </c:pt>
                <c:pt idx="372">
                  <c:v>6.6190319999999998</c:v>
                </c:pt>
                <c:pt idx="373">
                  <c:v>4.0623779999999998</c:v>
                </c:pt>
                <c:pt idx="374">
                  <c:v>3.9672230000000002</c:v>
                </c:pt>
                <c:pt idx="375">
                  <c:v>3.9672230000000002</c:v>
                </c:pt>
                <c:pt idx="376">
                  <c:v>2.4055119999999999</c:v>
                </c:pt>
                <c:pt idx="377">
                  <c:v>4.1683839999999996</c:v>
                </c:pt>
                <c:pt idx="378">
                  <c:v>3.4657469999999999</c:v>
                </c:pt>
                <c:pt idx="379">
                  <c:v>6.4349939999999997</c:v>
                </c:pt>
                <c:pt idx="380">
                  <c:v>3.8629159999999998</c:v>
                </c:pt>
                <c:pt idx="381">
                  <c:v>3.0135000000000001</c:v>
                </c:pt>
                <c:pt idx="382">
                  <c:v>2.8513829999999998</c:v>
                </c:pt>
                <c:pt idx="383">
                  <c:v>3.8659050000000001</c:v>
                </c:pt>
                <c:pt idx="384">
                  <c:v>4.0823840000000002</c:v>
                </c:pt>
                <c:pt idx="385">
                  <c:v>3.9895710000000002</c:v>
                </c:pt>
                <c:pt idx="386">
                  <c:v>8.6117480000000004</c:v>
                </c:pt>
                <c:pt idx="387">
                  <c:v>6.500311</c:v>
                </c:pt>
                <c:pt idx="388">
                  <c:v>6.7825930000000003</c:v>
                </c:pt>
                <c:pt idx="389">
                  <c:v>5.1394650000000004</c:v>
                </c:pt>
                <c:pt idx="390">
                  <c:v>7.3023559999999996</c:v>
                </c:pt>
                <c:pt idx="391">
                  <c:v>8.8648500000000006</c:v>
                </c:pt>
                <c:pt idx="392">
                  <c:v>4.6825089999999996</c:v>
                </c:pt>
                <c:pt idx="393">
                  <c:v>4.0442200000000001</c:v>
                </c:pt>
                <c:pt idx="394">
                  <c:v>1.869977</c:v>
                </c:pt>
                <c:pt idx="395">
                  <c:v>1.91231</c:v>
                </c:pt>
                <c:pt idx="396">
                  <c:v>3.331833</c:v>
                </c:pt>
                <c:pt idx="397">
                  <c:v>2.829904</c:v>
                </c:pt>
                <c:pt idx="398">
                  <c:v>4.0119090000000002</c:v>
                </c:pt>
                <c:pt idx="399">
                  <c:v>5.5254659999999998</c:v>
                </c:pt>
                <c:pt idx="400">
                  <c:v>4.8803890000000001</c:v>
                </c:pt>
                <c:pt idx="401">
                  <c:v>6.146712</c:v>
                </c:pt>
                <c:pt idx="402">
                  <c:v>4.7018389999999997</c:v>
                </c:pt>
                <c:pt idx="403">
                  <c:v>4.2411130000000004</c:v>
                </c:pt>
                <c:pt idx="404">
                  <c:v>4.4883470000000001</c:v>
                </c:pt>
                <c:pt idx="405">
                  <c:v>4.1876379999999997</c:v>
                </c:pt>
                <c:pt idx="406">
                  <c:v>4.37751</c:v>
                </c:pt>
                <c:pt idx="407">
                  <c:v>4.6902939999999997</c:v>
                </c:pt>
                <c:pt idx="408">
                  <c:v>4.2517230000000001</c:v>
                </c:pt>
                <c:pt idx="409">
                  <c:v>5.7560409999999997</c:v>
                </c:pt>
                <c:pt idx="410">
                  <c:v>8.392773</c:v>
                </c:pt>
                <c:pt idx="411">
                  <c:v>11.897123000000001</c:v>
                </c:pt>
                <c:pt idx="412">
                  <c:v>6.1201129999999999</c:v>
                </c:pt>
                <c:pt idx="413">
                  <c:v>4.8348469999999999</c:v>
                </c:pt>
                <c:pt idx="414">
                  <c:v>7.8881430000000003</c:v>
                </c:pt>
                <c:pt idx="415">
                  <c:v>5.6595680000000002</c:v>
                </c:pt>
                <c:pt idx="416">
                  <c:v>4.495933</c:v>
                </c:pt>
                <c:pt idx="417">
                  <c:v>8.3208470000000005</c:v>
                </c:pt>
                <c:pt idx="418">
                  <c:v>6.5635700000000003</c:v>
                </c:pt>
                <c:pt idx="419">
                  <c:v>4.7122469999999996</c:v>
                </c:pt>
                <c:pt idx="420">
                  <c:v>5.5394059999999996</c:v>
                </c:pt>
                <c:pt idx="421">
                  <c:v>3.6784590000000001</c:v>
                </c:pt>
                <c:pt idx="422">
                  <c:v>5.2536370000000003</c:v>
                </c:pt>
                <c:pt idx="423">
                  <c:v>3.2564519999999999</c:v>
                </c:pt>
                <c:pt idx="424">
                  <c:v>3.0577260000000002</c:v>
                </c:pt>
                <c:pt idx="425">
                  <c:v>4.4406140000000001</c:v>
                </c:pt>
                <c:pt idx="426">
                  <c:v>3.6266579999999999</c:v>
                </c:pt>
                <c:pt idx="427">
                  <c:v>3.3330630000000001</c:v>
                </c:pt>
                <c:pt idx="428">
                  <c:v>3.7069190000000001</c:v>
                </c:pt>
                <c:pt idx="429">
                  <c:v>2.8945080000000001</c:v>
                </c:pt>
                <c:pt idx="430">
                  <c:v>4.3583850000000002</c:v>
                </c:pt>
                <c:pt idx="431">
                  <c:v>3.5043799999999998</c:v>
                </c:pt>
                <c:pt idx="432">
                  <c:v>3.3529819999999999</c:v>
                </c:pt>
                <c:pt idx="433">
                  <c:v>2.7144339999999998</c:v>
                </c:pt>
                <c:pt idx="434">
                  <c:v>4.7016260000000001</c:v>
                </c:pt>
                <c:pt idx="435">
                  <c:v>4.0045590000000004</c:v>
                </c:pt>
                <c:pt idx="436">
                  <c:v>7.1107719999999999</c:v>
                </c:pt>
                <c:pt idx="437">
                  <c:v>4.410037</c:v>
                </c:pt>
                <c:pt idx="438">
                  <c:v>5.9178620000000004</c:v>
                </c:pt>
                <c:pt idx="439">
                  <c:v>3.2344010000000001</c:v>
                </c:pt>
                <c:pt idx="440">
                  <c:v>3.6336349999999999</c:v>
                </c:pt>
                <c:pt idx="441">
                  <c:v>3.7916599999999998</c:v>
                </c:pt>
                <c:pt idx="442">
                  <c:v>4.5401740000000004</c:v>
                </c:pt>
                <c:pt idx="443">
                  <c:v>5.1938740000000001</c:v>
                </c:pt>
                <c:pt idx="444">
                  <c:v>4.6009679999999999</c:v>
                </c:pt>
                <c:pt idx="445">
                  <c:v>5.7098899999999997</c:v>
                </c:pt>
                <c:pt idx="446">
                  <c:v>4.5673459999999997</c:v>
                </c:pt>
                <c:pt idx="447">
                  <c:v>6.06412</c:v>
                </c:pt>
                <c:pt idx="448">
                  <c:v>3.749638</c:v>
                </c:pt>
                <c:pt idx="449">
                  <c:v>3.3119429999999999</c:v>
                </c:pt>
                <c:pt idx="450">
                  <c:v>5.7388269999999997</c:v>
                </c:pt>
                <c:pt idx="451">
                  <c:v>3.8785590000000001</c:v>
                </c:pt>
                <c:pt idx="452">
                  <c:v>9.0064170000000008</c:v>
                </c:pt>
                <c:pt idx="453">
                  <c:v>5.9301269999999997</c:v>
                </c:pt>
                <c:pt idx="454">
                  <c:v>4.3461449999999999</c:v>
                </c:pt>
                <c:pt idx="455">
                  <c:v>5.4289300000000003</c:v>
                </c:pt>
                <c:pt idx="456">
                  <c:v>4.3960239999999997</c:v>
                </c:pt>
                <c:pt idx="457">
                  <c:v>3.4779230000000001</c:v>
                </c:pt>
                <c:pt idx="458">
                  <c:v>4.1380179999999998</c:v>
                </c:pt>
                <c:pt idx="459">
                  <c:v>4.2553679999999998</c:v>
                </c:pt>
                <c:pt idx="460">
                  <c:v>3.7007910000000002</c:v>
                </c:pt>
                <c:pt idx="461">
                  <c:v>4.6715780000000002</c:v>
                </c:pt>
                <c:pt idx="462">
                  <c:v>3.4656820000000002</c:v>
                </c:pt>
                <c:pt idx="463">
                  <c:v>3.1479750000000002</c:v>
                </c:pt>
                <c:pt idx="464">
                  <c:v>2.5243229999999999</c:v>
                </c:pt>
                <c:pt idx="465">
                  <c:v>2.26349</c:v>
                </c:pt>
                <c:pt idx="466">
                  <c:v>2.5157029999999998</c:v>
                </c:pt>
                <c:pt idx="467">
                  <c:v>3.8689110000000002</c:v>
                </c:pt>
                <c:pt idx="468">
                  <c:v>2.719287</c:v>
                </c:pt>
                <c:pt idx="469">
                  <c:v>3.4987560000000002</c:v>
                </c:pt>
                <c:pt idx="470">
                  <c:v>3.1369470000000002</c:v>
                </c:pt>
                <c:pt idx="471">
                  <c:v>4.314432</c:v>
                </c:pt>
                <c:pt idx="472">
                  <c:v>9.6092040000000001</c:v>
                </c:pt>
                <c:pt idx="473">
                  <c:v>9.6835920000000009</c:v>
                </c:pt>
                <c:pt idx="474">
                  <c:v>4.0247890000000002</c:v>
                </c:pt>
                <c:pt idx="475">
                  <c:v>8.2356069999999999</c:v>
                </c:pt>
                <c:pt idx="476">
                  <c:v>3.888439</c:v>
                </c:pt>
                <c:pt idx="477">
                  <c:v>3.1685750000000001</c:v>
                </c:pt>
                <c:pt idx="478">
                  <c:v>5.8166539999999998</c:v>
                </c:pt>
                <c:pt idx="479">
                  <c:v>4.5183809999999998</c:v>
                </c:pt>
                <c:pt idx="480">
                  <c:v>5.062913</c:v>
                </c:pt>
                <c:pt idx="481">
                  <c:v>3.312052</c:v>
                </c:pt>
                <c:pt idx="482">
                  <c:v>4.0279780000000001</c:v>
                </c:pt>
                <c:pt idx="483">
                  <c:v>3.59362</c:v>
                </c:pt>
                <c:pt idx="484">
                  <c:v>3.612606</c:v>
                </c:pt>
                <c:pt idx="485">
                  <c:v>2.4726870000000001</c:v>
                </c:pt>
                <c:pt idx="486">
                  <c:v>3.0926019999999999</c:v>
                </c:pt>
                <c:pt idx="487">
                  <c:v>2.6610299999999998</c:v>
                </c:pt>
                <c:pt idx="488">
                  <c:v>2.962412</c:v>
                </c:pt>
                <c:pt idx="489">
                  <c:v>2.4575209999999998</c:v>
                </c:pt>
                <c:pt idx="490">
                  <c:v>2.4390700000000001</c:v>
                </c:pt>
                <c:pt idx="491">
                  <c:v>2.916579</c:v>
                </c:pt>
                <c:pt idx="492">
                  <c:v>1.9706300000000001</c:v>
                </c:pt>
                <c:pt idx="493">
                  <c:v>2.523002</c:v>
                </c:pt>
                <c:pt idx="494">
                  <c:v>2.3006929999999999</c:v>
                </c:pt>
                <c:pt idx="495">
                  <c:v>2.2955960000000002</c:v>
                </c:pt>
                <c:pt idx="496">
                  <c:v>2.8496920000000001</c:v>
                </c:pt>
                <c:pt idx="497">
                  <c:v>3.8541699999999999</c:v>
                </c:pt>
                <c:pt idx="498">
                  <c:v>2.7643779999999998</c:v>
                </c:pt>
                <c:pt idx="499">
                  <c:v>1.7313719999999999</c:v>
                </c:pt>
                <c:pt idx="500">
                  <c:v>4.0919809999999996</c:v>
                </c:pt>
                <c:pt idx="501">
                  <c:v>2.9854790000000002</c:v>
                </c:pt>
                <c:pt idx="502">
                  <c:v>2.5718619999999999</c:v>
                </c:pt>
                <c:pt idx="503">
                  <c:v>2.1310310000000001</c:v>
                </c:pt>
                <c:pt idx="504">
                  <c:v>3.0793339999999998</c:v>
                </c:pt>
                <c:pt idx="505">
                  <c:v>3.1005050000000001</c:v>
                </c:pt>
                <c:pt idx="506">
                  <c:v>3.7587259999999998</c:v>
                </c:pt>
                <c:pt idx="507">
                  <c:v>3.3959009999999998</c:v>
                </c:pt>
                <c:pt idx="508">
                  <c:v>4.6805450000000004</c:v>
                </c:pt>
                <c:pt idx="509">
                  <c:v>3.464013</c:v>
                </c:pt>
                <c:pt idx="510">
                  <c:v>3.0650849999999998</c:v>
                </c:pt>
                <c:pt idx="511">
                  <c:v>4.2456569999999996</c:v>
                </c:pt>
                <c:pt idx="512">
                  <c:v>3.2498420000000001</c:v>
                </c:pt>
                <c:pt idx="513">
                  <c:v>2.8629929999999999</c:v>
                </c:pt>
                <c:pt idx="514">
                  <c:v>3.330864</c:v>
                </c:pt>
                <c:pt idx="515">
                  <c:v>7.0739840000000003</c:v>
                </c:pt>
                <c:pt idx="516">
                  <c:v>2.3357960000000002</c:v>
                </c:pt>
                <c:pt idx="517">
                  <c:v>3.7016369999999998</c:v>
                </c:pt>
                <c:pt idx="518">
                  <c:v>3.5480930000000002</c:v>
                </c:pt>
                <c:pt idx="519">
                  <c:v>2.4088850000000002</c:v>
                </c:pt>
                <c:pt idx="520">
                  <c:v>8.9459850000000003</c:v>
                </c:pt>
                <c:pt idx="521">
                  <c:v>3.3146840000000002</c:v>
                </c:pt>
                <c:pt idx="522">
                  <c:v>3.5972879999999998</c:v>
                </c:pt>
                <c:pt idx="523">
                  <c:v>3.214547</c:v>
                </c:pt>
                <c:pt idx="524">
                  <c:v>2.8526959999999999</c:v>
                </c:pt>
                <c:pt idx="525">
                  <c:v>3.0798329999999998</c:v>
                </c:pt>
                <c:pt idx="526">
                  <c:v>3.5498609999999999</c:v>
                </c:pt>
                <c:pt idx="527">
                  <c:v>2.7762859999999998</c:v>
                </c:pt>
                <c:pt idx="528">
                  <c:v>4.1997080000000002</c:v>
                </c:pt>
                <c:pt idx="529">
                  <c:v>4.5383490000000002</c:v>
                </c:pt>
                <c:pt idx="530">
                  <c:v>4.2289630000000002</c:v>
                </c:pt>
                <c:pt idx="531">
                  <c:v>3.0252629999999998</c:v>
                </c:pt>
                <c:pt idx="532">
                  <c:v>1.9980039999999999</c:v>
                </c:pt>
                <c:pt idx="533">
                  <c:v>3.529874</c:v>
                </c:pt>
                <c:pt idx="534">
                  <c:v>4.3564040000000004</c:v>
                </c:pt>
                <c:pt idx="535">
                  <c:v>7.3778180000000004</c:v>
                </c:pt>
                <c:pt idx="536">
                  <c:v>13.752276999999999</c:v>
                </c:pt>
                <c:pt idx="537">
                  <c:v>7.1818410000000004</c:v>
                </c:pt>
                <c:pt idx="538">
                  <c:v>5.0342460000000004</c:v>
                </c:pt>
                <c:pt idx="539">
                  <c:v>3.7781859999999998</c:v>
                </c:pt>
                <c:pt idx="540">
                  <c:v>3.7062400000000002</c:v>
                </c:pt>
                <c:pt idx="541">
                  <c:v>2.7210399999999999</c:v>
                </c:pt>
                <c:pt idx="542">
                  <c:v>3.378396</c:v>
                </c:pt>
                <c:pt idx="543">
                  <c:v>1.9946649999999999</c:v>
                </c:pt>
                <c:pt idx="544">
                  <c:v>3.5802260000000001</c:v>
                </c:pt>
                <c:pt idx="545">
                  <c:v>4.6156819999999996</c:v>
                </c:pt>
                <c:pt idx="546">
                  <c:v>5.2605750000000002</c:v>
                </c:pt>
                <c:pt idx="547">
                  <c:v>3.4727739999999998</c:v>
                </c:pt>
                <c:pt idx="548">
                  <c:v>3.0047959999999998</c:v>
                </c:pt>
                <c:pt idx="549">
                  <c:v>3.7948970000000002</c:v>
                </c:pt>
                <c:pt idx="550">
                  <c:v>4.613391</c:v>
                </c:pt>
                <c:pt idx="551">
                  <c:v>3.1671109999999998</c:v>
                </c:pt>
                <c:pt idx="552">
                  <c:v>3.6248520000000002</c:v>
                </c:pt>
                <c:pt idx="553">
                  <c:v>2.5333779999999999</c:v>
                </c:pt>
                <c:pt idx="554">
                  <c:v>3.2264339999999998</c:v>
                </c:pt>
                <c:pt idx="555">
                  <c:v>2.2495539999999998</c:v>
                </c:pt>
                <c:pt idx="556">
                  <c:v>2.0183369999999998</c:v>
                </c:pt>
                <c:pt idx="557">
                  <c:v>4.2063810000000004</c:v>
                </c:pt>
                <c:pt idx="558">
                  <c:v>4.011514</c:v>
                </c:pt>
                <c:pt idx="559">
                  <c:v>7.3621160000000003</c:v>
                </c:pt>
                <c:pt idx="560">
                  <c:v>10.189693</c:v>
                </c:pt>
                <c:pt idx="561">
                  <c:v>7.0732090000000003</c:v>
                </c:pt>
                <c:pt idx="562">
                  <c:v>6.2217909999999996</c:v>
                </c:pt>
                <c:pt idx="563">
                  <c:v>4.9766320000000004</c:v>
                </c:pt>
                <c:pt idx="564">
                  <c:v>4.076276</c:v>
                </c:pt>
                <c:pt idx="565">
                  <c:v>4.0930780000000002</c:v>
                </c:pt>
                <c:pt idx="566">
                  <c:v>5.2720159999999998</c:v>
                </c:pt>
                <c:pt idx="567">
                  <c:v>4.2520280000000001</c:v>
                </c:pt>
                <c:pt idx="568">
                  <c:v>3.6035180000000002</c:v>
                </c:pt>
                <c:pt idx="569">
                  <c:v>4.2010680000000002</c:v>
                </c:pt>
                <c:pt idx="570">
                  <c:v>3.9332760000000002</c:v>
                </c:pt>
                <c:pt idx="571">
                  <c:v>3.4077609999999998</c:v>
                </c:pt>
                <c:pt idx="572">
                  <c:v>3.4616579999999999</c:v>
                </c:pt>
                <c:pt idx="573">
                  <c:v>3.1150530000000001</c:v>
                </c:pt>
                <c:pt idx="574">
                  <c:v>3.226747</c:v>
                </c:pt>
                <c:pt idx="575">
                  <c:v>2.71706</c:v>
                </c:pt>
                <c:pt idx="576">
                  <c:v>2.7992330000000001</c:v>
                </c:pt>
                <c:pt idx="577">
                  <c:v>4.0029519999999996</c:v>
                </c:pt>
                <c:pt idx="578">
                  <c:v>7.9758449999999996</c:v>
                </c:pt>
                <c:pt idx="579">
                  <c:v>3.8250359999999999</c:v>
                </c:pt>
                <c:pt idx="580">
                  <c:v>3.5640649999999998</c:v>
                </c:pt>
                <c:pt idx="581">
                  <c:v>2.6742249999999999</c:v>
                </c:pt>
                <c:pt idx="582">
                  <c:v>3.280268</c:v>
                </c:pt>
                <c:pt idx="583">
                  <c:v>3.4744290000000002</c:v>
                </c:pt>
                <c:pt idx="584">
                  <c:v>4.3173019999999998</c:v>
                </c:pt>
                <c:pt idx="585">
                  <c:v>4.763509</c:v>
                </c:pt>
                <c:pt idx="586">
                  <c:v>3.9461680000000001</c:v>
                </c:pt>
                <c:pt idx="587">
                  <c:v>3.880887</c:v>
                </c:pt>
                <c:pt idx="588">
                  <c:v>3.0544280000000001</c:v>
                </c:pt>
                <c:pt idx="589">
                  <c:v>5.1318190000000001</c:v>
                </c:pt>
                <c:pt idx="590">
                  <c:v>3.0180959999999999</c:v>
                </c:pt>
                <c:pt idx="591">
                  <c:v>2.9899429999999998</c:v>
                </c:pt>
                <c:pt idx="592">
                  <c:v>4.7943569999999998</c:v>
                </c:pt>
                <c:pt idx="593">
                  <c:v>3.531107</c:v>
                </c:pt>
                <c:pt idx="594">
                  <c:v>3.2276359999999999</c:v>
                </c:pt>
                <c:pt idx="595">
                  <c:v>3.9157069999999998</c:v>
                </c:pt>
                <c:pt idx="596">
                  <c:v>3.353008</c:v>
                </c:pt>
                <c:pt idx="597">
                  <c:v>3.4762189999999999</c:v>
                </c:pt>
                <c:pt idx="598">
                  <c:v>3.4837389999999999</c:v>
                </c:pt>
                <c:pt idx="599">
                  <c:v>7.9546840000000003</c:v>
                </c:pt>
                <c:pt idx="600">
                  <c:v>16.025590999999999</c:v>
                </c:pt>
                <c:pt idx="601">
                  <c:v>7.1349479999999996</c:v>
                </c:pt>
                <c:pt idx="602">
                  <c:v>5.5831670000000004</c:v>
                </c:pt>
                <c:pt idx="603">
                  <c:v>5.3704390000000002</c:v>
                </c:pt>
                <c:pt idx="604">
                  <c:v>3.4894280000000002</c:v>
                </c:pt>
                <c:pt idx="605">
                  <c:v>15.008527000000001</c:v>
                </c:pt>
                <c:pt idx="606">
                  <c:v>8.5113760000000003</c:v>
                </c:pt>
                <c:pt idx="607">
                  <c:v>3.710445</c:v>
                </c:pt>
                <c:pt idx="608">
                  <c:v>3.9839899999999999</c:v>
                </c:pt>
                <c:pt idx="609">
                  <c:v>3.8222119999999999</c:v>
                </c:pt>
                <c:pt idx="610">
                  <c:v>4.349405</c:v>
                </c:pt>
                <c:pt idx="611">
                  <c:v>3.5168900000000001</c:v>
                </c:pt>
                <c:pt idx="612">
                  <c:v>5.0968929999999997</c:v>
                </c:pt>
                <c:pt idx="613">
                  <c:v>4.7449479999999999</c:v>
                </c:pt>
                <c:pt idx="614">
                  <c:v>8.0755929999999996</c:v>
                </c:pt>
                <c:pt idx="615">
                  <c:v>4.5208069999999996</c:v>
                </c:pt>
                <c:pt idx="616">
                  <c:v>3.164806</c:v>
                </c:pt>
                <c:pt idx="617">
                  <c:v>4.701365</c:v>
                </c:pt>
                <c:pt idx="618">
                  <c:v>4.6138170000000001</c:v>
                </c:pt>
                <c:pt idx="619">
                  <c:v>4.1908269999999996</c:v>
                </c:pt>
                <c:pt idx="620">
                  <c:v>2.8151419999999998</c:v>
                </c:pt>
                <c:pt idx="621">
                  <c:v>4.1491809999999996</c:v>
                </c:pt>
                <c:pt idx="622">
                  <c:v>4.753603</c:v>
                </c:pt>
                <c:pt idx="623">
                  <c:v>5.1763750000000002</c:v>
                </c:pt>
                <c:pt idx="624">
                  <c:v>5.1379219999999997</c:v>
                </c:pt>
                <c:pt idx="625">
                  <c:v>3.4076529999999998</c:v>
                </c:pt>
                <c:pt idx="626">
                  <c:v>3.2381660000000001</c:v>
                </c:pt>
                <c:pt idx="627">
                  <c:v>1.41584</c:v>
                </c:pt>
                <c:pt idx="628">
                  <c:v>4.5455870000000003</c:v>
                </c:pt>
                <c:pt idx="629">
                  <c:v>4.195119</c:v>
                </c:pt>
                <c:pt idx="630">
                  <c:v>3.7253630000000002</c:v>
                </c:pt>
                <c:pt idx="631">
                  <c:v>5.9095880000000003</c:v>
                </c:pt>
                <c:pt idx="632">
                  <c:v>4.5716080000000003</c:v>
                </c:pt>
                <c:pt idx="633">
                  <c:v>3.2793760000000001</c:v>
                </c:pt>
                <c:pt idx="634">
                  <c:v>3.9051550000000002</c:v>
                </c:pt>
                <c:pt idx="635">
                  <c:v>4.6149930000000001</c:v>
                </c:pt>
                <c:pt idx="636">
                  <c:v>4.2223290000000002</c:v>
                </c:pt>
                <c:pt idx="637">
                  <c:v>5.3337669999999999</c:v>
                </c:pt>
                <c:pt idx="638">
                  <c:v>5.1437869999999997</c:v>
                </c:pt>
                <c:pt idx="639">
                  <c:v>4.2385460000000004</c:v>
                </c:pt>
                <c:pt idx="640">
                  <c:v>4.3454740000000003</c:v>
                </c:pt>
                <c:pt idx="641">
                  <c:v>4.0895390000000003</c:v>
                </c:pt>
                <c:pt idx="642">
                  <c:v>10.026106</c:v>
                </c:pt>
                <c:pt idx="643">
                  <c:v>5.6174749999999998</c:v>
                </c:pt>
                <c:pt idx="644">
                  <c:v>4.2638280000000002</c:v>
                </c:pt>
                <c:pt idx="645">
                  <c:v>5.1649159999999998</c:v>
                </c:pt>
                <c:pt idx="646">
                  <c:v>1.4952259999999999</c:v>
                </c:pt>
                <c:pt idx="647">
                  <c:v>3.1434120000000001</c:v>
                </c:pt>
                <c:pt idx="648">
                  <c:v>3.9436909999999998</c:v>
                </c:pt>
                <c:pt idx="649">
                  <c:v>2.9893670000000001</c:v>
                </c:pt>
                <c:pt idx="650">
                  <c:v>3.4620769999999998</c:v>
                </c:pt>
                <c:pt idx="651">
                  <c:v>5.2293810000000001</c:v>
                </c:pt>
                <c:pt idx="652">
                  <c:v>3.9247930000000002</c:v>
                </c:pt>
                <c:pt idx="653">
                  <c:v>4.3109390000000003</c:v>
                </c:pt>
                <c:pt idx="654">
                  <c:v>7.02576</c:v>
                </c:pt>
                <c:pt idx="655">
                  <c:v>4.7627059999999997</c:v>
                </c:pt>
                <c:pt idx="656">
                  <c:v>4.9744359999999999</c:v>
                </c:pt>
                <c:pt idx="657">
                  <c:v>5.078678</c:v>
                </c:pt>
                <c:pt idx="658">
                  <c:v>4.7001150000000003</c:v>
                </c:pt>
                <c:pt idx="659">
                  <c:v>5.7096150000000003</c:v>
                </c:pt>
                <c:pt idx="660">
                  <c:v>9.0084599999999995</c:v>
                </c:pt>
                <c:pt idx="661">
                  <c:v>9.9795870000000004</c:v>
                </c:pt>
                <c:pt idx="662">
                  <c:v>16.157796000000001</c:v>
                </c:pt>
                <c:pt idx="663">
                  <c:v>8.8516410000000008</c:v>
                </c:pt>
                <c:pt idx="664">
                  <c:v>9.2383620000000004</c:v>
                </c:pt>
                <c:pt idx="665">
                  <c:v>5.4459559999999998</c:v>
                </c:pt>
                <c:pt idx="666">
                  <c:v>4.6177770000000002</c:v>
                </c:pt>
                <c:pt idx="667">
                  <c:v>5.0263669999999996</c:v>
                </c:pt>
                <c:pt idx="668">
                  <c:v>3.9425370000000002</c:v>
                </c:pt>
                <c:pt idx="669">
                  <c:v>8.2480869999999999</c:v>
                </c:pt>
                <c:pt idx="670">
                  <c:v>3.574884</c:v>
                </c:pt>
                <c:pt idx="671">
                  <c:v>3.287318</c:v>
                </c:pt>
                <c:pt idx="672">
                  <c:v>6.2235339999999999</c:v>
                </c:pt>
                <c:pt idx="673">
                  <c:v>5.2664499999999999</c:v>
                </c:pt>
                <c:pt idx="674">
                  <c:v>7.1777059999999997</c:v>
                </c:pt>
                <c:pt idx="675">
                  <c:v>7.3640429999999997</c:v>
                </c:pt>
                <c:pt idx="676">
                  <c:v>5.9572039999999999</c:v>
                </c:pt>
                <c:pt idx="677">
                  <c:v>6.4691330000000002</c:v>
                </c:pt>
                <c:pt idx="678">
                  <c:v>7.3076319999999999</c:v>
                </c:pt>
                <c:pt idx="679">
                  <c:v>4.9365139999999998</c:v>
                </c:pt>
                <c:pt idx="680">
                  <c:v>4.061382</c:v>
                </c:pt>
                <c:pt idx="681">
                  <c:v>4.8209819999999999</c:v>
                </c:pt>
                <c:pt idx="682">
                  <c:v>9.9516439999999999</c:v>
                </c:pt>
                <c:pt idx="683">
                  <c:v>5.1252760000000004</c:v>
                </c:pt>
                <c:pt idx="684">
                  <c:v>4.4574439999999997</c:v>
                </c:pt>
                <c:pt idx="685">
                  <c:v>3.4397310000000001</c:v>
                </c:pt>
                <c:pt idx="686">
                  <c:v>4.1226240000000001</c:v>
                </c:pt>
                <c:pt idx="687">
                  <c:v>4.3583049999999997</c:v>
                </c:pt>
                <c:pt idx="688">
                  <c:v>4.3862490000000003</c:v>
                </c:pt>
                <c:pt idx="689">
                  <c:v>4.427994</c:v>
                </c:pt>
                <c:pt idx="690">
                  <c:v>3.7885140000000002</c:v>
                </c:pt>
                <c:pt idx="691">
                  <c:v>5.2172299999999998</c:v>
                </c:pt>
                <c:pt idx="692">
                  <c:v>5.1564290000000002</c:v>
                </c:pt>
                <c:pt idx="693">
                  <c:v>3.968423</c:v>
                </c:pt>
                <c:pt idx="694">
                  <c:v>5.1709750000000003</c:v>
                </c:pt>
                <c:pt idx="695">
                  <c:v>5.5791310000000003</c:v>
                </c:pt>
                <c:pt idx="696">
                  <c:v>4.4064810000000003</c:v>
                </c:pt>
                <c:pt idx="697">
                  <c:v>4.0205539999999997</c:v>
                </c:pt>
                <c:pt idx="698">
                  <c:v>4.4219480000000004</c:v>
                </c:pt>
                <c:pt idx="699">
                  <c:v>4.0488419999999996</c:v>
                </c:pt>
                <c:pt idx="700">
                  <c:v>3.707538</c:v>
                </c:pt>
                <c:pt idx="701">
                  <c:v>4.2219389999999999</c:v>
                </c:pt>
                <c:pt idx="702">
                  <c:v>5.8216429999999999</c:v>
                </c:pt>
                <c:pt idx="703">
                  <c:v>12.089715999999999</c:v>
                </c:pt>
                <c:pt idx="704">
                  <c:v>3.7216480000000001</c:v>
                </c:pt>
                <c:pt idx="705">
                  <c:v>4.081925</c:v>
                </c:pt>
                <c:pt idx="706">
                  <c:v>4.764221</c:v>
                </c:pt>
                <c:pt idx="707">
                  <c:v>5.0445349999999998</c:v>
                </c:pt>
                <c:pt idx="708">
                  <c:v>3.2650839999999999</c:v>
                </c:pt>
                <c:pt idx="709">
                  <c:v>3.1385450000000001</c:v>
                </c:pt>
                <c:pt idx="710">
                  <c:v>3.331216</c:v>
                </c:pt>
                <c:pt idx="711">
                  <c:v>6.7805669999999996</c:v>
                </c:pt>
                <c:pt idx="712">
                  <c:v>3.9255309999999999</c:v>
                </c:pt>
                <c:pt idx="713">
                  <c:v>3.931222</c:v>
                </c:pt>
                <c:pt idx="714">
                  <c:v>3.3370120000000001</c:v>
                </c:pt>
                <c:pt idx="715">
                  <c:v>4.1946060000000003</c:v>
                </c:pt>
                <c:pt idx="716">
                  <c:v>3.6629679999999998</c:v>
                </c:pt>
                <c:pt idx="717">
                  <c:v>3.293822</c:v>
                </c:pt>
                <c:pt idx="718">
                  <c:v>3.8461280000000002</c:v>
                </c:pt>
                <c:pt idx="719">
                  <c:v>3.5957499999999998</c:v>
                </c:pt>
                <c:pt idx="720">
                  <c:v>3.1683919999999999</c:v>
                </c:pt>
                <c:pt idx="721">
                  <c:v>3.1764999999999999</c:v>
                </c:pt>
                <c:pt idx="722">
                  <c:v>3.6575760000000002</c:v>
                </c:pt>
                <c:pt idx="723">
                  <c:v>6.5817050000000004</c:v>
                </c:pt>
                <c:pt idx="724">
                  <c:v>13.190162000000001</c:v>
                </c:pt>
                <c:pt idx="725">
                  <c:v>6.754264</c:v>
                </c:pt>
                <c:pt idx="726">
                  <c:v>6.0176749999999997</c:v>
                </c:pt>
                <c:pt idx="727">
                  <c:v>5.1919019999999998</c:v>
                </c:pt>
                <c:pt idx="728">
                  <c:v>2.848935</c:v>
                </c:pt>
                <c:pt idx="729">
                  <c:v>2.9798</c:v>
                </c:pt>
                <c:pt idx="730">
                  <c:v>3.1111900000000001</c:v>
                </c:pt>
                <c:pt idx="731">
                  <c:v>3.791509</c:v>
                </c:pt>
                <c:pt idx="732">
                  <c:v>4.2257899999999999</c:v>
                </c:pt>
                <c:pt idx="733">
                  <c:v>3.502443</c:v>
                </c:pt>
                <c:pt idx="734">
                  <c:v>3.5842610000000001</c:v>
                </c:pt>
                <c:pt idx="735">
                  <c:v>2.577086</c:v>
                </c:pt>
                <c:pt idx="736">
                  <c:v>6.5012280000000002</c:v>
                </c:pt>
                <c:pt idx="737">
                  <c:v>4.8958110000000001</c:v>
                </c:pt>
                <c:pt idx="738">
                  <c:v>4.3024329999999997</c:v>
                </c:pt>
                <c:pt idx="739">
                  <c:v>3.992651</c:v>
                </c:pt>
                <c:pt idx="740">
                  <c:v>3.0930080000000002</c:v>
                </c:pt>
                <c:pt idx="741">
                  <c:v>3.2492320000000001</c:v>
                </c:pt>
                <c:pt idx="742">
                  <c:v>2.398002</c:v>
                </c:pt>
                <c:pt idx="743">
                  <c:v>3.0691259999999998</c:v>
                </c:pt>
                <c:pt idx="744">
                  <c:v>3.4905740000000001</c:v>
                </c:pt>
                <c:pt idx="745">
                  <c:v>2.4910860000000001</c:v>
                </c:pt>
                <c:pt idx="746">
                  <c:v>3.6855950000000002</c:v>
                </c:pt>
                <c:pt idx="747">
                  <c:v>3.671462</c:v>
                </c:pt>
                <c:pt idx="748">
                  <c:v>2.1037859999999999</c:v>
                </c:pt>
                <c:pt idx="749">
                  <c:v>2.9292570000000002</c:v>
                </c:pt>
                <c:pt idx="750">
                  <c:v>4.3580389999999998</c:v>
                </c:pt>
                <c:pt idx="751">
                  <c:v>3.0629430000000002</c:v>
                </c:pt>
                <c:pt idx="752">
                  <c:v>2.457112</c:v>
                </c:pt>
                <c:pt idx="753">
                  <c:v>5.8366449999999999</c:v>
                </c:pt>
                <c:pt idx="754">
                  <c:v>2.6634190000000002</c:v>
                </c:pt>
                <c:pt idx="755">
                  <c:v>2.642601</c:v>
                </c:pt>
                <c:pt idx="756">
                  <c:v>2.3282560000000001</c:v>
                </c:pt>
                <c:pt idx="757">
                  <c:v>2.3786619999999998</c:v>
                </c:pt>
                <c:pt idx="758">
                  <c:v>4.4649850000000004</c:v>
                </c:pt>
                <c:pt idx="759">
                  <c:v>2.9350360000000002</c:v>
                </c:pt>
                <c:pt idx="760">
                  <c:v>2.0217960000000001</c:v>
                </c:pt>
                <c:pt idx="761">
                  <c:v>3.1205630000000002</c:v>
                </c:pt>
                <c:pt idx="762">
                  <c:v>3.6104069999999999</c:v>
                </c:pt>
                <c:pt idx="763">
                  <c:v>2.8658329999999999</c:v>
                </c:pt>
                <c:pt idx="764">
                  <c:v>2.2604060000000001</c:v>
                </c:pt>
                <c:pt idx="765">
                  <c:v>2.4490639999999999</c:v>
                </c:pt>
                <c:pt idx="766">
                  <c:v>4.6638700000000002</c:v>
                </c:pt>
                <c:pt idx="767">
                  <c:v>3.5721020000000001</c:v>
                </c:pt>
                <c:pt idx="768">
                  <c:v>2.7603439999999999</c:v>
                </c:pt>
                <c:pt idx="769">
                  <c:v>2.8336640000000002</c:v>
                </c:pt>
                <c:pt idx="770">
                  <c:v>3.9693689999999999</c:v>
                </c:pt>
                <c:pt idx="771">
                  <c:v>9.0827930000000006</c:v>
                </c:pt>
                <c:pt idx="772">
                  <c:v>5.1666650000000001</c:v>
                </c:pt>
                <c:pt idx="773">
                  <c:v>3.9976940000000001</c:v>
                </c:pt>
                <c:pt idx="774">
                  <c:v>3.3677359999999998</c:v>
                </c:pt>
                <c:pt idx="775">
                  <c:v>3.9671259999999999</c:v>
                </c:pt>
                <c:pt idx="776">
                  <c:v>2.65828</c:v>
                </c:pt>
                <c:pt idx="777">
                  <c:v>2.4652400000000001</c:v>
                </c:pt>
                <c:pt idx="778">
                  <c:v>2.5693929999999998</c:v>
                </c:pt>
                <c:pt idx="779">
                  <c:v>2.1384210000000001</c:v>
                </c:pt>
                <c:pt idx="780">
                  <c:v>3.0405929999999999</c:v>
                </c:pt>
                <c:pt idx="781">
                  <c:v>2.8337119999999998</c:v>
                </c:pt>
                <c:pt idx="782">
                  <c:v>3.8437929999999998</c:v>
                </c:pt>
                <c:pt idx="783">
                  <c:v>2.7464390000000001</c:v>
                </c:pt>
                <c:pt idx="784">
                  <c:v>4.6376439999999999</c:v>
                </c:pt>
                <c:pt idx="785">
                  <c:v>4.4768100000000004</c:v>
                </c:pt>
                <c:pt idx="786">
                  <c:v>6.7296849999999999</c:v>
                </c:pt>
                <c:pt idx="787">
                  <c:v>7.1200169999999998</c:v>
                </c:pt>
                <c:pt idx="788">
                  <c:v>4.3762860000000003</c:v>
                </c:pt>
                <c:pt idx="789">
                  <c:v>4.0489750000000004</c:v>
                </c:pt>
                <c:pt idx="790">
                  <c:v>2.5200770000000001</c:v>
                </c:pt>
                <c:pt idx="791">
                  <c:v>2.8045779999999998</c:v>
                </c:pt>
                <c:pt idx="792">
                  <c:v>2.8945590000000001</c:v>
                </c:pt>
                <c:pt idx="793">
                  <c:v>2.1626799999999999</c:v>
                </c:pt>
                <c:pt idx="794">
                  <c:v>2.3403689999999999</c:v>
                </c:pt>
                <c:pt idx="795">
                  <c:v>3.5475460000000001</c:v>
                </c:pt>
                <c:pt idx="796">
                  <c:v>2.823588</c:v>
                </c:pt>
                <c:pt idx="797">
                  <c:v>3.0808990000000001</c:v>
                </c:pt>
                <c:pt idx="798">
                  <c:v>2.861659</c:v>
                </c:pt>
                <c:pt idx="799">
                  <c:v>2.4890680000000001</c:v>
                </c:pt>
                <c:pt idx="800">
                  <c:v>3.81237</c:v>
                </c:pt>
                <c:pt idx="801">
                  <c:v>3.0393059999999998</c:v>
                </c:pt>
                <c:pt idx="802">
                  <c:v>2.73753</c:v>
                </c:pt>
                <c:pt idx="803">
                  <c:v>2.466675</c:v>
                </c:pt>
                <c:pt idx="804">
                  <c:v>8.7685849999999999</c:v>
                </c:pt>
                <c:pt idx="805">
                  <c:v>2.5430790000000001</c:v>
                </c:pt>
                <c:pt idx="806">
                  <c:v>2.970415</c:v>
                </c:pt>
                <c:pt idx="807">
                  <c:v>2.210229</c:v>
                </c:pt>
                <c:pt idx="808">
                  <c:v>3.2259190000000002</c:v>
                </c:pt>
                <c:pt idx="809">
                  <c:v>3.6520130000000002</c:v>
                </c:pt>
                <c:pt idx="810">
                  <c:v>2.8151839999999999</c:v>
                </c:pt>
                <c:pt idx="811">
                  <c:v>2.0393309999999998</c:v>
                </c:pt>
                <c:pt idx="812">
                  <c:v>2.8381370000000001</c:v>
                </c:pt>
                <c:pt idx="813">
                  <c:v>3.6458370000000002</c:v>
                </c:pt>
                <c:pt idx="814">
                  <c:v>2.5750229999999998</c:v>
                </c:pt>
                <c:pt idx="815">
                  <c:v>2.4989089999999998</c:v>
                </c:pt>
                <c:pt idx="816">
                  <c:v>2.4758789999999999</c:v>
                </c:pt>
                <c:pt idx="817">
                  <c:v>1.8133429999999999</c:v>
                </c:pt>
                <c:pt idx="818">
                  <c:v>2.3236490000000001</c:v>
                </c:pt>
                <c:pt idx="819">
                  <c:v>2.3583850000000002</c:v>
                </c:pt>
                <c:pt idx="820">
                  <c:v>2.315366</c:v>
                </c:pt>
                <c:pt idx="821">
                  <c:v>2.9940560000000001</c:v>
                </c:pt>
                <c:pt idx="822">
                  <c:v>2.8672569999999999</c:v>
                </c:pt>
                <c:pt idx="823">
                  <c:v>3.9631639999999999</c:v>
                </c:pt>
                <c:pt idx="824">
                  <c:v>5.1859719999999996</c:v>
                </c:pt>
                <c:pt idx="825">
                  <c:v>4.3675290000000002</c:v>
                </c:pt>
                <c:pt idx="826">
                  <c:v>3.6367189999999998</c:v>
                </c:pt>
                <c:pt idx="827">
                  <c:v>3.8605529999999999</c:v>
                </c:pt>
                <c:pt idx="828">
                  <c:v>3.6625730000000001</c:v>
                </c:pt>
                <c:pt idx="829">
                  <c:v>6.4636440000000004</c:v>
                </c:pt>
                <c:pt idx="830">
                  <c:v>2.4501170000000001</c:v>
                </c:pt>
                <c:pt idx="831">
                  <c:v>2.1590919999999998</c:v>
                </c:pt>
                <c:pt idx="832">
                  <c:v>2.4738950000000002</c:v>
                </c:pt>
                <c:pt idx="833">
                  <c:v>2.6911149999999999</c:v>
                </c:pt>
                <c:pt idx="834">
                  <c:v>2.702153</c:v>
                </c:pt>
                <c:pt idx="835">
                  <c:v>2.533325</c:v>
                </c:pt>
                <c:pt idx="836">
                  <c:v>2.9871949999999998</c:v>
                </c:pt>
                <c:pt idx="837">
                  <c:v>3.3100079999999998</c:v>
                </c:pt>
                <c:pt idx="838">
                  <c:v>3.374838</c:v>
                </c:pt>
                <c:pt idx="839">
                  <c:v>3.5968779999999998</c:v>
                </c:pt>
                <c:pt idx="840">
                  <c:v>2.2277999999999998</c:v>
                </c:pt>
                <c:pt idx="841">
                  <c:v>2.8841459999999999</c:v>
                </c:pt>
                <c:pt idx="842">
                  <c:v>1.684458</c:v>
                </c:pt>
                <c:pt idx="843">
                  <c:v>1.9501059999999999</c:v>
                </c:pt>
                <c:pt idx="844">
                  <c:v>2.6718519999999999</c:v>
                </c:pt>
                <c:pt idx="845">
                  <c:v>2.4812880000000002</c:v>
                </c:pt>
                <c:pt idx="846">
                  <c:v>2.9013260000000001</c:v>
                </c:pt>
                <c:pt idx="847">
                  <c:v>2.9639679999999999</c:v>
                </c:pt>
                <c:pt idx="848">
                  <c:v>2.909948</c:v>
                </c:pt>
                <c:pt idx="849">
                  <c:v>4.3581969999999997</c:v>
                </c:pt>
                <c:pt idx="850">
                  <c:v>5.8904209999999999</c:v>
                </c:pt>
                <c:pt idx="851">
                  <c:v>12.770569999999999</c:v>
                </c:pt>
                <c:pt idx="852">
                  <c:v>4.632854</c:v>
                </c:pt>
                <c:pt idx="853">
                  <c:v>4.0231029999999999</c:v>
                </c:pt>
                <c:pt idx="854">
                  <c:v>4.4142060000000001</c:v>
                </c:pt>
                <c:pt idx="855">
                  <c:v>2.6667399999999999</c:v>
                </c:pt>
                <c:pt idx="856">
                  <c:v>2.6474869999999999</c:v>
                </c:pt>
                <c:pt idx="857">
                  <c:v>2.811728</c:v>
                </c:pt>
                <c:pt idx="858">
                  <c:v>4.229336</c:v>
                </c:pt>
                <c:pt idx="859">
                  <c:v>3.654496</c:v>
                </c:pt>
                <c:pt idx="860">
                  <c:v>3.553172</c:v>
                </c:pt>
                <c:pt idx="861">
                  <c:v>3.1919240000000002</c:v>
                </c:pt>
                <c:pt idx="862">
                  <c:v>3.0744379999999998</c:v>
                </c:pt>
                <c:pt idx="863">
                  <c:v>2.878803</c:v>
                </c:pt>
                <c:pt idx="864">
                  <c:v>2.4703680000000001</c:v>
                </c:pt>
                <c:pt idx="865">
                  <c:v>3.8049430000000002</c:v>
                </c:pt>
                <c:pt idx="866">
                  <c:v>3.9219439999999999</c:v>
                </c:pt>
                <c:pt idx="867">
                  <c:v>5.4036879999999998</c:v>
                </c:pt>
                <c:pt idx="868">
                  <c:v>7.7158069999999999</c:v>
                </c:pt>
                <c:pt idx="869">
                  <c:v>4.4466299999999999</c:v>
                </c:pt>
                <c:pt idx="870">
                  <c:v>5.1964980000000001</c:v>
                </c:pt>
                <c:pt idx="871">
                  <c:v>3.4769960000000002</c:v>
                </c:pt>
                <c:pt idx="872">
                  <c:v>2.2528060000000001</c:v>
                </c:pt>
                <c:pt idx="873">
                  <c:v>2.2611949999999998</c:v>
                </c:pt>
                <c:pt idx="874">
                  <c:v>2.981633</c:v>
                </c:pt>
                <c:pt idx="875">
                  <c:v>4.6370969999999998</c:v>
                </c:pt>
                <c:pt idx="876">
                  <c:v>2.7707890000000002</c:v>
                </c:pt>
                <c:pt idx="877">
                  <c:v>2.2561650000000002</c:v>
                </c:pt>
                <c:pt idx="878">
                  <c:v>1.6053440000000001</c:v>
                </c:pt>
                <c:pt idx="879">
                  <c:v>4.4493549999999997</c:v>
                </c:pt>
                <c:pt idx="880">
                  <c:v>3.148196</c:v>
                </c:pt>
                <c:pt idx="881">
                  <c:v>4.3978169999999999</c:v>
                </c:pt>
                <c:pt idx="882">
                  <c:v>4.6356650000000004</c:v>
                </c:pt>
                <c:pt idx="883">
                  <c:v>2.7408670000000002</c:v>
                </c:pt>
                <c:pt idx="884">
                  <c:v>3.4470519999999998</c:v>
                </c:pt>
                <c:pt idx="885">
                  <c:v>2.858962</c:v>
                </c:pt>
                <c:pt idx="886">
                  <c:v>4.4350500000000004</c:v>
                </c:pt>
                <c:pt idx="887">
                  <c:v>3.2664360000000001</c:v>
                </c:pt>
                <c:pt idx="888">
                  <c:v>3.1469299999999998</c:v>
                </c:pt>
                <c:pt idx="889">
                  <c:v>3.392331</c:v>
                </c:pt>
                <c:pt idx="890">
                  <c:v>5.9322710000000001</c:v>
                </c:pt>
                <c:pt idx="891">
                  <c:v>4.124161</c:v>
                </c:pt>
                <c:pt idx="892">
                  <c:v>3.3885700000000001</c:v>
                </c:pt>
                <c:pt idx="893">
                  <c:v>7.1205720000000001</c:v>
                </c:pt>
                <c:pt idx="894">
                  <c:v>2.9559060000000001</c:v>
                </c:pt>
                <c:pt idx="895">
                  <c:v>2.174569</c:v>
                </c:pt>
                <c:pt idx="896">
                  <c:v>3.5757210000000001</c:v>
                </c:pt>
                <c:pt idx="897">
                  <c:v>2.8026309999999999</c:v>
                </c:pt>
                <c:pt idx="898">
                  <c:v>1.701228</c:v>
                </c:pt>
                <c:pt idx="899">
                  <c:v>1.3974549999999999</c:v>
                </c:pt>
                <c:pt idx="900">
                  <c:v>1.7575000000000001</c:v>
                </c:pt>
                <c:pt idx="901">
                  <c:v>1.6635420000000001</c:v>
                </c:pt>
                <c:pt idx="902">
                  <c:v>2.9528249999999998</c:v>
                </c:pt>
                <c:pt idx="903">
                  <c:v>2.9342990000000002</c:v>
                </c:pt>
                <c:pt idx="904">
                  <c:v>3.3814320000000002</c:v>
                </c:pt>
                <c:pt idx="905">
                  <c:v>2.6823009999999998</c:v>
                </c:pt>
                <c:pt idx="906">
                  <c:v>2.9455360000000002</c:v>
                </c:pt>
                <c:pt idx="907">
                  <c:v>3.1898909999999998</c:v>
                </c:pt>
                <c:pt idx="908">
                  <c:v>4.1186939999999996</c:v>
                </c:pt>
                <c:pt idx="909">
                  <c:v>3.5994640000000002</c:v>
                </c:pt>
                <c:pt idx="910">
                  <c:v>2.9279730000000002</c:v>
                </c:pt>
                <c:pt idx="911">
                  <c:v>2.8754330000000001</c:v>
                </c:pt>
                <c:pt idx="912">
                  <c:v>3.315655</c:v>
                </c:pt>
                <c:pt idx="913">
                  <c:v>4.0077790000000002</c:v>
                </c:pt>
                <c:pt idx="914">
                  <c:v>6.9633859999999999</c:v>
                </c:pt>
                <c:pt idx="915">
                  <c:v>12.690028999999999</c:v>
                </c:pt>
                <c:pt idx="916">
                  <c:v>5.478224</c:v>
                </c:pt>
                <c:pt idx="917">
                  <c:v>6.952369</c:v>
                </c:pt>
                <c:pt idx="918">
                  <c:v>5.9224620000000003</c:v>
                </c:pt>
                <c:pt idx="919">
                  <c:v>3.0639240000000001</c:v>
                </c:pt>
                <c:pt idx="920">
                  <c:v>3.4823110000000002</c:v>
                </c:pt>
                <c:pt idx="921">
                  <c:v>4.0947550000000001</c:v>
                </c:pt>
                <c:pt idx="922">
                  <c:v>4.1389620000000003</c:v>
                </c:pt>
                <c:pt idx="923">
                  <c:v>2.7957450000000001</c:v>
                </c:pt>
                <c:pt idx="924">
                  <c:v>2.6205259999999999</c:v>
                </c:pt>
                <c:pt idx="925">
                  <c:v>3.309288</c:v>
                </c:pt>
                <c:pt idx="926">
                  <c:v>2.6507849999999999</c:v>
                </c:pt>
                <c:pt idx="927">
                  <c:v>3.8734549999999999</c:v>
                </c:pt>
                <c:pt idx="928">
                  <c:v>2.9131260000000001</c:v>
                </c:pt>
                <c:pt idx="929">
                  <c:v>3.0907100000000001</c:v>
                </c:pt>
                <c:pt idx="930">
                  <c:v>2.9307099999999999</c:v>
                </c:pt>
                <c:pt idx="931">
                  <c:v>3.093372</c:v>
                </c:pt>
                <c:pt idx="932">
                  <c:v>2.7765279999999999</c:v>
                </c:pt>
                <c:pt idx="933">
                  <c:v>2.9142920000000001</c:v>
                </c:pt>
                <c:pt idx="934">
                  <c:v>3.251547</c:v>
                </c:pt>
                <c:pt idx="935">
                  <c:v>3.552495</c:v>
                </c:pt>
                <c:pt idx="936">
                  <c:v>4.4802989999999996</c:v>
                </c:pt>
                <c:pt idx="937">
                  <c:v>3.02054</c:v>
                </c:pt>
                <c:pt idx="938">
                  <c:v>2.2825259999999998</c:v>
                </c:pt>
                <c:pt idx="939">
                  <c:v>3.3000929999999999</c:v>
                </c:pt>
                <c:pt idx="940">
                  <c:v>3.6913269999999998</c:v>
                </c:pt>
                <c:pt idx="941">
                  <c:v>3.2734200000000002</c:v>
                </c:pt>
                <c:pt idx="942">
                  <c:v>3.0055640000000001</c:v>
                </c:pt>
                <c:pt idx="943">
                  <c:v>2.918183</c:v>
                </c:pt>
                <c:pt idx="944">
                  <c:v>1.825048</c:v>
                </c:pt>
                <c:pt idx="945">
                  <c:v>3.204434</c:v>
                </c:pt>
                <c:pt idx="946">
                  <c:v>2.9805160000000002</c:v>
                </c:pt>
                <c:pt idx="947">
                  <c:v>3.5573959999999998</c:v>
                </c:pt>
                <c:pt idx="948">
                  <c:v>5.4440759999999999</c:v>
                </c:pt>
                <c:pt idx="949">
                  <c:v>3.1003259999999999</c:v>
                </c:pt>
                <c:pt idx="950">
                  <c:v>3.482189</c:v>
                </c:pt>
                <c:pt idx="951">
                  <c:v>3.147497</c:v>
                </c:pt>
                <c:pt idx="952">
                  <c:v>3.815537</c:v>
                </c:pt>
                <c:pt idx="953">
                  <c:v>4.3118480000000003</c:v>
                </c:pt>
                <c:pt idx="954">
                  <c:v>5.9209670000000001</c:v>
                </c:pt>
                <c:pt idx="955">
                  <c:v>2.4761250000000001</c:v>
                </c:pt>
                <c:pt idx="956">
                  <c:v>3.9277410000000001</c:v>
                </c:pt>
                <c:pt idx="957">
                  <c:v>3.4505119999999998</c:v>
                </c:pt>
                <c:pt idx="958">
                  <c:v>3.739976</c:v>
                </c:pt>
                <c:pt idx="959">
                  <c:v>3.2216749999999998</c:v>
                </c:pt>
                <c:pt idx="960">
                  <c:v>3.2590490000000001</c:v>
                </c:pt>
                <c:pt idx="961">
                  <c:v>3.5238700000000001</c:v>
                </c:pt>
                <c:pt idx="962">
                  <c:v>3.0856059999999998</c:v>
                </c:pt>
                <c:pt idx="963">
                  <c:v>3.1682540000000001</c:v>
                </c:pt>
                <c:pt idx="964">
                  <c:v>2.9136839999999999</c:v>
                </c:pt>
                <c:pt idx="965">
                  <c:v>4.2864979999999999</c:v>
                </c:pt>
                <c:pt idx="966">
                  <c:v>3.1088849999999999</c:v>
                </c:pt>
                <c:pt idx="967">
                  <c:v>6.2388940000000002</c:v>
                </c:pt>
                <c:pt idx="968">
                  <c:v>3.435403</c:v>
                </c:pt>
                <c:pt idx="969">
                  <c:v>3.5883020000000001</c:v>
                </c:pt>
                <c:pt idx="970">
                  <c:v>3.789936</c:v>
                </c:pt>
                <c:pt idx="971">
                  <c:v>4.8919110000000003</c:v>
                </c:pt>
                <c:pt idx="972">
                  <c:v>3.2769309999999998</c:v>
                </c:pt>
                <c:pt idx="973">
                  <c:v>3.2054619999999998</c:v>
                </c:pt>
                <c:pt idx="974">
                  <c:v>3.720218</c:v>
                </c:pt>
                <c:pt idx="975">
                  <c:v>6.3454649999999999</c:v>
                </c:pt>
                <c:pt idx="976">
                  <c:v>19.284284</c:v>
                </c:pt>
                <c:pt idx="977">
                  <c:v>6.4873789999999998</c:v>
                </c:pt>
                <c:pt idx="978">
                  <c:v>5.6077560000000002</c:v>
                </c:pt>
                <c:pt idx="979">
                  <c:v>5.320608</c:v>
                </c:pt>
                <c:pt idx="980">
                  <c:v>4.8604070000000004</c:v>
                </c:pt>
                <c:pt idx="981">
                  <c:v>4.3280010000000004</c:v>
                </c:pt>
                <c:pt idx="982">
                  <c:v>4.1229430000000002</c:v>
                </c:pt>
                <c:pt idx="983">
                  <c:v>4.154147</c:v>
                </c:pt>
                <c:pt idx="984">
                  <c:v>4.9353119999999997</c:v>
                </c:pt>
                <c:pt idx="985">
                  <c:v>3.2082389999999998</c:v>
                </c:pt>
                <c:pt idx="986">
                  <c:v>3.9933960000000002</c:v>
                </c:pt>
                <c:pt idx="987">
                  <c:v>4.2806129999999998</c:v>
                </c:pt>
                <c:pt idx="988">
                  <c:v>12.521335000000001</c:v>
                </c:pt>
                <c:pt idx="989">
                  <c:v>7.4919659999999997</c:v>
                </c:pt>
                <c:pt idx="990">
                  <c:v>6.8530430000000004</c:v>
                </c:pt>
                <c:pt idx="991">
                  <c:v>4.9998610000000001</c:v>
                </c:pt>
                <c:pt idx="992">
                  <c:v>5.6279640000000004</c:v>
                </c:pt>
                <c:pt idx="993">
                  <c:v>3.7157019999999998</c:v>
                </c:pt>
                <c:pt idx="994">
                  <c:v>4.2454710000000002</c:v>
                </c:pt>
                <c:pt idx="995">
                  <c:v>5.5136900000000004</c:v>
                </c:pt>
                <c:pt idx="996">
                  <c:v>5.1914939999999996</c:v>
                </c:pt>
                <c:pt idx="997">
                  <c:v>3.2743709999999999</c:v>
                </c:pt>
                <c:pt idx="998">
                  <c:v>5.6432640000000003</c:v>
                </c:pt>
                <c:pt idx="999">
                  <c:v>3.3025389999999999</c:v>
                </c:pt>
                <c:pt idx="1000">
                  <c:v>2.5645030000000002</c:v>
                </c:pt>
                <c:pt idx="1001">
                  <c:v>3.732399</c:v>
                </c:pt>
                <c:pt idx="1002">
                  <c:v>2.5828150000000001</c:v>
                </c:pt>
                <c:pt idx="1003">
                  <c:v>2.4435069999999999</c:v>
                </c:pt>
                <c:pt idx="1004">
                  <c:v>3.666032</c:v>
                </c:pt>
                <c:pt idx="1005">
                  <c:v>3.5434040000000002</c:v>
                </c:pt>
                <c:pt idx="1006">
                  <c:v>2.918126</c:v>
                </c:pt>
                <c:pt idx="1007">
                  <c:v>3.5857009999999998</c:v>
                </c:pt>
                <c:pt idx="1008">
                  <c:v>3.9752679999999998</c:v>
                </c:pt>
                <c:pt idx="1009">
                  <c:v>3.7971729999999999</c:v>
                </c:pt>
                <c:pt idx="1010">
                  <c:v>4.8657120000000003</c:v>
                </c:pt>
                <c:pt idx="1011">
                  <c:v>3.7089620000000001</c:v>
                </c:pt>
                <c:pt idx="1012">
                  <c:v>4.3614600000000001</c:v>
                </c:pt>
                <c:pt idx="1013">
                  <c:v>6.4714790000000004</c:v>
                </c:pt>
                <c:pt idx="1014">
                  <c:v>3.5235289999999999</c:v>
                </c:pt>
                <c:pt idx="1015">
                  <c:v>3.0497260000000002</c:v>
                </c:pt>
                <c:pt idx="1016">
                  <c:v>4.6542969999999997</c:v>
                </c:pt>
                <c:pt idx="1017">
                  <c:v>6.7419630000000002</c:v>
                </c:pt>
                <c:pt idx="1018">
                  <c:v>4.6295919999999997</c:v>
                </c:pt>
                <c:pt idx="1019">
                  <c:v>4.4818429999999996</c:v>
                </c:pt>
                <c:pt idx="1020">
                  <c:v>3.9596680000000002</c:v>
                </c:pt>
                <c:pt idx="1021">
                  <c:v>2.3768189999999998</c:v>
                </c:pt>
                <c:pt idx="1022">
                  <c:v>3.2822049999999998</c:v>
                </c:pt>
                <c:pt idx="1023">
                  <c:v>2.1534939999999998</c:v>
                </c:pt>
                <c:pt idx="1024">
                  <c:v>2.3864909999999999</c:v>
                </c:pt>
                <c:pt idx="1025">
                  <c:v>2.2209539999999999</c:v>
                </c:pt>
                <c:pt idx="1026">
                  <c:v>3.262159</c:v>
                </c:pt>
                <c:pt idx="1027">
                  <c:v>3.571536</c:v>
                </c:pt>
                <c:pt idx="1028">
                  <c:v>2.822651</c:v>
                </c:pt>
                <c:pt idx="1029">
                  <c:v>3.5643539999999998</c:v>
                </c:pt>
                <c:pt idx="1030">
                  <c:v>2.7575219999999998</c:v>
                </c:pt>
                <c:pt idx="1031">
                  <c:v>2.4600599999999999</c:v>
                </c:pt>
                <c:pt idx="1032">
                  <c:v>3.2062089999999999</c:v>
                </c:pt>
                <c:pt idx="1033">
                  <c:v>3.4475090000000002</c:v>
                </c:pt>
                <c:pt idx="1034">
                  <c:v>3.0978500000000002</c:v>
                </c:pt>
                <c:pt idx="1035">
                  <c:v>2.4761120000000001</c:v>
                </c:pt>
                <c:pt idx="1036">
                  <c:v>3.2563719999999998</c:v>
                </c:pt>
                <c:pt idx="1037">
                  <c:v>4.7625919999999997</c:v>
                </c:pt>
                <c:pt idx="1038">
                  <c:v>7.5668179999999996</c:v>
                </c:pt>
                <c:pt idx="1039">
                  <c:v>14.293609999999999</c:v>
                </c:pt>
                <c:pt idx="1040">
                  <c:v>7.2122330000000003</c:v>
                </c:pt>
                <c:pt idx="1041">
                  <c:v>6.5094589999999997</c:v>
                </c:pt>
                <c:pt idx="1042">
                  <c:v>3.8775930000000001</c:v>
                </c:pt>
                <c:pt idx="1043">
                  <c:v>4.2088950000000001</c:v>
                </c:pt>
                <c:pt idx="1044">
                  <c:v>3.9323610000000002</c:v>
                </c:pt>
                <c:pt idx="1045">
                  <c:v>6.430841</c:v>
                </c:pt>
                <c:pt idx="1046">
                  <c:v>3.054834</c:v>
                </c:pt>
                <c:pt idx="1047">
                  <c:v>4.3557180000000004</c:v>
                </c:pt>
                <c:pt idx="1048">
                  <c:v>3.2194769999999999</c:v>
                </c:pt>
                <c:pt idx="1049">
                  <c:v>3.5409489999999999</c:v>
                </c:pt>
                <c:pt idx="1050">
                  <c:v>3.035393</c:v>
                </c:pt>
                <c:pt idx="1051">
                  <c:v>2.5493999999999999</c:v>
                </c:pt>
                <c:pt idx="1052">
                  <c:v>4.6182840000000001</c:v>
                </c:pt>
                <c:pt idx="1053">
                  <c:v>3.298718</c:v>
                </c:pt>
                <c:pt idx="1054">
                  <c:v>2.92577</c:v>
                </c:pt>
                <c:pt idx="1055">
                  <c:v>4.5253779999999999</c:v>
                </c:pt>
                <c:pt idx="1056">
                  <c:v>3.0043600000000001</c:v>
                </c:pt>
                <c:pt idx="1057">
                  <c:v>2.2486069999999998</c:v>
                </c:pt>
                <c:pt idx="1058">
                  <c:v>4.6815449999999998</c:v>
                </c:pt>
                <c:pt idx="1059">
                  <c:v>3.2878210000000001</c:v>
                </c:pt>
                <c:pt idx="1060">
                  <c:v>4.4220870000000003</c:v>
                </c:pt>
                <c:pt idx="1061">
                  <c:v>4.1527139999999996</c:v>
                </c:pt>
                <c:pt idx="1062">
                  <c:v>3.1906910000000002</c:v>
                </c:pt>
                <c:pt idx="1063">
                  <c:v>2.5444460000000002</c:v>
                </c:pt>
                <c:pt idx="1064">
                  <c:v>4.0483169999999999</c:v>
                </c:pt>
                <c:pt idx="1065">
                  <c:v>3.5921829999999999</c:v>
                </c:pt>
                <c:pt idx="1066">
                  <c:v>2.8728929999999999</c:v>
                </c:pt>
                <c:pt idx="1067">
                  <c:v>5.1344630000000002</c:v>
                </c:pt>
                <c:pt idx="1068">
                  <c:v>3.0095200000000002</c:v>
                </c:pt>
                <c:pt idx="1069">
                  <c:v>2.7359659999999999</c:v>
                </c:pt>
                <c:pt idx="1070">
                  <c:v>3.656428</c:v>
                </c:pt>
                <c:pt idx="1071">
                  <c:v>3.3517329999999999</c:v>
                </c:pt>
                <c:pt idx="1072">
                  <c:v>3.098735</c:v>
                </c:pt>
                <c:pt idx="1073">
                  <c:v>3.2733439999999998</c:v>
                </c:pt>
                <c:pt idx="1074">
                  <c:v>4.1881579999999996</c:v>
                </c:pt>
                <c:pt idx="1075">
                  <c:v>3.3661690000000002</c:v>
                </c:pt>
                <c:pt idx="1076">
                  <c:v>4.6133810000000004</c:v>
                </c:pt>
                <c:pt idx="1077">
                  <c:v>5.2381479999999998</c:v>
                </c:pt>
                <c:pt idx="1078">
                  <c:v>4.1009799999999998</c:v>
                </c:pt>
                <c:pt idx="1079">
                  <c:v>3.7568609999999998</c:v>
                </c:pt>
                <c:pt idx="1080">
                  <c:v>7.3972329999999999</c:v>
                </c:pt>
                <c:pt idx="1081">
                  <c:v>3.019514</c:v>
                </c:pt>
                <c:pt idx="1082">
                  <c:v>3.4643830000000002</c:v>
                </c:pt>
                <c:pt idx="1083">
                  <c:v>5.4475189999999998</c:v>
                </c:pt>
                <c:pt idx="1084">
                  <c:v>2.555596</c:v>
                </c:pt>
                <c:pt idx="1085">
                  <c:v>2.7923230000000001</c:v>
                </c:pt>
                <c:pt idx="1086">
                  <c:v>5.2131439999999998</c:v>
                </c:pt>
                <c:pt idx="1087">
                  <c:v>4.4886200000000001</c:v>
                </c:pt>
                <c:pt idx="1088">
                  <c:v>3.5027360000000001</c:v>
                </c:pt>
                <c:pt idx="1089">
                  <c:v>2.774788</c:v>
                </c:pt>
                <c:pt idx="1090">
                  <c:v>2.654731</c:v>
                </c:pt>
                <c:pt idx="1091">
                  <c:v>2.9732240000000001</c:v>
                </c:pt>
                <c:pt idx="1092">
                  <c:v>2.302724</c:v>
                </c:pt>
                <c:pt idx="1093">
                  <c:v>2.2444329999999999</c:v>
                </c:pt>
                <c:pt idx="1094">
                  <c:v>2.6865389999999998</c:v>
                </c:pt>
                <c:pt idx="1095">
                  <c:v>2.6231840000000002</c:v>
                </c:pt>
                <c:pt idx="1096">
                  <c:v>2.6825559999999999</c:v>
                </c:pt>
                <c:pt idx="1097">
                  <c:v>4.0326009999999997</c:v>
                </c:pt>
                <c:pt idx="1098">
                  <c:v>3.7022379999999999</c:v>
                </c:pt>
                <c:pt idx="1099">
                  <c:v>3.2643439999999999</c:v>
                </c:pt>
                <c:pt idx="1100">
                  <c:v>2.5065840000000001</c:v>
                </c:pt>
                <c:pt idx="1101">
                  <c:v>3.0520909999999999</c:v>
                </c:pt>
                <c:pt idx="1102">
                  <c:v>6.3723929999999998</c:v>
                </c:pt>
                <c:pt idx="1103">
                  <c:v>30.490192</c:v>
                </c:pt>
                <c:pt idx="1104">
                  <c:v>9.9141689999999993</c:v>
                </c:pt>
                <c:pt idx="1105">
                  <c:v>7.8688029999999998</c:v>
                </c:pt>
                <c:pt idx="1106">
                  <c:v>5.7793780000000003</c:v>
                </c:pt>
                <c:pt idx="1107">
                  <c:v>8.1946899999999996</c:v>
                </c:pt>
                <c:pt idx="1108">
                  <c:v>6.9211369999999999</c:v>
                </c:pt>
                <c:pt idx="1109">
                  <c:v>4.3005430000000002</c:v>
                </c:pt>
                <c:pt idx="1110">
                  <c:v>4.8951859999999998</c:v>
                </c:pt>
                <c:pt idx="1111">
                  <c:v>4.2104020000000002</c:v>
                </c:pt>
                <c:pt idx="1112">
                  <c:v>4.3282579999999999</c:v>
                </c:pt>
                <c:pt idx="1113">
                  <c:v>3.240246</c:v>
                </c:pt>
                <c:pt idx="1114">
                  <c:v>3.3976280000000001</c:v>
                </c:pt>
                <c:pt idx="1115">
                  <c:v>4.4318249999999999</c:v>
                </c:pt>
                <c:pt idx="1116">
                  <c:v>4.4988710000000003</c:v>
                </c:pt>
                <c:pt idx="1117">
                  <c:v>3.7010519999999998</c:v>
                </c:pt>
                <c:pt idx="1118">
                  <c:v>4.6344390000000004</c:v>
                </c:pt>
                <c:pt idx="1119">
                  <c:v>4.7765319999999996</c:v>
                </c:pt>
                <c:pt idx="1120">
                  <c:v>4.3072759999999999</c:v>
                </c:pt>
                <c:pt idx="1121">
                  <c:v>5.1075460000000001</c:v>
                </c:pt>
                <c:pt idx="1122">
                  <c:v>3.7579509999999998</c:v>
                </c:pt>
                <c:pt idx="1123">
                  <c:v>4.7733280000000002</c:v>
                </c:pt>
                <c:pt idx="1124">
                  <c:v>5.446453</c:v>
                </c:pt>
                <c:pt idx="1125">
                  <c:v>4.9165000000000001</c:v>
                </c:pt>
                <c:pt idx="1126">
                  <c:v>5.6764950000000001</c:v>
                </c:pt>
                <c:pt idx="1127">
                  <c:v>3.7561840000000002</c:v>
                </c:pt>
                <c:pt idx="1128">
                  <c:v>3.2135959999999999</c:v>
                </c:pt>
                <c:pt idx="1129">
                  <c:v>1.193025</c:v>
                </c:pt>
                <c:pt idx="1130">
                  <c:v>3.3740420000000002</c:v>
                </c:pt>
                <c:pt idx="1131">
                  <c:v>3.9736699999999998</c:v>
                </c:pt>
                <c:pt idx="1132">
                  <c:v>5.0987020000000003</c:v>
                </c:pt>
                <c:pt idx="1133">
                  <c:v>6.500769</c:v>
                </c:pt>
                <c:pt idx="1134">
                  <c:v>5.5678520000000002</c:v>
                </c:pt>
                <c:pt idx="1135">
                  <c:v>4.6643160000000004</c:v>
                </c:pt>
                <c:pt idx="1136">
                  <c:v>5.0680430000000003</c:v>
                </c:pt>
                <c:pt idx="1137">
                  <c:v>3.4107280000000002</c:v>
                </c:pt>
                <c:pt idx="1138">
                  <c:v>3.7714289999999999</c:v>
                </c:pt>
                <c:pt idx="1139">
                  <c:v>3.5202810000000002</c:v>
                </c:pt>
                <c:pt idx="1140">
                  <c:v>4.1027189999999996</c:v>
                </c:pt>
                <c:pt idx="1141">
                  <c:v>6.3218009999999998</c:v>
                </c:pt>
                <c:pt idx="1142">
                  <c:v>5.6616179999999998</c:v>
                </c:pt>
                <c:pt idx="1143">
                  <c:v>4.6374399999999998</c:v>
                </c:pt>
                <c:pt idx="1144">
                  <c:v>11.279854</c:v>
                </c:pt>
                <c:pt idx="1145">
                  <c:v>5.0928380000000004</c:v>
                </c:pt>
                <c:pt idx="1146">
                  <c:v>4.1164490000000002</c:v>
                </c:pt>
                <c:pt idx="1147">
                  <c:v>3.7856670000000001</c:v>
                </c:pt>
                <c:pt idx="1148">
                  <c:v>4.1539349999999997</c:v>
                </c:pt>
                <c:pt idx="1149">
                  <c:v>2.990583</c:v>
                </c:pt>
                <c:pt idx="1150">
                  <c:v>2.4790169999999998</c:v>
                </c:pt>
                <c:pt idx="1151">
                  <c:v>2.149257</c:v>
                </c:pt>
                <c:pt idx="1152">
                  <c:v>2.687624</c:v>
                </c:pt>
                <c:pt idx="1153">
                  <c:v>3.3270870000000001</c:v>
                </c:pt>
                <c:pt idx="1154">
                  <c:v>4.2025030000000001</c:v>
                </c:pt>
                <c:pt idx="1155">
                  <c:v>9.4415669999999992</c:v>
                </c:pt>
                <c:pt idx="1156">
                  <c:v>7.5562490000000002</c:v>
                </c:pt>
                <c:pt idx="1157">
                  <c:v>5.1957639999999996</c:v>
                </c:pt>
                <c:pt idx="1158">
                  <c:v>5.2375230000000004</c:v>
                </c:pt>
                <c:pt idx="1159">
                  <c:v>4.3418099999999997</c:v>
                </c:pt>
                <c:pt idx="1160">
                  <c:v>4.174105</c:v>
                </c:pt>
                <c:pt idx="1161">
                  <c:v>3.7944529999999999</c:v>
                </c:pt>
                <c:pt idx="1162">
                  <c:v>5.0318860000000001</c:v>
                </c:pt>
                <c:pt idx="1163">
                  <c:v>7.7941950000000002</c:v>
                </c:pt>
                <c:pt idx="1164">
                  <c:v>11.710032999999999</c:v>
                </c:pt>
                <c:pt idx="1165">
                  <c:v>14.259345</c:v>
                </c:pt>
                <c:pt idx="1166">
                  <c:v>21.172488000000001</c:v>
                </c:pt>
                <c:pt idx="1167">
                  <c:v>8.4807950000000005</c:v>
                </c:pt>
                <c:pt idx="1168">
                  <c:v>7.4662319999999998</c:v>
                </c:pt>
                <c:pt idx="1169">
                  <c:v>5.645003</c:v>
                </c:pt>
                <c:pt idx="1170">
                  <c:v>3.3025199999999999</c:v>
                </c:pt>
                <c:pt idx="1171">
                  <c:v>3.7879130000000001</c:v>
                </c:pt>
                <c:pt idx="1172">
                  <c:v>3.5169950000000001</c:v>
                </c:pt>
                <c:pt idx="1173">
                  <c:v>4.9023409999999998</c:v>
                </c:pt>
                <c:pt idx="1174">
                  <c:v>4.0728299999999997</c:v>
                </c:pt>
                <c:pt idx="1175">
                  <c:v>4.4342420000000002</c:v>
                </c:pt>
                <c:pt idx="1176">
                  <c:v>5.251938</c:v>
                </c:pt>
                <c:pt idx="1177">
                  <c:v>8.7465989999999998</c:v>
                </c:pt>
                <c:pt idx="1178">
                  <c:v>9.8676779999999997</c:v>
                </c:pt>
                <c:pt idx="1179">
                  <c:v>6.1492069999999996</c:v>
                </c:pt>
                <c:pt idx="1180">
                  <c:v>6.7790949999999999</c:v>
                </c:pt>
                <c:pt idx="1181">
                  <c:v>7.82829</c:v>
                </c:pt>
                <c:pt idx="1182">
                  <c:v>5.8813769999999996</c:v>
                </c:pt>
                <c:pt idx="1183">
                  <c:v>4.8910099999999996</c:v>
                </c:pt>
                <c:pt idx="1184">
                  <c:v>5.4790330000000003</c:v>
                </c:pt>
                <c:pt idx="1185">
                  <c:v>5.6235809999999997</c:v>
                </c:pt>
                <c:pt idx="1186">
                  <c:v>4.2829079999999999</c:v>
                </c:pt>
                <c:pt idx="1187">
                  <c:v>4.4896039999999999</c:v>
                </c:pt>
                <c:pt idx="1188">
                  <c:v>3.7285710000000001</c:v>
                </c:pt>
                <c:pt idx="1189">
                  <c:v>4.0246269999999997</c:v>
                </c:pt>
                <c:pt idx="1190">
                  <c:v>3.2560739999999999</c:v>
                </c:pt>
                <c:pt idx="1191">
                  <c:v>3.6102919999999998</c:v>
                </c:pt>
                <c:pt idx="1192">
                  <c:v>4.2372829999999997</c:v>
                </c:pt>
                <c:pt idx="1193">
                  <c:v>3.803512</c:v>
                </c:pt>
                <c:pt idx="1194">
                  <c:v>4.039339</c:v>
                </c:pt>
                <c:pt idx="1195">
                  <c:v>3.2611409999999998</c:v>
                </c:pt>
                <c:pt idx="1196">
                  <c:v>3.6706300000000001</c:v>
                </c:pt>
                <c:pt idx="1197">
                  <c:v>3.6857359999999999</c:v>
                </c:pt>
                <c:pt idx="1198">
                  <c:v>4.6076769999999998</c:v>
                </c:pt>
                <c:pt idx="1199">
                  <c:v>6.4556120000000004</c:v>
                </c:pt>
                <c:pt idx="1200">
                  <c:v>5.0222379999999998</c:v>
                </c:pt>
                <c:pt idx="1201">
                  <c:v>5.0634969999999999</c:v>
                </c:pt>
                <c:pt idx="1202">
                  <c:v>4.1855900000000004</c:v>
                </c:pt>
                <c:pt idx="1203">
                  <c:v>3.6318250000000001</c:v>
                </c:pt>
                <c:pt idx="1204">
                  <c:v>3.8705949999999998</c:v>
                </c:pt>
                <c:pt idx="1205">
                  <c:v>9.2626559999999998</c:v>
                </c:pt>
                <c:pt idx="1206">
                  <c:v>5.4819829999999996</c:v>
                </c:pt>
                <c:pt idx="1207">
                  <c:v>4.3367380000000004</c:v>
                </c:pt>
                <c:pt idx="1208">
                  <c:v>3.4821840000000002</c:v>
                </c:pt>
                <c:pt idx="1209">
                  <c:v>4.7463490000000004</c:v>
                </c:pt>
                <c:pt idx="1210">
                  <c:v>4.4408830000000004</c:v>
                </c:pt>
                <c:pt idx="1211">
                  <c:v>4.103904</c:v>
                </c:pt>
                <c:pt idx="1212">
                  <c:v>3.8837449999999998</c:v>
                </c:pt>
                <c:pt idx="1213">
                  <c:v>3.6648260000000001</c:v>
                </c:pt>
                <c:pt idx="1214">
                  <c:v>3.419959</c:v>
                </c:pt>
                <c:pt idx="1215">
                  <c:v>5.1504349999999999</c:v>
                </c:pt>
                <c:pt idx="1216">
                  <c:v>4.1356960000000003</c:v>
                </c:pt>
                <c:pt idx="1217">
                  <c:v>4.8052609999999998</c:v>
                </c:pt>
                <c:pt idx="1218">
                  <c:v>3.1853880000000001</c:v>
                </c:pt>
                <c:pt idx="1219">
                  <c:v>3.6729189999999998</c:v>
                </c:pt>
                <c:pt idx="1220">
                  <c:v>4.4131780000000003</c:v>
                </c:pt>
                <c:pt idx="1221">
                  <c:v>3.9559519999999999</c:v>
                </c:pt>
                <c:pt idx="1222">
                  <c:v>3.3065389999999999</c:v>
                </c:pt>
                <c:pt idx="1223">
                  <c:v>5.6394440000000001</c:v>
                </c:pt>
                <c:pt idx="1224">
                  <c:v>4.0570579999999996</c:v>
                </c:pt>
                <c:pt idx="1225">
                  <c:v>4.1867549999999998</c:v>
                </c:pt>
                <c:pt idx="1226">
                  <c:v>10.207534000000001</c:v>
                </c:pt>
                <c:pt idx="1227">
                  <c:v>20.381695000000001</c:v>
                </c:pt>
                <c:pt idx="1228">
                  <c:v>8.0860559999999992</c:v>
                </c:pt>
                <c:pt idx="1229">
                  <c:v>8.2656430000000007</c:v>
                </c:pt>
                <c:pt idx="1230">
                  <c:v>5.3156249999999998</c:v>
                </c:pt>
                <c:pt idx="1231">
                  <c:v>4.9164760000000003</c:v>
                </c:pt>
                <c:pt idx="1232">
                  <c:v>7.3263790000000002</c:v>
                </c:pt>
                <c:pt idx="1233">
                  <c:v>4.2658120000000004</c:v>
                </c:pt>
                <c:pt idx="1234">
                  <c:v>3.2054819999999999</c:v>
                </c:pt>
                <c:pt idx="1235">
                  <c:v>4.4155329999999999</c:v>
                </c:pt>
                <c:pt idx="1236">
                  <c:v>4.4333929999999997</c:v>
                </c:pt>
                <c:pt idx="1237">
                  <c:v>5.1949170000000002</c:v>
                </c:pt>
                <c:pt idx="1238">
                  <c:v>5.0185919999999999</c:v>
                </c:pt>
                <c:pt idx="1239">
                  <c:v>4.4021699999999999</c:v>
                </c:pt>
                <c:pt idx="1240">
                  <c:v>3.657009</c:v>
                </c:pt>
                <c:pt idx="1241">
                  <c:v>5.3691190000000004</c:v>
                </c:pt>
                <c:pt idx="1242">
                  <c:v>4.1959530000000003</c:v>
                </c:pt>
                <c:pt idx="1243">
                  <c:v>3.7266080000000001</c:v>
                </c:pt>
                <c:pt idx="1244">
                  <c:v>3.0731670000000002</c:v>
                </c:pt>
                <c:pt idx="1245">
                  <c:v>3.216062</c:v>
                </c:pt>
                <c:pt idx="1246">
                  <c:v>4.0893969999999999</c:v>
                </c:pt>
                <c:pt idx="1247">
                  <c:v>3.1686589999999999</c:v>
                </c:pt>
                <c:pt idx="1248">
                  <c:v>3.147659</c:v>
                </c:pt>
                <c:pt idx="1249">
                  <c:v>2.6822430000000002</c:v>
                </c:pt>
                <c:pt idx="1250">
                  <c:v>2.894698</c:v>
                </c:pt>
                <c:pt idx="1251">
                  <c:v>2.2840199999999999</c:v>
                </c:pt>
                <c:pt idx="1252">
                  <c:v>3.4597470000000001</c:v>
                </c:pt>
                <c:pt idx="1253">
                  <c:v>3.398701</c:v>
                </c:pt>
                <c:pt idx="1254">
                  <c:v>4.9142939999999999</c:v>
                </c:pt>
                <c:pt idx="1255">
                  <c:v>4.5376380000000003</c:v>
                </c:pt>
                <c:pt idx="1256">
                  <c:v>5.1185299999999998</c:v>
                </c:pt>
                <c:pt idx="1257">
                  <c:v>6.8302560000000003</c:v>
                </c:pt>
                <c:pt idx="1258">
                  <c:v>3.8575300000000001</c:v>
                </c:pt>
                <c:pt idx="1259">
                  <c:v>3.0352570000000001</c:v>
                </c:pt>
                <c:pt idx="1260">
                  <c:v>2.836017</c:v>
                </c:pt>
                <c:pt idx="1261">
                  <c:v>3.2201390000000001</c:v>
                </c:pt>
                <c:pt idx="1262">
                  <c:v>4.316484</c:v>
                </c:pt>
                <c:pt idx="1263">
                  <c:v>5.2104679999999997</c:v>
                </c:pt>
                <c:pt idx="1264">
                  <c:v>3.2599860000000001</c:v>
                </c:pt>
                <c:pt idx="1265">
                  <c:v>2.6405150000000002</c:v>
                </c:pt>
                <c:pt idx="1266">
                  <c:v>2.9681799999999998</c:v>
                </c:pt>
                <c:pt idx="1267">
                  <c:v>3.326343</c:v>
                </c:pt>
                <c:pt idx="1268">
                  <c:v>9.1160479999999993</c:v>
                </c:pt>
                <c:pt idx="1269">
                  <c:v>4.2864060000000004</c:v>
                </c:pt>
                <c:pt idx="1270">
                  <c:v>3.487015</c:v>
                </c:pt>
                <c:pt idx="1271">
                  <c:v>3.329917</c:v>
                </c:pt>
                <c:pt idx="1272">
                  <c:v>3.8876499999999998</c:v>
                </c:pt>
                <c:pt idx="1273">
                  <c:v>6.0136779999999996</c:v>
                </c:pt>
                <c:pt idx="1274">
                  <c:v>8.9370849999999997</c:v>
                </c:pt>
                <c:pt idx="1275">
                  <c:v>4.1394549999999999</c:v>
                </c:pt>
                <c:pt idx="1276">
                  <c:v>4.1018280000000003</c:v>
                </c:pt>
                <c:pt idx="1277">
                  <c:v>4.5236660000000004</c:v>
                </c:pt>
                <c:pt idx="1278">
                  <c:v>3.7536839999999998</c:v>
                </c:pt>
                <c:pt idx="1279">
                  <c:v>3.4056419999999998</c:v>
                </c:pt>
                <c:pt idx="1280">
                  <c:v>1.9632320000000001</c:v>
                </c:pt>
                <c:pt idx="1281">
                  <c:v>3.7447300000000001</c:v>
                </c:pt>
                <c:pt idx="1282">
                  <c:v>2.9104260000000002</c:v>
                </c:pt>
                <c:pt idx="1283">
                  <c:v>3.904652</c:v>
                </c:pt>
                <c:pt idx="1284">
                  <c:v>3.7769910000000002</c:v>
                </c:pt>
                <c:pt idx="1285">
                  <c:v>3.5265650000000002</c:v>
                </c:pt>
                <c:pt idx="1286">
                  <c:v>3.1195050000000002</c:v>
                </c:pt>
                <c:pt idx="1287">
                  <c:v>3.0676380000000001</c:v>
                </c:pt>
                <c:pt idx="1288">
                  <c:v>3.468817</c:v>
                </c:pt>
                <c:pt idx="1289">
                  <c:v>5.0967409999999997</c:v>
                </c:pt>
                <c:pt idx="1290">
                  <c:v>6.9352879999999999</c:v>
                </c:pt>
                <c:pt idx="1291">
                  <c:v>14.655804</c:v>
                </c:pt>
                <c:pt idx="1292">
                  <c:v>6.415972</c:v>
                </c:pt>
                <c:pt idx="1293">
                  <c:v>3.8978920000000001</c:v>
                </c:pt>
                <c:pt idx="1294">
                  <c:v>3.8916249999999999</c:v>
                </c:pt>
                <c:pt idx="1295">
                  <c:v>3.6231819999999999</c:v>
                </c:pt>
                <c:pt idx="1296">
                  <c:v>4.778022</c:v>
                </c:pt>
                <c:pt idx="1297">
                  <c:v>3.7496420000000001</c:v>
                </c:pt>
                <c:pt idx="1298">
                  <c:v>3.6082830000000001</c:v>
                </c:pt>
                <c:pt idx="1299">
                  <c:v>5.4744780000000004</c:v>
                </c:pt>
                <c:pt idx="1300">
                  <c:v>3.3883860000000001</c:v>
                </c:pt>
                <c:pt idx="1301">
                  <c:v>3.8414470000000001</c:v>
                </c:pt>
                <c:pt idx="1302">
                  <c:v>8.0535669999999993</c:v>
                </c:pt>
                <c:pt idx="1303">
                  <c:v>3.9137430000000002</c:v>
                </c:pt>
                <c:pt idx="1304">
                  <c:v>3.5087579999999998</c:v>
                </c:pt>
                <c:pt idx="1305">
                  <c:v>3.5817459999999999</c:v>
                </c:pt>
                <c:pt idx="1306">
                  <c:v>3.0935039999999998</c:v>
                </c:pt>
                <c:pt idx="1307">
                  <c:v>3.003158</c:v>
                </c:pt>
                <c:pt idx="1308">
                  <c:v>2.8588420000000001</c:v>
                </c:pt>
                <c:pt idx="1309">
                  <c:v>2.8600409999999998</c:v>
                </c:pt>
                <c:pt idx="1310">
                  <c:v>4.2414959999999997</c:v>
                </c:pt>
                <c:pt idx="1311">
                  <c:v>5.2508780000000002</c:v>
                </c:pt>
                <c:pt idx="1312">
                  <c:v>2.67882</c:v>
                </c:pt>
                <c:pt idx="1313">
                  <c:v>2.499654</c:v>
                </c:pt>
                <c:pt idx="1314">
                  <c:v>3.1068760000000002</c:v>
                </c:pt>
                <c:pt idx="1315">
                  <c:v>2.3889610000000001</c:v>
                </c:pt>
                <c:pt idx="1316">
                  <c:v>2.2206030000000001</c:v>
                </c:pt>
                <c:pt idx="1317">
                  <c:v>2.7768130000000002</c:v>
                </c:pt>
                <c:pt idx="1318">
                  <c:v>3.491565</c:v>
                </c:pt>
                <c:pt idx="1319">
                  <c:v>2.4553280000000002</c:v>
                </c:pt>
                <c:pt idx="1320">
                  <c:v>3.153845</c:v>
                </c:pt>
                <c:pt idx="1321">
                  <c:v>3.3403689999999999</c:v>
                </c:pt>
                <c:pt idx="1322">
                  <c:v>3.4884759999999999</c:v>
                </c:pt>
                <c:pt idx="1323">
                  <c:v>3.3261530000000001</c:v>
                </c:pt>
                <c:pt idx="1324">
                  <c:v>3.1265399999999999</c:v>
                </c:pt>
                <c:pt idx="1325">
                  <c:v>4.248831</c:v>
                </c:pt>
                <c:pt idx="1326">
                  <c:v>4.6931269999999996</c:v>
                </c:pt>
                <c:pt idx="1327">
                  <c:v>3.6182919999999998</c:v>
                </c:pt>
                <c:pt idx="1328">
                  <c:v>3.3747739999999999</c:v>
                </c:pt>
                <c:pt idx="1329">
                  <c:v>4.5066790000000001</c:v>
                </c:pt>
                <c:pt idx="1330">
                  <c:v>5.3465400000000001</c:v>
                </c:pt>
                <c:pt idx="1331">
                  <c:v>3.4521440000000001</c:v>
                </c:pt>
                <c:pt idx="1332">
                  <c:v>3.551882</c:v>
                </c:pt>
                <c:pt idx="1333">
                  <c:v>3.6295959999999998</c:v>
                </c:pt>
                <c:pt idx="1334">
                  <c:v>4.2463819999999997</c:v>
                </c:pt>
                <c:pt idx="1335">
                  <c:v>5.952223</c:v>
                </c:pt>
                <c:pt idx="1336">
                  <c:v>19.947877999999999</c:v>
                </c:pt>
                <c:pt idx="1337">
                  <c:v>4.2649840000000001</c:v>
                </c:pt>
                <c:pt idx="1338">
                  <c:v>4.3974570000000002</c:v>
                </c:pt>
                <c:pt idx="1339">
                  <c:v>7.4018620000000004</c:v>
                </c:pt>
                <c:pt idx="1340">
                  <c:v>3.477643</c:v>
                </c:pt>
                <c:pt idx="1341">
                  <c:v>3.3057979999999998</c:v>
                </c:pt>
                <c:pt idx="1342">
                  <c:v>3.7574190000000001</c:v>
                </c:pt>
                <c:pt idx="1343">
                  <c:v>3.030125</c:v>
                </c:pt>
                <c:pt idx="1344">
                  <c:v>3.3152979999999999</c:v>
                </c:pt>
                <c:pt idx="1345">
                  <c:v>4.238143</c:v>
                </c:pt>
                <c:pt idx="1346">
                  <c:v>4.602252</c:v>
                </c:pt>
                <c:pt idx="1347">
                  <c:v>3.239347</c:v>
                </c:pt>
                <c:pt idx="1348">
                  <c:v>3.642496</c:v>
                </c:pt>
                <c:pt idx="1349">
                  <c:v>5.5476970000000003</c:v>
                </c:pt>
                <c:pt idx="1350">
                  <c:v>8.7104909999999993</c:v>
                </c:pt>
                <c:pt idx="1351">
                  <c:v>6.5634030000000001</c:v>
                </c:pt>
                <c:pt idx="1352">
                  <c:v>4.9655329999999998</c:v>
                </c:pt>
                <c:pt idx="1353">
                  <c:v>8.6954890000000002</c:v>
                </c:pt>
                <c:pt idx="1354">
                  <c:v>19.463961999999999</c:v>
                </c:pt>
                <c:pt idx="1355">
                  <c:v>10.011678</c:v>
                </c:pt>
                <c:pt idx="1356">
                  <c:v>7.7916359999999996</c:v>
                </c:pt>
                <c:pt idx="1357">
                  <c:v>5.7195179999999999</c:v>
                </c:pt>
                <c:pt idx="1358">
                  <c:v>6.4635800000000003</c:v>
                </c:pt>
                <c:pt idx="1359">
                  <c:v>5.7103200000000003</c:v>
                </c:pt>
                <c:pt idx="1360">
                  <c:v>10.304327000000001</c:v>
                </c:pt>
                <c:pt idx="1361">
                  <c:v>8.7670290000000008</c:v>
                </c:pt>
                <c:pt idx="1362">
                  <c:v>20.450448000000002</c:v>
                </c:pt>
                <c:pt idx="1363">
                  <c:v>21.458594000000002</c:v>
                </c:pt>
                <c:pt idx="1364">
                  <c:v>21.644977999999998</c:v>
                </c:pt>
                <c:pt idx="1365">
                  <c:v>13.62673</c:v>
                </c:pt>
                <c:pt idx="1366">
                  <c:v>10.592681000000001</c:v>
                </c:pt>
                <c:pt idx="1367">
                  <c:v>9.1445980000000002</c:v>
                </c:pt>
                <c:pt idx="1368">
                  <c:v>9.5973919999999993</c:v>
                </c:pt>
                <c:pt idx="1369">
                  <c:v>12.382666</c:v>
                </c:pt>
                <c:pt idx="1370">
                  <c:v>10.396439000000001</c:v>
                </c:pt>
                <c:pt idx="1371">
                  <c:v>6.9619020000000003</c:v>
                </c:pt>
                <c:pt idx="1372">
                  <c:v>5.3791130000000003</c:v>
                </c:pt>
                <c:pt idx="1373">
                  <c:v>4.0843850000000002</c:v>
                </c:pt>
                <c:pt idx="1374">
                  <c:v>4.7622749999999998</c:v>
                </c:pt>
                <c:pt idx="1375">
                  <c:v>5.207973</c:v>
                </c:pt>
                <c:pt idx="1376">
                  <c:v>4.0763150000000001</c:v>
                </c:pt>
                <c:pt idx="1377">
                  <c:v>4.1312379999999997</c:v>
                </c:pt>
                <c:pt idx="1378">
                  <c:v>6.2337769999999999</c:v>
                </c:pt>
                <c:pt idx="1379">
                  <c:v>5.3358420000000004</c:v>
                </c:pt>
                <c:pt idx="1380">
                  <c:v>2.33473</c:v>
                </c:pt>
                <c:pt idx="1381">
                  <c:v>5.0111299999999996</c:v>
                </c:pt>
                <c:pt idx="1382">
                  <c:v>4.9037709999999999</c:v>
                </c:pt>
                <c:pt idx="1383">
                  <c:v>5.1045199999999999</c:v>
                </c:pt>
                <c:pt idx="1384">
                  <c:v>5.200113</c:v>
                </c:pt>
                <c:pt idx="1385">
                  <c:v>7.2515900000000002</c:v>
                </c:pt>
                <c:pt idx="1386">
                  <c:v>5.8431119999999996</c:v>
                </c:pt>
                <c:pt idx="1387">
                  <c:v>6.0006969999999997</c:v>
                </c:pt>
                <c:pt idx="1388">
                  <c:v>6.9380490000000004</c:v>
                </c:pt>
                <c:pt idx="1389">
                  <c:v>7.0196160000000001</c:v>
                </c:pt>
                <c:pt idx="1390">
                  <c:v>6.549506</c:v>
                </c:pt>
                <c:pt idx="1391">
                  <c:v>5.0430809999999999</c:v>
                </c:pt>
                <c:pt idx="1392">
                  <c:v>3.5607899999999999</c:v>
                </c:pt>
                <c:pt idx="1393">
                  <c:v>3.9935969999999998</c:v>
                </c:pt>
                <c:pt idx="1394">
                  <c:v>4.5542040000000004</c:v>
                </c:pt>
                <c:pt idx="1395">
                  <c:v>7.3744759999999996</c:v>
                </c:pt>
                <c:pt idx="1396">
                  <c:v>6.2901860000000003</c:v>
                </c:pt>
                <c:pt idx="1397">
                  <c:v>6.9798229999999997</c:v>
                </c:pt>
                <c:pt idx="1398">
                  <c:v>8.4543499999999998</c:v>
                </c:pt>
                <c:pt idx="1399">
                  <c:v>10.386452999999999</c:v>
                </c:pt>
                <c:pt idx="1400">
                  <c:v>3.8213759999999999</c:v>
                </c:pt>
                <c:pt idx="1401">
                  <c:v>6.6457940000000004</c:v>
                </c:pt>
                <c:pt idx="1402">
                  <c:v>6.0455899999999998</c:v>
                </c:pt>
                <c:pt idx="1403">
                  <c:v>5.1175329999999999</c:v>
                </c:pt>
                <c:pt idx="1404">
                  <c:v>4.982755</c:v>
                </c:pt>
                <c:pt idx="1405">
                  <c:v>4.2399240000000002</c:v>
                </c:pt>
                <c:pt idx="1406">
                  <c:v>4.3466589999999998</c:v>
                </c:pt>
                <c:pt idx="1407">
                  <c:v>4.4777550000000002</c:v>
                </c:pt>
                <c:pt idx="1408">
                  <c:v>3.751204</c:v>
                </c:pt>
                <c:pt idx="1409">
                  <c:v>4.763636</c:v>
                </c:pt>
                <c:pt idx="1410">
                  <c:v>3.6336629999999999</c:v>
                </c:pt>
                <c:pt idx="1411">
                  <c:v>3.9099710000000001</c:v>
                </c:pt>
                <c:pt idx="1412">
                  <c:v>3.7223700000000002</c:v>
                </c:pt>
                <c:pt idx="1413">
                  <c:v>5.2289089999999998</c:v>
                </c:pt>
                <c:pt idx="1414">
                  <c:v>3.5077189999999998</c:v>
                </c:pt>
                <c:pt idx="1415">
                  <c:v>3.8411</c:v>
                </c:pt>
                <c:pt idx="1416">
                  <c:v>5.029871</c:v>
                </c:pt>
                <c:pt idx="1417">
                  <c:v>6.0085090000000001</c:v>
                </c:pt>
                <c:pt idx="1418">
                  <c:v>10.052384</c:v>
                </c:pt>
                <c:pt idx="1419">
                  <c:v>22.063666000000001</c:v>
                </c:pt>
                <c:pt idx="1420">
                  <c:v>6.3229280000000001</c:v>
                </c:pt>
                <c:pt idx="1421">
                  <c:v>5.7084999999999999</c:v>
                </c:pt>
                <c:pt idx="1422">
                  <c:v>5.3577360000000001</c:v>
                </c:pt>
                <c:pt idx="1423">
                  <c:v>5.0371290000000002</c:v>
                </c:pt>
                <c:pt idx="1424">
                  <c:v>4.5009189999999997</c:v>
                </c:pt>
                <c:pt idx="1425">
                  <c:v>4.8840310000000002</c:v>
                </c:pt>
                <c:pt idx="1426">
                  <c:v>3.806047</c:v>
                </c:pt>
                <c:pt idx="1427">
                  <c:v>3.9665970000000002</c:v>
                </c:pt>
                <c:pt idx="1428">
                  <c:v>5.3989070000000003</c:v>
                </c:pt>
                <c:pt idx="1429">
                  <c:v>4.87967</c:v>
                </c:pt>
                <c:pt idx="1430">
                  <c:v>4.3794389999999996</c:v>
                </c:pt>
                <c:pt idx="1431">
                  <c:v>3.2500740000000001</c:v>
                </c:pt>
                <c:pt idx="1432">
                  <c:v>3.0950690000000001</c:v>
                </c:pt>
                <c:pt idx="1433">
                  <c:v>3.317161</c:v>
                </c:pt>
                <c:pt idx="1434">
                  <c:v>4.2530419999999998</c:v>
                </c:pt>
                <c:pt idx="1435">
                  <c:v>2.7898390000000002</c:v>
                </c:pt>
                <c:pt idx="1436">
                  <c:v>3.8440620000000001</c:v>
                </c:pt>
                <c:pt idx="1437">
                  <c:v>3.385675</c:v>
                </c:pt>
                <c:pt idx="1438">
                  <c:v>3.8019790000000002</c:v>
                </c:pt>
                <c:pt idx="1439">
                  <c:v>2.9374669999999998</c:v>
                </c:pt>
                <c:pt idx="1440">
                  <c:v>3.1136979999999999</c:v>
                </c:pt>
                <c:pt idx="1441">
                  <c:v>3.1941609999999998</c:v>
                </c:pt>
                <c:pt idx="1442">
                  <c:v>3.060381</c:v>
                </c:pt>
                <c:pt idx="1443">
                  <c:v>2.5309680000000001</c:v>
                </c:pt>
                <c:pt idx="1444">
                  <c:v>3.4577879999999999</c:v>
                </c:pt>
                <c:pt idx="1445">
                  <c:v>3.0300440000000002</c:v>
                </c:pt>
                <c:pt idx="1446">
                  <c:v>3.4072170000000002</c:v>
                </c:pt>
                <c:pt idx="1447">
                  <c:v>4.2506500000000003</c:v>
                </c:pt>
                <c:pt idx="1448">
                  <c:v>2.768256</c:v>
                </c:pt>
                <c:pt idx="1449">
                  <c:v>4.3588019999999998</c:v>
                </c:pt>
                <c:pt idx="1450">
                  <c:v>3.7737219999999998</c:v>
                </c:pt>
                <c:pt idx="1451">
                  <c:v>3.9395169999999999</c:v>
                </c:pt>
                <c:pt idx="1452">
                  <c:v>3.954653</c:v>
                </c:pt>
                <c:pt idx="1453">
                  <c:v>3.1731790000000002</c:v>
                </c:pt>
                <c:pt idx="1454">
                  <c:v>2.7387899999999998</c:v>
                </c:pt>
                <c:pt idx="1455">
                  <c:v>7.1536869999999997</c:v>
                </c:pt>
                <c:pt idx="1456">
                  <c:v>3.26851</c:v>
                </c:pt>
                <c:pt idx="1457">
                  <c:v>3.4823360000000001</c:v>
                </c:pt>
                <c:pt idx="1458">
                  <c:v>3.6494550000000001</c:v>
                </c:pt>
                <c:pt idx="1459">
                  <c:v>3.6054200000000001</c:v>
                </c:pt>
                <c:pt idx="1460">
                  <c:v>3.8776160000000002</c:v>
                </c:pt>
                <c:pt idx="1461">
                  <c:v>2.839766</c:v>
                </c:pt>
                <c:pt idx="1462">
                  <c:v>2.5537079999999999</c:v>
                </c:pt>
                <c:pt idx="1463">
                  <c:v>3.098233</c:v>
                </c:pt>
                <c:pt idx="1464">
                  <c:v>2.6638839999999999</c:v>
                </c:pt>
                <c:pt idx="1465">
                  <c:v>3.1014539999999999</c:v>
                </c:pt>
                <c:pt idx="1466">
                  <c:v>3.9842499999999998</c:v>
                </c:pt>
                <c:pt idx="1467">
                  <c:v>2.4049200000000002</c:v>
                </c:pt>
                <c:pt idx="1468">
                  <c:v>2.6816450000000001</c:v>
                </c:pt>
                <c:pt idx="1469">
                  <c:v>2.7714620000000001</c:v>
                </c:pt>
                <c:pt idx="1470">
                  <c:v>2.7319849999999999</c:v>
                </c:pt>
                <c:pt idx="1471">
                  <c:v>2.1182280000000002</c:v>
                </c:pt>
                <c:pt idx="1472">
                  <c:v>3.0384600000000002</c:v>
                </c:pt>
                <c:pt idx="1473">
                  <c:v>2.6783100000000002</c:v>
                </c:pt>
                <c:pt idx="1474">
                  <c:v>2.9419849999999999</c:v>
                </c:pt>
                <c:pt idx="1475">
                  <c:v>2.8988990000000001</c:v>
                </c:pt>
                <c:pt idx="1476">
                  <c:v>3.6031580000000001</c:v>
                </c:pt>
                <c:pt idx="1477">
                  <c:v>6.3016709999999998</c:v>
                </c:pt>
                <c:pt idx="1478">
                  <c:v>12.525693</c:v>
                </c:pt>
                <c:pt idx="1479">
                  <c:v>4.9600150000000003</c:v>
                </c:pt>
                <c:pt idx="1480">
                  <c:v>4.4943330000000001</c:v>
                </c:pt>
                <c:pt idx="1481">
                  <c:v>4.4622400000000004</c:v>
                </c:pt>
                <c:pt idx="1482">
                  <c:v>2.774867</c:v>
                </c:pt>
                <c:pt idx="1483">
                  <c:v>2.9101129999999999</c:v>
                </c:pt>
                <c:pt idx="1484">
                  <c:v>2.3198340000000002</c:v>
                </c:pt>
                <c:pt idx="1485">
                  <c:v>2.9583330000000001</c:v>
                </c:pt>
                <c:pt idx="1486">
                  <c:v>4.6388280000000002</c:v>
                </c:pt>
                <c:pt idx="1487">
                  <c:v>3.0536829999999999</c:v>
                </c:pt>
                <c:pt idx="1488">
                  <c:v>3.5413519999999998</c:v>
                </c:pt>
                <c:pt idx="1489">
                  <c:v>2.5800339999999999</c:v>
                </c:pt>
                <c:pt idx="1490">
                  <c:v>2.7936550000000002</c:v>
                </c:pt>
                <c:pt idx="1491">
                  <c:v>4.7267710000000003</c:v>
                </c:pt>
                <c:pt idx="1492">
                  <c:v>3.8189090000000001</c:v>
                </c:pt>
                <c:pt idx="1493">
                  <c:v>4.1929420000000004</c:v>
                </c:pt>
                <c:pt idx="1494">
                  <c:v>3.9776859999999998</c:v>
                </c:pt>
                <c:pt idx="1495">
                  <c:v>4.9580209999999996</c:v>
                </c:pt>
                <c:pt idx="1496">
                  <c:v>3.2803740000000001</c:v>
                </c:pt>
                <c:pt idx="1497">
                  <c:v>2.5510090000000001</c:v>
                </c:pt>
                <c:pt idx="1498">
                  <c:v>3.0174720000000002</c:v>
                </c:pt>
                <c:pt idx="1499">
                  <c:v>2.619135</c:v>
                </c:pt>
                <c:pt idx="1500">
                  <c:v>3.2646489999999999</c:v>
                </c:pt>
                <c:pt idx="1501">
                  <c:v>2.503504</c:v>
                </c:pt>
                <c:pt idx="1502">
                  <c:v>1.8498209999999999</c:v>
                </c:pt>
                <c:pt idx="1503">
                  <c:v>5.3434369999999998</c:v>
                </c:pt>
                <c:pt idx="1504">
                  <c:v>2.5961210000000001</c:v>
                </c:pt>
                <c:pt idx="1505">
                  <c:v>4.9091209999999998</c:v>
                </c:pt>
                <c:pt idx="1506">
                  <c:v>3.6789779999999999</c:v>
                </c:pt>
                <c:pt idx="1507">
                  <c:v>2.7418800000000001</c:v>
                </c:pt>
                <c:pt idx="1508">
                  <c:v>3.5393430000000001</c:v>
                </c:pt>
                <c:pt idx="1509">
                  <c:v>4.26708</c:v>
                </c:pt>
                <c:pt idx="1510">
                  <c:v>3.913535</c:v>
                </c:pt>
                <c:pt idx="1511">
                  <c:v>3.1615839999999999</c:v>
                </c:pt>
                <c:pt idx="1512">
                  <c:v>2.2982480000000001</c:v>
                </c:pt>
                <c:pt idx="1513">
                  <c:v>2.5533980000000001</c:v>
                </c:pt>
                <c:pt idx="1514">
                  <c:v>2.911327</c:v>
                </c:pt>
                <c:pt idx="1515">
                  <c:v>3.4073449999999998</c:v>
                </c:pt>
                <c:pt idx="1516">
                  <c:v>2.2547410000000001</c:v>
                </c:pt>
                <c:pt idx="1517">
                  <c:v>2.955419</c:v>
                </c:pt>
                <c:pt idx="1518">
                  <c:v>2.1933669999999998</c:v>
                </c:pt>
                <c:pt idx="1519">
                  <c:v>2.1941290000000002</c:v>
                </c:pt>
                <c:pt idx="1520">
                  <c:v>2.914698</c:v>
                </c:pt>
                <c:pt idx="1521">
                  <c:v>2.38252</c:v>
                </c:pt>
                <c:pt idx="1522">
                  <c:v>3.0710169999999999</c:v>
                </c:pt>
                <c:pt idx="1523">
                  <c:v>5.2887589999999998</c:v>
                </c:pt>
                <c:pt idx="1524">
                  <c:v>2.186137</c:v>
                </c:pt>
                <c:pt idx="1525">
                  <c:v>2.8012510000000002</c:v>
                </c:pt>
                <c:pt idx="1526">
                  <c:v>2.284567</c:v>
                </c:pt>
                <c:pt idx="1527">
                  <c:v>2.1498240000000002</c:v>
                </c:pt>
                <c:pt idx="1528">
                  <c:v>6.154039</c:v>
                </c:pt>
                <c:pt idx="1529">
                  <c:v>3.387184</c:v>
                </c:pt>
                <c:pt idx="1530">
                  <c:v>2.4100920000000001</c:v>
                </c:pt>
                <c:pt idx="1531">
                  <c:v>1.930361</c:v>
                </c:pt>
                <c:pt idx="1532">
                  <c:v>2.1350850000000001</c:v>
                </c:pt>
                <c:pt idx="1533">
                  <c:v>2.3954870000000001</c:v>
                </c:pt>
                <c:pt idx="1534">
                  <c:v>3.365227</c:v>
                </c:pt>
                <c:pt idx="1535">
                  <c:v>2.5139309999999999</c:v>
                </c:pt>
                <c:pt idx="1536">
                  <c:v>2.133327</c:v>
                </c:pt>
                <c:pt idx="1537">
                  <c:v>2.786276</c:v>
                </c:pt>
                <c:pt idx="1538">
                  <c:v>2.368309</c:v>
                </c:pt>
                <c:pt idx="1539">
                  <c:v>3.474688</c:v>
                </c:pt>
                <c:pt idx="1540">
                  <c:v>6.0642649999999998</c:v>
                </c:pt>
                <c:pt idx="1541">
                  <c:v>12.695387</c:v>
                </c:pt>
                <c:pt idx="1542">
                  <c:v>7.2906779999999998</c:v>
                </c:pt>
                <c:pt idx="1543">
                  <c:v>4.0932389999999996</c:v>
                </c:pt>
                <c:pt idx="1544">
                  <c:v>3.7422040000000001</c:v>
                </c:pt>
                <c:pt idx="1545">
                  <c:v>2.9524349999999999</c:v>
                </c:pt>
                <c:pt idx="1546">
                  <c:v>3.1021130000000001</c:v>
                </c:pt>
                <c:pt idx="1547">
                  <c:v>2.9044940000000001</c:v>
                </c:pt>
                <c:pt idx="1548">
                  <c:v>2.0755279999999998</c:v>
                </c:pt>
                <c:pt idx="1549">
                  <c:v>2.6327259999999999</c:v>
                </c:pt>
                <c:pt idx="1550">
                  <c:v>3.7229070000000002</c:v>
                </c:pt>
                <c:pt idx="1551">
                  <c:v>6.3440060000000003</c:v>
                </c:pt>
                <c:pt idx="1552">
                  <c:v>8.1017200000000003</c:v>
                </c:pt>
                <c:pt idx="1553">
                  <c:v>7.1148709999999999</c:v>
                </c:pt>
                <c:pt idx="1554">
                  <c:v>5.0706499999999997</c:v>
                </c:pt>
                <c:pt idx="1555">
                  <c:v>5.931883</c:v>
                </c:pt>
                <c:pt idx="1556">
                  <c:v>5.261444</c:v>
                </c:pt>
                <c:pt idx="1557">
                  <c:v>5.2445940000000002</c:v>
                </c:pt>
                <c:pt idx="1558">
                  <c:v>4.08385</c:v>
                </c:pt>
                <c:pt idx="1559">
                  <c:v>4.5511699999999999</c:v>
                </c:pt>
                <c:pt idx="1560">
                  <c:v>5.1141589999999999</c:v>
                </c:pt>
                <c:pt idx="1561">
                  <c:v>3.7389450000000002</c:v>
                </c:pt>
                <c:pt idx="1562">
                  <c:v>3.0119929999999999</c:v>
                </c:pt>
                <c:pt idx="1563">
                  <c:v>3.1654360000000001</c:v>
                </c:pt>
                <c:pt idx="1564">
                  <c:v>3.0189339999999998</c:v>
                </c:pt>
                <c:pt idx="1565">
                  <c:v>2.8067739999999999</c:v>
                </c:pt>
                <c:pt idx="1566">
                  <c:v>2.6950090000000002</c:v>
                </c:pt>
                <c:pt idx="1567">
                  <c:v>4.818759</c:v>
                </c:pt>
                <c:pt idx="1568">
                  <c:v>2.8368370000000001</c:v>
                </c:pt>
                <c:pt idx="1569">
                  <c:v>4.7283920000000004</c:v>
                </c:pt>
                <c:pt idx="1570">
                  <c:v>2.7203620000000002</c:v>
                </c:pt>
                <c:pt idx="1571">
                  <c:v>2.972842</c:v>
                </c:pt>
                <c:pt idx="1572">
                  <c:v>2.9605939999999999</c:v>
                </c:pt>
                <c:pt idx="1573">
                  <c:v>2.8282419999999999</c:v>
                </c:pt>
                <c:pt idx="1574">
                  <c:v>2.2620809999999998</c:v>
                </c:pt>
                <c:pt idx="1575">
                  <c:v>5.0129140000000003</c:v>
                </c:pt>
                <c:pt idx="1576">
                  <c:v>2.5771999999999999</c:v>
                </c:pt>
                <c:pt idx="1577">
                  <c:v>4.2269439999999996</c:v>
                </c:pt>
                <c:pt idx="1578">
                  <c:v>4.9797409999999998</c:v>
                </c:pt>
                <c:pt idx="1579">
                  <c:v>3.8697309999999998</c:v>
                </c:pt>
                <c:pt idx="1580">
                  <c:v>2.5054319999999999</c:v>
                </c:pt>
                <c:pt idx="1581">
                  <c:v>2.2066119999999998</c:v>
                </c:pt>
                <c:pt idx="1582">
                  <c:v>1.9285000000000001</c:v>
                </c:pt>
                <c:pt idx="1583">
                  <c:v>2.9404940000000002</c:v>
                </c:pt>
                <c:pt idx="1584">
                  <c:v>1.9951589999999999</c:v>
                </c:pt>
                <c:pt idx="1585">
                  <c:v>3.1820919999999999</c:v>
                </c:pt>
                <c:pt idx="1586">
                  <c:v>5.2178810000000002</c:v>
                </c:pt>
                <c:pt idx="1587">
                  <c:v>1.850061</c:v>
                </c:pt>
                <c:pt idx="1588">
                  <c:v>3.3111709999999999</c:v>
                </c:pt>
                <c:pt idx="1589">
                  <c:v>2.5462050000000001</c:v>
                </c:pt>
                <c:pt idx="1590">
                  <c:v>2.3145419999999999</c:v>
                </c:pt>
                <c:pt idx="1591">
                  <c:v>2.3570820000000001</c:v>
                </c:pt>
                <c:pt idx="1592">
                  <c:v>4.004429</c:v>
                </c:pt>
                <c:pt idx="1593">
                  <c:v>2.9737140000000002</c:v>
                </c:pt>
                <c:pt idx="1594">
                  <c:v>3.3472759999999999</c:v>
                </c:pt>
                <c:pt idx="1595">
                  <c:v>3.161718</c:v>
                </c:pt>
                <c:pt idx="1596">
                  <c:v>2.4494829999999999</c:v>
                </c:pt>
                <c:pt idx="1597">
                  <c:v>2.4887990000000002</c:v>
                </c:pt>
                <c:pt idx="1598">
                  <c:v>3.3440829999999999</c:v>
                </c:pt>
                <c:pt idx="1599">
                  <c:v>2.6334719999999998</c:v>
                </c:pt>
                <c:pt idx="1600">
                  <c:v>2.646693</c:v>
                </c:pt>
                <c:pt idx="1601">
                  <c:v>3.018669</c:v>
                </c:pt>
                <c:pt idx="1602">
                  <c:v>2.325609</c:v>
                </c:pt>
                <c:pt idx="1603">
                  <c:v>3.046999</c:v>
                </c:pt>
                <c:pt idx="1604">
                  <c:v>5.915705</c:v>
                </c:pt>
                <c:pt idx="1605">
                  <c:v>15.83081</c:v>
                </c:pt>
                <c:pt idx="1606">
                  <c:v>7.1783789999999996</c:v>
                </c:pt>
                <c:pt idx="1607">
                  <c:v>6.3729829999999996</c:v>
                </c:pt>
                <c:pt idx="1608">
                  <c:v>4.1958029999999997</c:v>
                </c:pt>
                <c:pt idx="1609">
                  <c:v>3.627345</c:v>
                </c:pt>
                <c:pt idx="1610">
                  <c:v>2.6193089999999999</c:v>
                </c:pt>
                <c:pt idx="1611">
                  <c:v>2.5790549999999999</c:v>
                </c:pt>
                <c:pt idx="1612">
                  <c:v>3.2261320000000002</c:v>
                </c:pt>
                <c:pt idx="1613">
                  <c:v>4.1607180000000001</c:v>
                </c:pt>
                <c:pt idx="1614">
                  <c:v>2.2529889999999999</c:v>
                </c:pt>
                <c:pt idx="1615">
                  <c:v>3.4121190000000001</c:v>
                </c:pt>
                <c:pt idx="1616">
                  <c:v>3.0897890000000001</c:v>
                </c:pt>
                <c:pt idx="1617">
                  <c:v>3.3353890000000002</c:v>
                </c:pt>
                <c:pt idx="1618">
                  <c:v>3.014961</c:v>
                </c:pt>
                <c:pt idx="1619">
                  <c:v>4.4772910000000001</c:v>
                </c:pt>
                <c:pt idx="1620">
                  <c:v>4.0739080000000003</c:v>
                </c:pt>
                <c:pt idx="1621">
                  <c:v>2.2786019999999998</c:v>
                </c:pt>
                <c:pt idx="1622">
                  <c:v>2.5687549999999999</c:v>
                </c:pt>
                <c:pt idx="1623">
                  <c:v>3.0465360000000001</c:v>
                </c:pt>
                <c:pt idx="1624">
                  <c:v>3.060924</c:v>
                </c:pt>
                <c:pt idx="1625">
                  <c:v>4.231471</c:v>
                </c:pt>
                <c:pt idx="1626">
                  <c:v>3.2626559999999998</c:v>
                </c:pt>
                <c:pt idx="1627">
                  <c:v>3.2108720000000002</c:v>
                </c:pt>
                <c:pt idx="1628">
                  <c:v>2.9950709999999998</c:v>
                </c:pt>
                <c:pt idx="1629">
                  <c:v>4.1401479999999999</c:v>
                </c:pt>
                <c:pt idx="1630">
                  <c:v>3.3453430000000002</c:v>
                </c:pt>
                <c:pt idx="1631">
                  <c:v>3.2977970000000001</c:v>
                </c:pt>
                <c:pt idx="1632">
                  <c:v>2.5901700000000001</c:v>
                </c:pt>
                <c:pt idx="1633">
                  <c:v>3.7933370000000002</c:v>
                </c:pt>
                <c:pt idx="1634">
                  <c:v>3.2828270000000002</c:v>
                </c:pt>
                <c:pt idx="1635">
                  <c:v>1.8252550000000001</c:v>
                </c:pt>
                <c:pt idx="1636">
                  <c:v>3.067831</c:v>
                </c:pt>
                <c:pt idx="1637">
                  <c:v>3.711071</c:v>
                </c:pt>
                <c:pt idx="1638">
                  <c:v>3.5307729999999999</c:v>
                </c:pt>
                <c:pt idx="1639">
                  <c:v>3.5985779999999998</c:v>
                </c:pt>
                <c:pt idx="1640">
                  <c:v>3.4379940000000002</c:v>
                </c:pt>
                <c:pt idx="1641">
                  <c:v>2.9788009999999998</c:v>
                </c:pt>
                <c:pt idx="1642">
                  <c:v>3.4803850000000001</c:v>
                </c:pt>
                <c:pt idx="1643">
                  <c:v>3.9533109999999998</c:v>
                </c:pt>
                <c:pt idx="1644">
                  <c:v>4.8241860000000001</c:v>
                </c:pt>
                <c:pt idx="1645">
                  <c:v>2.5349699999999999</c:v>
                </c:pt>
                <c:pt idx="1646">
                  <c:v>3.0493250000000001</c:v>
                </c:pt>
                <c:pt idx="1647">
                  <c:v>2.9075470000000001</c:v>
                </c:pt>
                <c:pt idx="1648">
                  <c:v>3.1023529999999999</c:v>
                </c:pt>
                <c:pt idx="1649">
                  <c:v>3.866717</c:v>
                </c:pt>
                <c:pt idx="1650">
                  <c:v>7.1120720000000004</c:v>
                </c:pt>
                <c:pt idx="1651">
                  <c:v>2.8031679999999999</c:v>
                </c:pt>
                <c:pt idx="1652">
                  <c:v>1.2020869999999999</c:v>
                </c:pt>
                <c:pt idx="1653">
                  <c:v>2.130706</c:v>
                </c:pt>
                <c:pt idx="1654">
                  <c:v>2.7527059999999999</c:v>
                </c:pt>
                <c:pt idx="1655">
                  <c:v>4.1189369999999998</c:v>
                </c:pt>
                <c:pt idx="1656">
                  <c:v>3.7780119999999999</c:v>
                </c:pt>
                <c:pt idx="1657">
                  <c:v>3.1488330000000002</c:v>
                </c:pt>
                <c:pt idx="1658">
                  <c:v>2.3736760000000001</c:v>
                </c:pt>
                <c:pt idx="1659">
                  <c:v>2.4263050000000002</c:v>
                </c:pt>
                <c:pt idx="1660">
                  <c:v>3.2759680000000002</c:v>
                </c:pt>
                <c:pt idx="1661">
                  <c:v>4.3461400000000001</c:v>
                </c:pt>
                <c:pt idx="1662">
                  <c:v>3.7328299999999999</c:v>
                </c:pt>
                <c:pt idx="1663">
                  <c:v>3.2556409999999998</c:v>
                </c:pt>
                <c:pt idx="1664">
                  <c:v>3.5315720000000002</c:v>
                </c:pt>
                <c:pt idx="1665">
                  <c:v>3.6834579999999999</c:v>
                </c:pt>
                <c:pt idx="1666">
                  <c:v>4.0459519999999998</c:v>
                </c:pt>
                <c:pt idx="1667">
                  <c:v>4.3209109999999997</c:v>
                </c:pt>
                <c:pt idx="1668">
                  <c:v>5.6233360000000001</c:v>
                </c:pt>
                <c:pt idx="1669">
                  <c:v>7.2440790000000002</c:v>
                </c:pt>
                <c:pt idx="1670">
                  <c:v>16.470431000000001</c:v>
                </c:pt>
                <c:pt idx="1671">
                  <c:v>5.6577900000000003</c:v>
                </c:pt>
                <c:pt idx="1672">
                  <c:v>5.5801889999999998</c:v>
                </c:pt>
                <c:pt idx="1673">
                  <c:v>4.1665619999999999</c:v>
                </c:pt>
                <c:pt idx="1674">
                  <c:v>3.4515570000000002</c:v>
                </c:pt>
                <c:pt idx="1675">
                  <c:v>3.0547140000000002</c:v>
                </c:pt>
                <c:pt idx="1676">
                  <c:v>5.057906</c:v>
                </c:pt>
                <c:pt idx="1677">
                  <c:v>18.99456</c:v>
                </c:pt>
                <c:pt idx="1678">
                  <c:v>8.8875019999999996</c:v>
                </c:pt>
                <c:pt idx="1679">
                  <c:v>5.6209660000000001</c:v>
                </c:pt>
                <c:pt idx="1680">
                  <c:v>14.386823</c:v>
                </c:pt>
                <c:pt idx="1681">
                  <c:v>8.4005449999999993</c:v>
                </c:pt>
                <c:pt idx="1682">
                  <c:v>6.4234289999999996</c:v>
                </c:pt>
                <c:pt idx="1683">
                  <c:v>5.2398069999999999</c:v>
                </c:pt>
                <c:pt idx="1684">
                  <c:v>3.8351120000000001</c:v>
                </c:pt>
                <c:pt idx="1685">
                  <c:v>4.4380069999999998</c:v>
                </c:pt>
                <c:pt idx="1686">
                  <c:v>3.820697</c:v>
                </c:pt>
                <c:pt idx="1687">
                  <c:v>6.0992439999999997</c:v>
                </c:pt>
                <c:pt idx="1688">
                  <c:v>3.3435139999999999</c:v>
                </c:pt>
                <c:pt idx="1689">
                  <c:v>2.7332770000000002</c:v>
                </c:pt>
                <c:pt idx="1690">
                  <c:v>2.880709</c:v>
                </c:pt>
                <c:pt idx="1691">
                  <c:v>3.537258</c:v>
                </c:pt>
                <c:pt idx="1692">
                  <c:v>5.4524080000000001</c:v>
                </c:pt>
                <c:pt idx="1693">
                  <c:v>6.2115470000000004</c:v>
                </c:pt>
                <c:pt idx="1694">
                  <c:v>5.4095370000000003</c:v>
                </c:pt>
                <c:pt idx="1695">
                  <c:v>8.421125</c:v>
                </c:pt>
                <c:pt idx="1696">
                  <c:v>13.012228</c:v>
                </c:pt>
                <c:pt idx="1697">
                  <c:v>8.5314150000000009</c:v>
                </c:pt>
                <c:pt idx="1698">
                  <c:v>7.8960679999999996</c:v>
                </c:pt>
                <c:pt idx="1699">
                  <c:v>4.9963699999999998</c:v>
                </c:pt>
                <c:pt idx="1700">
                  <c:v>5.4462270000000004</c:v>
                </c:pt>
                <c:pt idx="1701">
                  <c:v>8.1932569999999991</c:v>
                </c:pt>
                <c:pt idx="1702">
                  <c:v>10.757486999999999</c:v>
                </c:pt>
                <c:pt idx="1703">
                  <c:v>11.410688</c:v>
                </c:pt>
                <c:pt idx="1704">
                  <c:v>8.4510380000000005</c:v>
                </c:pt>
                <c:pt idx="1705">
                  <c:v>12.512655000000001</c:v>
                </c:pt>
                <c:pt idx="1706">
                  <c:v>12.502113</c:v>
                </c:pt>
                <c:pt idx="1707">
                  <c:v>10.567959999999999</c:v>
                </c:pt>
                <c:pt idx="1708">
                  <c:v>9.2583380000000002</c:v>
                </c:pt>
                <c:pt idx="1709">
                  <c:v>8.7724600000000006</c:v>
                </c:pt>
                <c:pt idx="1710">
                  <c:v>8.3965209999999999</c:v>
                </c:pt>
                <c:pt idx="1711">
                  <c:v>10.546455</c:v>
                </c:pt>
                <c:pt idx="1712">
                  <c:v>9.729393</c:v>
                </c:pt>
                <c:pt idx="1713">
                  <c:v>7.9739440000000004</c:v>
                </c:pt>
                <c:pt idx="1714">
                  <c:v>8.6540470000000003</c:v>
                </c:pt>
                <c:pt idx="1715">
                  <c:v>7.1580519999999996</c:v>
                </c:pt>
                <c:pt idx="1716">
                  <c:v>6.423038</c:v>
                </c:pt>
                <c:pt idx="1717">
                  <c:v>5.5645410000000002</c:v>
                </c:pt>
                <c:pt idx="1718">
                  <c:v>6.3466760000000004</c:v>
                </c:pt>
                <c:pt idx="1719">
                  <c:v>6.1129470000000001</c:v>
                </c:pt>
                <c:pt idx="1720">
                  <c:v>6.3286740000000004</c:v>
                </c:pt>
                <c:pt idx="1721">
                  <c:v>4.5387500000000003</c:v>
                </c:pt>
                <c:pt idx="1722">
                  <c:v>7.0341930000000001</c:v>
                </c:pt>
                <c:pt idx="1723">
                  <c:v>5.5953290000000004</c:v>
                </c:pt>
                <c:pt idx="1724">
                  <c:v>5.1586410000000003</c:v>
                </c:pt>
                <c:pt idx="1725">
                  <c:v>5.5768149999999999</c:v>
                </c:pt>
                <c:pt idx="1726">
                  <c:v>5.119713</c:v>
                </c:pt>
                <c:pt idx="1727">
                  <c:v>5.08866</c:v>
                </c:pt>
                <c:pt idx="1728">
                  <c:v>5.6373410000000002</c:v>
                </c:pt>
                <c:pt idx="1729">
                  <c:v>6.4575560000000003</c:v>
                </c:pt>
                <c:pt idx="1730">
                  <c:v>4.965992</c:v>
                </c:pt>
                <c:pt idx="1731">
                  <c:v>8.1817360000000008</c:v>
                </c:pt>
                <c:pt idx="1732">
                  <c:v>14.349031999999999</c:v>
                </c:pt>
                <c:pt idx="1733">
                  <c:v>7.0878690000000004</c:v>
                </c:pt>
                <c:pt idx="1734">
                  <c:v>6.881615</c:v>
                </c:pt>
                <c:pt idx="1735">
                  <c:v>4.9873459999999996</c:v>
                </c:pt>
                <c:pt idx="1736">
                  <c:v>4.9238059999999999</c:v>
                </c:pt>
                <c:pt idx="1737">
                  <c:v>4.7781440000000002</c:v>
                </c:pt>
                <c:pt idx="1738">
                  <c:v>5.2575789999999998</c:v>
                </c:pt>
                <c:pt idx="1739">
                  <c:v>6.635783</c:v>
                </c:pt>
                <c:pt idx="1740">
                  <c:v>4.925535</c:v>
                </c:pt>
                <c:pt idx="1741">
                  <c:v>4.0178770000000004</c:v>
                </c:pt>
                <c:pt idx="1742">
                  <c:v>3.899416</c:v>
                </c:pt>
                <c:pt idx="1743">
                  <c:v>3.8645890000000001</c:v>
                </c:pt>
                <c:pt idx="1744">
                  <c:v>4.4143280000000003</c:v>
                </c:pt>
                <c:pt idx="1745">
                  <c:v>5.0039389999999999</c:v>
                </c:pt>
                <c:pt idx="1746">
                  <c:v>3.5352760000000001</c:v>
                </c:pt>
                <c:pt idx="1747">
                  <c:v>4.7844569999999997</c:v>
                </c:pt>
                <c:pt idx="1748">
                  <c:v>5.8828129999999996</c:v>
                </c:pt>
                <c:pt idx="1749">
                  <c:v>5.2593730000000001</c:v>
                </c:pt>
                <c:pt idx="1750">
                  <c:v>4.7863300000000004</c:v>
                </c:pt>
                <c:pt idx="1751">
                  <c:v>4.2075930000000001</c:v>
                </c:pt>
                <c:pt idx="1752">
                  <c:v>3.241117</c:v>
                </c:pt>
                <c:pt idx="1753">
                  <c:v>3.8408579999999999</c:v>
                </c:pt>
                <c:pt idx="1754">
                  <c:v>4.0008629999999998</c:v>
                </c:pt>
                <c:pt idx="1755">
                  <c:v>4.180771</c:v>
                </c:pt>
                <c:pt idx="1756">
                  <c:v>5.4692819999999998</c:v>
                </c:pt>
                <c:pt idx="1757">
                  <c:v>5.7274960000000004</c:v>
                </c:pt>
                <c:pt idx="1758">
                  <c:v>3.9163770000000002</c:v>
                </c:pt>
                <c:pt idx="1759">
                  <c:v>7.9304670000000002</c:v>
                </c:pt>
                <c:pt idx="1760">
                  <c:v>2.8832939999999998</c:v>
                </c:pt>
                <c:pt idx="1761">
                  <c:v>2.978056</c:v>
                </c:pt>
                <c:pt idx="1762">
                  <c:v>3.9177460000000002</c:v>
                </c:pt>
                <c:pt idx="1763">
                  <c:v>3.8647849999999999</c:v>
                </c:pt>
                <c:pt idx="1764">
                  <c:v>5.8929600000000004</c:v>
                </c:pt>
                <c:pt idx="1765">
                  <c:v>5.3704689999999999</c:v>
                </c:pt>
                <c:pt idx="1766">
                  <c:v>5.3936440000000001</c:v>
                </c:pt>
                <c:pt idx="1767">
                  <c:v>4.7348350000000003</c:v>
                </c:pt>
                <c:pt idx="1768">
                  <c:v>11.763629</c:v>
                </c:pt>
                <c:pt idx="1769">
                  <c:v>6.2203270000000002</c:v>
                </c:pt>
                <c:pt idx="1770">
                  <c:v>5.1512399999999996</c:v>
                </c:pt>
                <c:pt idx="1771">
                  <c:v>5.6090869999999997</c:v>
                </c:pt>
                <c:pt idx="1772">
                  <c:v>3.1568360000000002</c:v>
                </c:pt>
                <c:pt idx="1773">
                  <c:v>2.8653620000000002</c:v>
                </c:pt>
                <c:pt idx="1774">
                  <c:v>8.0923540000000003</c:v>
                </c:pt>
                <c:pt idx="1775">
                  <c:v>4.7734990000000002</c:v>
                </c:pt>
                <c:pt idx="1776">
                  <c:v>6.6326049999999999</c:v>
                </c:pt>
                <c:pt idx="1777">
                  <c:v>6.7509899999999998</c:v>
                </c:pt>
                <c:pt idx="1778">
                  <c:v>6.1306260000000004</c:v>
                </c:pt>
                <c:pt idx="1779">
                  <c:v>10.750107</c:v>
                </c:pt>
                <c:pt idx="1780">
                  <c:v>4.1594879999999996</c:v>
                </c:pt>
                <c:pt idx="1781">
                  <c:v>3.9194689999999999</c:v>
                </c:pt>
                <c:pt idx="1782">
                  <c:v>4.6557649999999997</c:v>
                </c:pt>
                <c:pt idx="1783">
                  <c:v>3.7469579999999998</c:v>
                </c:pt>
                <c:pt idx="1784">
                  <c:v>4.045439</c:v>
                </c:pt>
                <c:pt idx="1785">
                  <c:v>4.2783069999999999</c:v>
                </c:pt>
                <c:pt idx="1786">
                  <c:v>5.192806</c:v>
                </c:pt>
                <c:pt idx="1787">
                  <c:v>4.7629910000000004</c:v>
                </c:pt>
                <c:pt idx="1788">
                  <c:v>4.2857050000000001</c:v>
                </c:pt>
                <c:pt idx="1789">
                  <c:v>4.6506509999999999</c:v>
                </c:pt>
                <c:pt idx="1790">
                  <c:v>4.5343970000000002</c:v>
                </c:pt>
                <c:pt idx="1791">
                  <c:v>4.4733999999999998</c:v>
                </c:pt>
                <c:pt idx="1792">
                  <c:v>4.3309170000000003</c:v>
                </c:pt>
                <c:pt idx="1793">
                  <c:v>3.9884599999999999</c:v>
                </c:pt>
                <c:pt idx="1794">
                  <c:v>9.9276680000000006</c:v>
                </c:pt>
                <c:pt idx="1795">
                  <c:v>15.364948</c:v>
                </c:pt>
                <c:pt idx="1796">
                  <c:v>8.1953659999999999</c:v>
                </c:pt>
                <c:pt idx="1797">
                  <c:v>4.2201360000000001</c:v>
                </c:pt>
                <c:pt idx="1798">
                  <c:v>3.5310760000000001</c:v>
                </c:pt>
                <c:pt idx="1799">
                  <c:v>3.7335470000000002</c:v>
                </c:pt>
                <c:pt idx="1800">
                  <c:v>4.1781759999999997</c:v>
                </c:pt>
                <c:pt idx="1801">
                  <c:v>2.8331409999999999</c:v>
                </c:pt>
                <c:pt idx="1802">
                  <c:v>3.9880620000000002</c:v>
                </c:pt>
                <c:pt idx="1803">
                  <c:v>5.2776519999999998</c:v>
                </c:pt>
                <c:pt idx="1804">
                  <c:v>3.5265740000000001</c:v>
                </c:pt>
                <c:pt idx="1805">
                  <c:v>3.4313660000000001</c:v>
                </c:pt>
                <c:pt idx="1806">
                  <c:v>3.6753999999999998</c:v>
                </c:pt>
                <c:pt idx="1807">
                  <c:v>3.4171309999999999</c:v>
                </c:pt>
                <c:pt idx="1808">
                  <c:v>3.6512259999999999</c:v>
                </c:pt>
                <c:pt idx="1809">
                  <c:v>3.9682949999999999</c:v>
                </c:pt>
                <c:pt idx="1810">
                  <c:v>5.0011760000000001</c:v>
                </c:pt>
                <c:pt idx="1811">
                  <c:v>3.5301770000000001</c:v>
                </c:pt>
                <c:pt idx="1812">
                  <c:v>3.1712579999999999</c:v>
                </c:pt>
                <c:pt idx="1813">
                  <c:v>2.9637530000000001</c:v>
                </c:pt>
                <c:pt idx="1814">
                  <c:v>3.3600639999999999</c:v>
                </c:pt>
                <c:pt idx="1815">
                  <c:v>2.882355</c:v>
                </c:pt>
                <c:pt idx="1816">
                  <c:v>3.7439490000000002</c:v>
                </c:pt>
                <c:pt idx="1817">
                  <c:v>2.5611640000000002</c:v>
                </c:pt>
                <c:pt idx="1818">
                  <c:v>3.3850509999999998</c:v>
                </c:pt>
                <c:pt idx="1819">
                  <c:v>4.0708159999999998</c:v>
                </c:pt>
                <c:pt idx="1820">
                  <c:v>2.977697</c:v>
                </c:pt>
                <c:pt idx="1821">
                  <c:v>3.388687</c:v>
                </c:pt>
                <c:pt idx="1822">
                  <c:v>3.4226540000000001</c:v>
                </c:pt>
                <c:pt idx="1823">
                  <c:v>3.0999400000000001</c:v>
                </c:pt>
                <c:pt idx="1824">
                  <c:v>4.8278790000000003</c:v>
                </c:pt>
                <c:pt idx="1825">
                  <c:v>3.1556229999999998</c:v>
                </c:pt>
                <c:pt idx="1826">
                  <c:v>6.5924300000000002</c:v>
                </c:pt>
                <c:pt idx="1827">
                  <c:v>5.7167500000000002</c:v>
                </c:pt>
                <c:pt idx="1828">
                  <c:v>6.0182380000000002</c:v>
                </c:pt>
                <c:pt idx="1829">
                  <c:v>5.2102919999999999</c:v>
                </c:pt>
                <c:pt idx="1830">
                  <c:v>3.7706780000000002</c:v>
                </c:pt>
                <c:pt idx="1831">
                  <c:v>3.9788049999999999</c:v>
                </c:pt>
                <c:pt idx="1832">
                  <c:v>3.5480909999999999</c:v>
                </c:pt>
                <c:pt idx="1833">
                  <c:v>3.6418870000000001</c:v>
                </c:pt>
                <c:pt idx="1834">
                  <c:v>2.9152209999999998</c:v>
                </c:pt>
                <c:pt idx="1835">
                  <c:v>3.7894580000000002</c:v>
                </c:pt>
                <c:pt idx="1836">
                  <c:v>3.171262</c:v>
                </c:pt>
                <c:pt idx="1837">
                  <c:v>5.3915699999999998</c:v>
                </c:pt>
                <c:pt idx="1838">
                  <c:v>5.3114410000000003</c:v>
                </c:pt>
                <c:pt idx="1839">
                  <c:v>2.9578090000000001</c:v>
                </c:pt>
                <c:pt idx="1840">
                  <c:v>3.9393980000000002</c:v>
                </c:pt>
                <c:pt idx="1841">
                  <c:v>3.54616</c:v>
                </c:pt>
                <c:pt idx="1842">
                  <c:v>2.9536859999999998</c:v>
                </c:pt>
                <c:pt idx="1843">
                  <c:v>3.509576</c:v>
                </c:pt>
                <c:pt idx="1844">
                  <c:v>2.1305640000000001</c:v>
                </c:pt>
                <c:pt idx="1845">
                  <c:v>3.2612350000000001</c:v>
                </c:pt>
                <c:pt idx="1846">
                  <c:v>3.2116609999999999</c:v>
                </c:pt>
                <c:pt idx="1847">
                  <c:v>2.9252280000000002</c:v>
                </c:pt>
                <c:pt idx="1848">
                  <c:v>3.0509490000000001</c:v>
                </c:pt>
                <c:pt idx="1849">
                  <c:v>3.8722650000000001</c:v>
                </c:pt>
                <c:pt idx="1850">
                  <c:v>2.8156629999999998</c:v>
                </c:pt>
                <c:pt idx="1851">
                  <c:v>25.288926</c:v>
                </c:pt>
                <c:pt idx="1852">
                  <c:v>8.3537040000000005</c:v>
                </c:pt>
                <c:pt idx="1853">
                  <c:v>4.6351149999999999</c:v>
                </c:pt>
                <c:pt idx="1854">
                  <c:v>5.4060879999999996</c:v>
                </c:pt>
                <c:pt idx="1855">
                  <c:v>3.7301389999999999</c:v>
                </c:pt>
                <c:pt idx="1856">
                  <c:v>3.3893010000000001</c:v>
                </c:pt>
                <c:pt idx="1857">
                  <c:v>4.7143199999999998</c:v>
                </c:pt>
                <c:pt idx="1858">
                  <c:v>7.4787350000000004</c:v>
                </c:pt>
                <c:pt idx="1859">
                  <c:v>21.501073000000002</c:v>
                </c:pt>
                <c:pt idx="1860">
                  <c:v>9.7553079999999994</c:v>
                </c:pt>
                <c:pt idx="1861">
                  <c:v>7.8581580000000004</c:v>
                </c:pt>
                <c:pt idx="1862">
                  <c:v>3.8933620000000002</c:v>
                </c:pt>
                <c:pt idx="1863">
                  <c:v>7.2033659999999999</c:v>
                </c:pt>
                <c:pt idx="1864">
                  <c:v>5.9361059999999997</c:v>
                </c:pt>
                <c:pt idx="1865">
                  <c:v>9.4273209999999992</c:v>
                </c:pt>
                <c:pt idx="1866">
                  <c:v>6.7602409999999997</c:v>
                </c:pt>
                <c:pt idx="1867">
                  <c:v>7.9238819999999999</c:v>
                </c:pt>
                <c:pt idx="1868">
                  <c:v>5.3114970000000001</c:v>
                </c:pt>
                <c:pt idx="1869">
                  <c:v>4.2042869999999999</c:v>
                </c:pt>
                <c:pt idx="1870">
                  <c:v>5.800071</c:v>
                </c:pt>
                <c:pt idx="1871">
                  <c:v>4.9022059999999996</c:v>
                </c:pt>
                <c:pt idx="1872">
                  <c:v>5.2491709999999996</c:v>
                </c:pt>
                <c:pt idx="1873">
                  <c:v>8.9921520000000008</c:v>
                </c:pt>
                <c:pt idx="1874">
                  <c:v>5.6227559999999999</c:v>
                </c:pt>
                <c:pt idx="1875">
                  <c:v>4.2896010000000002</c:v>
                </c:pt>
                <c:pt idx="1876">
                  <c:v>6.5007989999999998</c:v>
                </c:pt>
                <c:pt idx="1877">
                  <c:v>4.6835120000000003</c:v>
                </c:pt>
                <c:pt idx="1878">
                  <c:v>5.2933849999999998</c:v>
                </c:pt>
                <c:pt idx="1879">
                  <c:v>4.134455</c:v>
                </c:pt>
                <c:pt idx="1880">
                  <c:v>4.6068280000000001</c:v>
                </c:pt>
                <c:pt idx="1881">
                  <c:v>3.439648</c:v>
                </c:pt>
                <c:pt idx="1882">
                  <c:v>5.0245930000000003</c:v>
                </c:pt>
                <c:pt idx="1883">
                  <c:v>5.655119</c:v>
                </c:pt>
                <c:pt idx="1884">
                  <c:v>7.7590060000000003</c:v>
                </c:pt>
                <c:pt idx="1885">
                  <c:v>4.1358940000000004</c:v>
                </c:pt>
                <c:pt idx="1886">
                  <c:v>2.091186</c:v>
                </c:pt>
                <c:pt idx="1887">
                  <c:v>5.9879910000000001</c:v>
                </c:pt>
                <c:pt idx="1888">
                  <c:v>5.3120570000000003</c:v>
                </c:pt>
                <c:pt idx="1889">
                  <c:v>3.6907369999999999</c:v>
                </c:pt>
                <c:pt idx="1890">
                  <c:v>4.5481610000000003</c:v>
                </c:pt>
                <c:pt idx="1891">
                  <c:v>5.5227599999999999</c:v>
                </c:pt>
                <c:pt idx="1892">
                  <c:v>8.3185000000000002</c:v>
                </c:pt>
                <c:pt idx="1893">
                  <c:v>5.3950240000000003</c:v>
                </c:pt>
                <c:pt idx="1894">
                  <c:v>6.5135170000000002</c:v>
                </c:pt>
                <c:pt idx="1895">
                  <c:v>4.803172</c:v>
                </c:pt>
                <c:pt idx="1896">
                  <c:v>4.4814160000000003</c:v>
                </c:pt>
                <c:pt idx="1897">
                  <c:v>5.0500230000000004</c:v>
                </c:pt>
                <c:pt idx="1898">
                  <c:v>4.3596009999999996</c:v>
                </c:pt>
                <c:pt idx="1899">
                  <c:v>4.5300960000000003</c:v>
                </c:pt>
                <c:pt idx="1900">
                  <c:v>3.7879619999999998</c:v>
                </c:pt>
                <c:pt idx="1901">
                  <c:v>7.5528449999999996</c:v>
                </c:pt>
                <c:pt idx="1902">
                  <c:v>6.1156709999999999</c:v>
                </c:pt>
                <c:pt idx="1903">
                  <c:v>4.3377569999999999</c:v>
                </c:pt>
                <c:pt idx="1904">
                  <c:v>2.693889</c:v>
                </c:pt>
                <c:pt idx="1905">
                  <c:v>1.7611220000000001</c:v>
                </c:pt>
                <c:pt idx="1906">
                  <c:v>3.6152220000000002</c:v>
                </c:pt>
                <c:pt idx="1907">
                  <c:v>3.4870070000000002</c:v>
                </c:pt>
                <c:pt idx="1908">
                  <c:v>3.3804940000000001</c:v>
                </c:pt>
                <c:pt idx="1909">
                  <c:v>3.5746959999999999</c:v>
                </c:pt>
                <c:pt idx="1910">
                  <c:v>5.1791609999999997</c:v>
                </c:pt>
                <c:pt idx="1911">
                  <c:v>6.1146190000000002</c:v>
                </c:pt>
                <c:pt idx="1912">
                  <c:v>7.9567399999999999</c:v>
                </c:pt>
                <c:pt idx="1913">
                  <c:v>4.5073819999999998</c:v>
                </c:pt>
                <c:pt idx="1914">
                  <c:v>4.6764869999999998</c:v>
                </c:pt>
                <c:pt idx="1915">
                  <c:v>5.6024659999999997</c:v>
                </c:pt>
                <c:pt idx="1916">
                  <c:v>3.7492130000000001</c:v>
                </c:pt>
                <c:pt idx="1917">
                  <c:v>7.6777389999999999</c:v>
                </c:pt>
                <c:pt idx="1918">
                  <c:v>7.5031800000000004</c:v>
                </c:pt>
                <c:pt idx="1919">
                  <c:v>4.9055059999999999</c:v>
                </c:pt>
                <c:pt idx="1920">
                  <c:v>5.3979559999999998</c:v>
                </c:pt>
                <c:pt idx="1921">
                  <c:v>5.5987049999999998</c:v>
                </c:pt>
                <c:pt idx="1922">
                  <c:v>12.819233000000001</c:v>
                </c:pt>
                <c:pt idx="1923">
                  <c:v>38.063533</c:v>
                </c:pt>
                <c:pt idx="1924">
                  <c:v>13.686391</c:v>
                </c:pt>
                <c:pt idx="1925">
                  <c:v>10.694708</c:v>
                </c:pt>
                <c:pt idx="1926">
                  <c:v>12.146540999999999</c:v>
                </c:pt>
                <c:pt idx="1927">
                  <c:v>8.0840510000000005</c:v>
                </c:pt>
                <c:pt idx="1928">
                  <c:v>11.825495999999999</c:v>
                </c:pt>
                <c:pt idx="1929">
                  <c:v>6.250508</c:v>
                </c:pt>
                <c:pt idx="1930">
                  <c:v>6.3418830000000002</c:v>
                </c:pt>
                <c:pt idx="1931">
                  <c:v>6.7153660000000004</c:v>
                </c:pt>
                <c:pt idx="1932">
                  <c:v>4.5621239999999998</c:v>
                </c:pt>
                <c:pt idx="1933">
                  <c:v>4.5657269999999999</c:v>
                </c:pt>
                <c:pt idx="1934">
                  <c:v>5.8879989999999998</c:v>
                </c:pt>
                <c:pt idx="1935">
                  <c:v>4.7170139999999998</c:v>
                </c:pt>
                <c:pt idx="1936">
                  <c:v>4.866765</c:v>
                </c:pt>
                <c:pt idx="1937">
                  <c:v>5.3815559999999998</c:v>
                </c:pt>
                <c:pt idx="1938">
                  <c:v>3.8711950000000002</c:v>
                </c:pt>
                <c:pt idx="1939">
                  <c:v>6.6397899999999996</c:v>
                </c:pt>
                <c:pt idx="1940">
                  <c:v>3.9759060000000002</c:v>
                </c:pt>
                <c:pt idx="1941">
                  <c:v>5.3991449999999999</c:v>
                </c:pt>
                <c:pt idx="1942">
                  <c:v>6.5787409999999999</c:v>
                </c:pt>
                <c:pt idx="1943">
                  <c:v>5.8792489999999997</c:v>
                </c:pt>
                <c:pt idx="1944">
                  <c:v>4.5314639999999997</c:v>
                </c:pt>
                <c:pt idx="1945">
                  <c:v>5.8199829999999997</c:v>
                </c:pt>
                <c:pt idx="1946">
                  <c:v>5.6918300000000004</c:v>
                </c:pt>
                <c:pt idx="1947">
                  <c:v>9.0509900000000005</c:v>
                </c:pt>
                <c:pt idx="1948">
                  <c:v>5.7157669999999996</c:v>
                </c:pt>
                <c:pt idx="1949">
                  <c:v>4.5242990000000001</c:v>
                </c:pt>
                <c:pt idx="1950">
                  <c:v>7.4042690000000002</c:v>
                </c:pt>
                <c:pt idx="1951">
                  <c:v>8.0684920000000009</c:v>
                </c:pt>
                <c:pt idx="1952">
                  <c:v>6.9492649999999996</c:v>
                </c:pt>
                <c:pt idx="1953">
                  <c:v>7.2391909999999999</c:v>
                </c:pt>
                <c:pt idx="1954">
                  <c:v>5.6090289999999996</c:v>
                </c:pt>
                <c:pt idx="1955">
                  <c:v>7.2478069999999999</c:v>
                </c:pt>
                <c:pt idx="1956">
                  <c:v>5.1469370000000003</c:v>
                </c:pt>
                <c:pt idx="1957">
                  <c:v>4.0101000000000004</c:v>
                </c:pt>
                <c:pt idx="1958">
                  <c:v>3.421281</c:v>
                </c:pt>
                <c:pt idx="1959">
                  <c:v>4.6531779999999996</c:v>
                </c:pt>
                <c:pt idx="1960">
                  <c:v>4.2913509999999997</c:v>
                </c:pt>
                <c:pt idx="1961">
                  <c:v>5.8356690000000002</c:v>
                </c:pt>
                <c:pt idx="1962">
                  <c:v>9.8449829999999992</c:v>
                </c:pt>
                <c:pt idx="1963">
                  <c:v>4.1649139999999996</c:v>
                </c:pt>
                <c:pt idx="1964">
                  <c:v>4.3563590000000003</c:v>
                </c:pt>
                <c:pt idx="1965">
                  <c:v>4.0050270000000001</c:v>
                </c:pt>
                <c:pt idx="1966">
                  <c:v>5.553966</c:v>
                </c:pt>
                <c:pt idx="1967">
                  <c:v>5.5675920000000003</c:v>
                </c:pt>
                <c:pt idx="1968">
                  <c:v>4.6226640000000003</c:v>
                </c:pt>
                <c:pt idx="1969">
                  <c:v>4.7903659999999997</c:v>
                </c:pt>
                <c:pt idx="1970">
                  <c:v>4.9453149999999999</c:v>
                </c:pt>
                <c:pt idx="1971">
                  <c:v>4.0741610000000001</c:v>
                </c:pt>
                <c:pt idx="1972">
                  <c:v>5.471616</c:v>
                </c:pt>
                <c:pt idx="1973">
                  <c:v>3.6209639999999998</c:v>
                </c:pt>
                <c:pt idx="1974">
                  <c:v>2.9761359999999999</c:v>
                </c:pt>
                <c:pt idx="1975">
                  <c:v>4.0872279999999996</c:v>
                </c:pt>
                <c:pt idx="1976">
                  <c:v>3.0239159999999998</c:v>
                </c:pt>
                <c:pt idx="1977">
                  <c:v>3.753959</c:v>
                </c:pt>
                <c:pt idx="1978">
                  <c:v>8.0335300000000007</c:v>
                </c:pt>
                <c:pt idx="1979">
                  <c:v>5.8680490000000001</c:v>
                </c:pt>
                <c:pt idx="1980">
                  <c:v>3.8839549999999998</c:v>
                </c:pt>
                <c:pt idx="1981">
                  <c:v>5.2917560000000003</c:v>
                </c:pt>
                <c:pt idx="1982">
                  <c:v>8.198582</c:v>
                </c:pt>
                <c:pt idx="1983">
                  <c:v>15.480579000000001</c:v>
                </c:pt>
                <c:pt idx="1984">
                  <c:v>11.909005000000001</c:v>
                </c:pt>
                <c:pt idx="1985">
                  <c:v>7.1013679999999999</c:v>
                </c:pt>
                <c:pt idx="1986">
                  <c:v>4.5567000000000002</c:v>
                </c:pt>
              </c:numCache>
            </c:numRef>
          </c:val>
          <c:extLst>
            <c:ext xmlns:c16="http://schemas.microsoft.com/office/drawing/2014/chart" uri="{C3380CC4-5D6E-409C-BE32-E72D297353CC}">
              <c16:uniqueId val="{00000000-F255-48B1-B2C2-22B5EF8D5436}"/>
            </c:ext>
          </c:extLst>
        </c:ser>
        <c:dLbls>
          <c:showLegendKey val="0"/>
          <c:showVal val="0"/>
          <c:showCatName val="0"/>
          <c:showSerName val="0"/>
          <c:showPercent val="0"/>
          <c:showBubbleSize val="0"/>
        </c:dLbls>
        <c:gapWidth val="219"/>
        <c:axId val="580956624"/>
        <c:axId val="580943728"/>
      </c:barChart>
      <c:lineChart>
        <c:grouping val="standard"/>
        <c:varyColors val="0"/>
        <c:ser>
          <c:idx val="0"/>
          <c:order val="0"/>
          <c:tx>
            <c:strRef>
              <c:f>Price_Vol!$B$1</c:f>
              <c:strCache>
                <c:ptCount val="1"/>
                <c:pt idx="0">
                  <c:v>Price</c:v>
                </c:pt>
              </c:strCache>
            </c:strRef>
          </c:tx>
          <c:spPr>
            <a:ln w="28575" cap="rnd">
              <a:solidFill>
                <a:schemeClr val="accent1"/>
              </a:solidFill>
              <a:round/>
            </a:ln>
            <a:effectLst/>
          </c:spPr>
          <c:marker>
            <c:symbol val="none"/>
          </c:marker>
          <c:cat>
            <c:numRef>
              <c:f>Price_Vol!$A$2:$A$1988</c:f>
              <c:numCache>
                <c:formatCode>m/d/yyyy</c:formatCode>
                <c:ptCount val="1987"/>
                <c:pt idx="0">
                  <c:v>41432</c:v>
                </c:pt>
                <c:pt idx="1">
                  <c:v>41435</c:v>
                </c:pt>
                <c:pt idx="2">
                  <c:v>41436</c:v>
                </c:pt>
                <c:pt idx="3">
                  <c:v>41437</c:v>
                </c:pt>
                <c:pt idx="4">
                  <c:v>41438</c:v>
                </c:pt>
                <c:pt idx="5">
                  <c:v>41439</c:v>
                </c:pt>
                <c:pt idx="6">
                  <c:v>41442</c:v>
                </c:pt>
                <c:pt idx="7">
                  <c:v>41443</c:v>
                </c:pt>
                <c:pt idx="8">
                  <c:v>41444</c:v>
                </c:pt>
                <c:pt idx="9">
                  <c:v>41445</c:v>
                </c:pt>
                <c:pt idx="10">
                  <c:v>41446</c:v>
                </c:pt>
                <c:pt idx="11">
                  <c:v>41449</c:v>
                </c:pt>
                <c:pt idx="12">
                  <c:v>41450</c:v>
                </c:pt>
                <c:pt idx="13">
                  <c:v>41451</c:v>
                </c:pt>
                <c:pt idx="14">
                  <c:v>41452</c:v>
                </c:pt>
                <c:pt idx="15">
                  <c:v>41453</c:v>
                </c:pt>
                <c:pt idx="16">
                  <c:v>41456</c:v>
                </c:pt>
                <c:pt idx="17">
                  <c:v>41457</c:v>
                </c:pt>
                <c:pt idx="18">
                  <c:v>41458</c:v>
                </c:pt>
                <c:pt idx="19">
                  <c:v>41459</c:v>
                </c:pt>
                <c:pt idx="20">
                  <c:v>41460</c:v>
                </c:pt>
                <c:pt idx="21">
                  <c:v>41463</c:v>
                </c:pt>
                <c:pt idx="22">
                  <c:v>41464</c:v>
                </c:pt>
                <c:pt idx="23">
                  <c:v>41465</c:v>
                </c:pt>
                <c:pt idx="24">
                  <c:v>41466</c:v>
                </c:pt>
                <c:pt idx="25">
                  <c:v>41467</c:v>
                </c:pt>
                <c:pt idx="26">
                  <c:v>41470</c:v>
                </c:pt>
                <c:pt idx="27">
                  <c:v>41471</c:v>
                </c:pt>
                <c:pt idx="28">
                  <c:v>41472</c:v>
                </c:pt>
                <c:pt idx="29">
                  <c:v>41473</c:v>
                </c:pt>
                <c:pt idx="30">
                  <c:v>41474</c:v>
                </c:pt>
                <c:pt idx="31">
                  <c:v>41477</c:v>
                </c:pt>
                <c:pt idx="32">
                  <c:v>41478</c:v>
                </c:pt>
                <c:pt idx="33">
                  <c:v>41479</c:v>
                </c:pt>
                <c:pt idx="34">
                  <c:v>41480</c:v>
                </c:pt>
                <c:pt idx="35">
                  <c:v>41481</c:v>
                </c:pt>
                <c:pt idx="36">
                  <c:v>41484</c:v>
                </c:pt>
                <c:pt idx="37">
                  <c:v>41485</c:v>
                </c:pt>
                <c:pt idx="38">
                  <c:v>41486</c:v>
                </c:pt>
                <c:pt idx="39">
                  <c:v>41487</c:v>
                </c:pt>
                <c:pt idx="40">
                  <c:v>41488</c:v>
                </c:pt>
                <c:pt idx="41">
                  <c:v>41491</c:v>
                </c:pt>
                <c:pt idx="42">
                  <c:v>41492</c:v>
                </c:pt>
                <c:pt idx="43">
                  <c:v>41493</c:v>
                </c:pt>
                <c:pt idx="44">
                  <c:v>41494</c:v>
                </c:pt>
                <c:pt idx="45">
                  <c:v>41495</c:v>
                </c:pt>
                <c:pt idx="46">
                  <c:v>41498</c:v>
                </c:pt>
                <c:pt idx="47">
                  <c:v>41499</c:v>
                </c:pt>
                <c:pt idx="48">
                  <c:v>41500</c:v>
                </c:pt>
                <c:pt idx="49">
                  <c:v>41501</c:v>
                </c:pt>
                <c:pt idx="50">
                  <c:v>41502</c:v>
                </c:pt>
                <c:pt idx="51">
                  <c:v>41505</c:v>
                </c:pt>
                <c:pt idx="52">
                  <c:v>41506</c:v>
                </c:pt>
                <c:pt idx="53">
                  <c:v>41507</c:v>
                </c:pt>
                <c:pt idx="54">
                  <c:v>41508</c:v>
                </c:pt>
                <c:pt idx="55">
                  <c:v>41509</c:v>
                </c:pt>
                <c:pt idx="56">
                  <c:v>41512</c:v>
                </c:pt>
                <c:pt idx="57">
                  <c:v>41513</c:v>
                </c:pt>
                <c:pt idx="58">
                  <c:v>41514</c:v>
                </c:pt>
                <c:pt idx="59">
                  <c:v>41515</c:v>
                </c:pt>
                <c:pt idx="60">
                  <c:v>41516</c:v>
                </c:pt>
                <c:pt idx="61">
                  <c:v>41520</c:v>
                </c:pt>
                <c:pt idx="62">
                  <c:v>41521</c:v>
                </c:pt>
                <c:pt idx="63">
                  <c:v>41522</c:v>
                </c:pt>
                <c:pt idx="64">
                  <c:v>41523</c:v>
                </c:pt>
                <c:pt idx="65">
                  <c:v>41526</c:v>
                </c:pt>
                <c:pt idx="66">
                  <c:v>41527</c:v>
                </c:pt>
                <c:pt idx="67">
                  <c:v>41528</c:v>
                </c:pt>
                <c:pt idx="68">
                  <c:v>41529</c:v>
                </c:pt>
                <c:pt idx="69">
                  <c:v>41530</c:v>
                </c:pt>
                <c:pt idx="70">
                  <c:v>41533</c:v>
                </c:pt>
                <c:pt idx="71">
                  <c:v>41534</c:v>
                </c:pt>
                <c:pt idx="72">
                  <c:v>41535</c:v>
                </c:pt>
                <c:pt idx="73">
                  <c:v>41536</c:v>
                </c:pt>
                <c:pt idx="74">
                  <c:v>41537</c:v>
                </c:pt>
                <c:pt idx="75">
                  <c:v>41540</c:v>
                </c:pt>
                <c:pt idx="76">
                  <c:v>41541</c:v>
                </c:pt>
                <c:pt idx="77">
                  <c:v>41542</c:v>
                </c:pt>
                <c:pt idx="78">
                  <c:v>41543</c:v>
                </c:pt>
                <c:pt idx="79">
                  <c:v>41544</c:v>
                </c:pt>
                <c:pt idx="80">
                  <c:v>41547</c:v>
                </c:pt>
                <c:pt idx="81">
                  <c:v>41548</c:v>
                </c:pt>
                <c:pt idx="82">
                  <c:v>41549</c:v>
                </c:pt>
                <c:pt idx="83">
                  <c:v>41550</c:v>
                </c:pt>
                <c:pt idx="84">
                  <c:v>41551</c:v>
                </c:pt>
                <c:pt idx="85">
                  <c:v>41554</c:v>
                </c:pt>
                <c:pt idx="86">
                  <c:v>41555</c:v>
                </c:pt>
                <c:pt idx="87">
                  <c:v>41556</c:v>
                </c:pt>
                <c:pt idx="88">
                  <c:v>41557</c:v>
                </c:pt>
                <c:pt idx="89">
                  <c:v>41558</c:v>
                </c:pt>
                <c:pt idx="90">
                  <c:v>41561</c:v>
                </c:pt>
                <c:pt idx="91">
                  <c:v>41562</c:v>
                </c:pt>
                <c:pt idx="92">
                  <c:v>41563</c:v>
                </c:pt>
                <c:pt idx="93">
                  <c:v>41564</c:v>
                </c:pt>
                <c:pt idx="94">
                  <c:v>41565</c:v>
                </c:pt>
                <c:pt idx="95">
                  <c:v>41568</c:v>
                </c:pt>
                <c:pt idx="96">
                  <c:v>41569</c:v>
                </c:pt>
                <c:pt idx="97">
                  <c:v>41570</c:v>
                </c:pt>
                <c:pt idx="98">
                  <c:v>41571</c:v>
                </c:pt>
                <c:pt idx="99">
                  <c:v>41572</c:v>
                </c:pt>
                <c:pt idx="100">
                  <c:v>41575</c:v>
                </c:pt>
                <c:pt idx="101">
                  <c:v>41576</c:v>
                </c:pt>
                <c:pt idx="102">
                  <c:v>41577</c:v>
                </c:pt>
                <c:pt idx="103">
                  <c:v>41578</c:v>
                </c:pt>
                <c:pt idx="104">
                  <c:v>41579</c:v>
                </c:pt>
                <c:pt idx="105">
                  <c:v>41582</c:v>
                </c:pt>
                <c:pt idx="106">
                  <c:v>41583</c:v>
                </c:pt>
                <c:pt idx="107">
                  <c:v>41584</c:v>
                </c:pt>
                <c:pt idx="108">
                  <c:v>41585</c:v>
                </c:pt>
                <c:pt idx="109">
                  <c:v>41586</c:v>
                </c:pt>
                <c:pt idx="110">
                  <c:v>41589</c:v>
                </c:pt>
                <c:pt idx="111">
                  <c:v>41590</c:v>
                </c:pt>
                <c:pt idx="112">
                  <c:v>41591</c:v>
                </c:pt>
                <c:pt idx="113">
                  <c:v>41592</c:v>
                </c:pt>
                <c:pt idx="114">
                  <c:v>41593</c:v>
                </c:pt>
                <c:pt idx="115">
                  <c:v>41596</c:v>
                </c:pt>
                <c:pt idx="116">
                  <c:v>41597</c:v>
                </c:pt>
                <c:pt idx="117">
                  <c:v>41598</c:v>
                </c:pt>
                <c:pt idx="118">
                  <c:v>41599</c:v>
                </c:pt>
                <c:pt idx="119">
                  <c:v>41600</c:v>
                </c:pt>
                <c:pt idx="120">
                  <c:v>41603</c:v>
                </c:pt>
                <c:pt idx="121">
                  <c:v>41604</c:v>
                </c:pt>
                <c:pt idx="122">
                  <c:v>41605</c:v>
                </c:pt>
                <c:pt idx="123">
                  <c:v>41607</c:v>
                </c:pt>
                <c:pt idx="124">
                  <c:v>41610</c:v>
                </c:pt>
                <c:pt idx="125">
                  <c:v>41611</c:v>
                </c:pt>
                <c:pt idx="126">
                  <c:v>41612</c:v>
                </c:pt>
                <c:pt idx="127">
                  <c:v>41613</c:v>
                </c:pt>
                <c:pt idx="128">
                  <c:v>41614</c:v>
                </c:pt>
                <c:pt idx="129">
                  <c:v>41617</c:v>
                </c:pt>
                <c:pt idx="130">
                  <c:v>41618</c:v>
                </c:pt>
                <c:pt idx="131">
                  <c:v>41619</c:v>
                </c:pt>
                <c:pt idx="132">
                  <c:v>41620</c:v>
                </c:pt>
                <c:pt idx="133">
                  <c:v>41621</c:v>
                </c:pt>
                <c:pt idx="134">
                  <c:v>41624</c:v>
                </c:pt>
                <c:pt idx="135">
                  <c:v>41625</c:v>
                </c:pt>
                <c:pt idx="136">
                  <c:v>41626</c:v>
                </c:pt>
                <c:pt idx="137">
                  <c:v>41627</c:v>
                </c:pt>
                <c:pt idx="138">
                  <c:v>41628</c:v>
                </c:pt>
                <c:pt idx="139">
                  <c:v>41631</c:v>
                </c:pt>
                <c:pt idx="140">
                  <c:v>41632</c:v>
                </c:pt>
                <c:pt idx="141">
                  <c:v>41634</c:v>
                </c:pt>
                <c:pt idx="142">
                  <c:v>41635</c:v>
                </c:pt>
                <c:pt idx="143">
                  <c:v>41638</c:v>
                </c:pt>
                <c:pt idx="144">
                  <c:v>41639</c:v>
                </c:pt>
                <c:pt idx="145">
                  <c:v>41641</c:v>
                </c:pt>
                <c:pt idx="146">
                  <c:v>41642</c:v>
                </c:pt>
                <c:pt idx="147">
                  <c:v>41645</c:v>
                </c:pt>
                <c:pt idx="148">
                  <c:v>41646</c:v>
                </c:pt>
                <c:pt idx="149">
                  <c:v>41647</c:v>
                </c:pt>
                <c:pt idx="150">
                  <c:v>41648</c:v>
                </c:pt>
                <c:pt idx="151">
                  <c:v>41649</c:v>
                </c:pt>
                <c:pt idx="152">
                  <c:v>41652</c:v>
                </c:pt>
                <c:pt idx="153">
                  <c:v>41653</c:v>
                </c:pt>
                <c:pt idx="154">
                  <c:v>41654</c:v>
                </c:pt>
                <c:pt idx="155">
                  <c:v>41655</c:v>
                </c:pt>
                <c:pt idx="156">
                  <c:v>41656</c:v>
                </c:pt>
                <c:pt idx="157">
                  <c:v>41660</c:v>
                </c:pt>
                <c:pt idx="158">
                  <c:v>41661</c:v>
                </c:pt>
                <c:pt idx="159">
                  <c:v>41662</c:v>
                </c:pt>
                <c:pt idx="160">
                  <c:v>41663</c:v>
                </c:pt>
                <c:pt idx="161">
                  <c:v>41666</c:v>
                </c:pt>
                <c:pt idx="162">
                  <c:v>41667</c:v>
                </c:pt>
                <c:pt idx="163">
                  <c:v>41668</c:v>
                </c:pt>
                <c:pt idx="164">
                  <c:v>41669</c:v>
                </c:pt>
                <c:pt idx="165">
                  <c:v>41670</c:v>
                </c:pt>
                <c:pt idx="166">
                  <c:v>41673</c:v>
                </c:pt>
                <c:pt idx="167">
                  <c:v>41674</c:v>
                </c:pt>
                <c:pt idx="168">
                  <c:v>41675</c:v>
                </c:pt>
                <c:pt idx="169">
                  <c:v>41676</c:v>
                </c:pt>
                <c:pt idx="170">
                  <c:v>41677</c:v>
                </c:pt>
                <c:pt idx="171">
                  <c:v>41680</c:v>
                </c:pt>
                <c:pt idx="172">
                  <c:v>41681</c:v>
                </c:pt>
                <c:pt idx="173">
                  <c:v>41682</c:v>
                </c:pt>
                <c:pt idx="174">
                  <c:v>41683</c:v>
                </c:pt>
                <c:pt idx="175">
                  <c:v>41684</c:v>
                </c:pt>
                <c:pt idx="176">
                  <c:v>41688</c:v>
                </c:pt>
                <c:pt idx="177">
                  <c:v>41689</c:v>
                </c:pt>
                <c:pt idx="178">
                  <c:v>41690</c:v>
                </c:pt>
                <c:pt idx="179">
                  <c:v>41691</c:v>
                </c:pt>
                <c:pt idx="180">
                  <c:v>41694</c:v>
                </c:pt>
                <c:pt idx="181">
                  <c:v>41695</c:v>
                </c:pt>
                <c:pt idx="182">
                  <c:v>41696</c:v>
                </c:pt>
                <c:pt idx="183">
                  <c:v>41697</c:v>
                </c:pt>
                <c:pt idx="184">
                  <c:v>41698</c:v>
                </c:pt>
                <c:pt idx="185">
                  <c:v>41701</c:v>
                </c:pt>
                <c:pt idx="186">
                  <c:v>41702</c:v>
                </c:pt>
                <c:pt idx="187">
                  <c:v>41703</c:v>
                </c:pt>
                <c:pt idx="188">
                  <c:v>41704</c:v>
                </c:pt>
                <c:pt idx="189">
                  <c:v>41705</c:v>
                </c:pt>
                <c:pt idx="190">
                  <c:v>41708</c:v>
                </c:pt>
                <c:pt idx="191">
                  <c:v>41709</c:v>
                </c:pt>
                <c:pt idx="192">
                  <c:v>41710</c:v>
                </c:pt>
                <c:pt idx="193">
                  <c:v>41711</c:v>
                </c:pt>
                <c:pt idx="194">
                  <c:v>41712</c:v>
                </c:pt>
                <c:pt idx="195">
                  <c:v>41715</c:v>
                </c:pt>
                <c:pt idx="196">
                  <c:v>41716</c:v>
                </c:pt>
                <c:pt idx="197">
                  <c:v>41717</c:v>
                </c:pt>
                <c:pt idx="198">
                  <c:v>41718</c:v>
                </c:pt>
                <c:pt idx="199">
                  <c:v>41719</c:v>
                </c:pt>
                <c:pt idx="200">
                  <c:v>41722</c:v>
                </c:pt>
                <c:pt idx="201">
                  <c:v>41723</c:v>
                </c:pt>
                <c:pt idx="202">
                  <c:v>41724</c:v>
                </c:pt>
                <c:pt idx="203">
                  <c:v>41725</c:v>
                </c:pt>
                <c:pt idx="204">
                  <c:v>41726</c:v>
                </c:pt>
                <c:pt idx="205">
                  <c:v>41729</c:v>
                </c:pt>
                <c:pt idx="206">
                  <c:v>41730</c:v>
                </c:pt>
                <c:pt idx="207">
                  <c:v>41731</c:v>
                </c:pt>
                <c:pt idx="208">
                  <c:v>41732</c:v>
                </c:pt>
                <c:pt idx="209">
                  <c:v>41733</c:v>
                </c:pt>
                <c:pt idx="210">
                  <c:v>41736</c:v>
                </c:pt>
                <c:pt idx="211">
                  <c:v>41737</c:v>
                </c:pt>
                <c:pt idx="212">
                  <c:v>41738</c:v>
                </c:pt>
                <c:pt idx="213">
                  <c:v>41739</c:v>
                </c:pt>
                <c:pt idx="214">
                  <c:v>41740</c:v>
                </c:pt>
                <c:pt idx="215">
                  <c:v>41743</c:v>
                </c:pt>
                <c:pt idx="216">
                  <c:v>41744</c:v>
                </c:pt>
                <c:pt idx="217">
                  <c:v>41745</c:v>
                </c:pt>
                <c:pt idx="218">
                  <c:v>41746</c:v>
                </c:pt>
                <c:pt idx="219">
                  <c:v>41750</c:v>
                </c:pt>
                <c:pt idx="220">
                  <c:v>41751</c:v>
                </c:pt>
                <c:pt idx="221">
                  <c:v>41752</c:v>
                </c:pt>
                <c:pt idx="222">
                  <c:v>41753</c:v>
                </c:pt>
                <c:pt idx="223">
                  <c:v>41754</c:v>
                </c:pt>
                <c:pt idx="224">
                  <c:v>41757</c:v>
                </c:pt>
                <c:pt idx="225">
                  <c:v>41758</c:v>
                </c:pt>
                <c:pt idx="226">
                  <c:v>41759</c:v>
                </c:pt>
                <c:pt idx="227">
                  <c:v>41760</c:v>
                </c:pt>
                <c:pt idx="228">
                  <c:v>41761</c:v>
                </c:pt>
                <c:pt idx="229">
                  <c:v>41764</c:v>
                </c:pt>
                <c:pt idx="230">
                  <c:v>41765</c:v>
                </c:pt>
                <c:pt idx="231">
                  <c:v>41766</c:v>
                </c:pt>
                <c:pt idx="232">
                  <c:v>41767</c:v>
                </c:pt>
                <c:pt idx="233">
                  <c:v>41768</c:v>
                </c:pt>
                <c:pt idx="234">
                  <c:v>41771</c:v>
                </c:pt>
                <c:pt idx="235">
                  <c:v>41772</c:v>
                </c:pt>
                <c:pt idx="236">
                  <c:v>41773</c:v>
                </c:pt>
                <c:pt idx="237">
                  <c:v>41774</c:v>
                </c:pt>
                <c:pt idx="238">
                  <c:v>41775</c:v>
                </c:pt>
                <c:pt idx="239">
                  <c:v>41778</c:v>
                </c:pt>
                <c:pt idx="240">
                  <c:v>41779</c:v>
                </c:pt>
                <c:pt idx="241">
                  <c:v>41780</c:v>
                </c:pt>
                <c:pt idx="242">
                  <c:v>41781</c:v>
                </c:pt>
                <c:pt idx="243">
                  <c:v>41782</c:v>
                </c:pt>
                <c:pt idx="244">
                  <c:v>41786</c:v>
                </c:pt>
                <c:pt idx="245">
                  <c:v>41787</c:v>
                </c:pt>
                <c:pt idx="246">
                  <c:v>41788</c:v>
                </c:pt>
                <c:pt idx="247">
                  <c:v>41789</c:v>
                </c:pt>
                <c:pt idx="248">
                  <c:v>41792</c:v>
                </c:pt>
                <c:pt idx="249">
                  <c:v>41793</c:v>
                </c:pt>
                <c:pt idx="250">
                  <c:v>41794</c:v>
                </c:pt>
                <c:pt idx="251">
                  <c:v>41795</c:v>
                </c:pt>
                <c:pt idx="252">
                  <c:v>41796</c:v>
                </c:pt>
                <c:pt idx="253">
                  <c:v>41799</c:v>
                </c:pt>
                <c:pt idx="254">
                  <c:v>41800</c:v>
                </c:pt>
                <c:pt idx="255">
                  <c:v>41801</c:v>
                </c:pt>
                <c:pt idx="256">
                  <c:v>41802</c:v>
                </c:pt>
                <c:pt idx="257">
                  <c:v>41803</c:v>
                </c:pt>
                <c:pt idx="258">
                  <c:v>41806</c:v>
                </c:pt>
                <c:pt idx="259">
                  <c:v>41807</c:v>
                </c:pt>
                <c:pt idx="260">
                  <c:v>41808</c:v>
                </c:pt>
                <c:pt idx="261">
                  <c:v>41809</c:v>
                </c:pt>
                <c:pt idx="262">
                  <c:v>41810</c:v>
                </c:pt>
                <c:pt idx="263">
                  <c:v>41813</c:v>
                </c:pt>
                <c:pt idx="264">
                  <c:v>41814</c:v>
                </c:pt>
                <c:pt idx="265">
                  <c:v>41815</c:v>
                </c:pt>
                <c:pt idx="266">
                  <c:v>41816</c:v>
                </c:pt>
                <c:pt idx="267">
                  <c:v>41817</c:v>
                </c:pt>
                <c:pt idx="268">
                  <c:v>41820</c:v>
                </c:pt>
                <c:pt idx="269">
                  <c:v>41821</c:v>
                </c:pt>
                <c:pt idx="270">
                  <c:v>41822</c:v>
                </c:pt>
                <c:pt idx="271">
                  <c:v>41823</c:v>
                </c:pt>
                <c:pt idx="272">
                  <c:v>41827</c:v>
                </c:pt>
                <c:pt idx="273">
                  <c:v>41828</c:v>
                </c:pt>
                <c:pt idx="274">
                  <c:v>41829</c:v>
                </c:pt>
                <c:pt idx="275">
                  <c:v>41830</c:v>
                </c:pt>
                <c:pt idx="276">
                  <c:v>41831</c:v>
                </c:pt>
                <c:pt idx="277">
                  <c:v>41834</c:v>
                </c:pt>
                <c:pt idx="278">
                  <c:v>41835</c:v>
                </c:pt>
                <c:pt idx="279">
                  <c:v>41836</c:v>
                </c:pt>
                <c:pt idx="280">
                  <c:v>41837</c:v>
                </c:pt>
                <c:pt idx="281">
                  <c:v>41838</c:v>
                </c:pt>
                <c:pt idx="282">
                  <c:v>41841</c:v>
                </c:pt>
                <c:pt idx="283">
                  <c:v>41842</c:v>
                </c:pt>
                <c:pt idx="284">
                  <c:v>41843</c:v>
                </c:pt>
                <c:pt idx="285">
                  <c:v>41844</c:v>
                </c:pt>
                <c:pt idx="286">
                  <c:v>41845</c:v>
                </c:pt>
                <c:pt idx="287">
                  <c:v>41848</c:v>
                </c:pt>
                <c:pt idx="288">
                  <c:v>41849</c:v>
                </c:pt>
                <c:pt idx="289">
                  <c:v>41850</c:v>
                </c:pt>
                <c:pt idx="290">
                  <c:v>41851</c:v>
                </c:pt>
                <c:pt idx="291">
                  <c:v>41852</c:v>
                </c:pt>
                <c:pt idx="292">
                  <c:v>41855</c:v>
                </c:pt>
                <c:pt idx="293">
                  <c:v>41856</c:v>
                </c:pt>
                <c:pt idx="294">
                  <c:v>41857</c:v>
                </c:pt>
                <c:pt idx="295">
                  <c:v>41858</c:v>
                </c:pt>
                <c:pt idx="296">
                  <c:v>41859</c:v>
                </c:pt>
                <c:pt idx="297">
                  <c:v>41862</c:v>
                </c:pt>
                <c:pt idx="298">
                  <c:v>41863</c:v>
                </c:pt>
                <c:pt idx="299">
                  <c:v>41864</c:v>
                </c:pt>
                <c:pt idx="300">
                  <c:v>41865</c:v>
                </c:pt>
                <c:pt idx="301">
                  <c:v>41866</c:v>
                </c:pt>
                <c:pt idx="302">
                  <c:v>41869</c:v>
                </c:pt>
                <c:pt idx="303">
                  <c:v>41870</c:v>
                </c:pt>
                <c:pt idx="304">
                  <c:v>41871</c:v>
                </c:pt>
                <c:pt idx="305">
                  <c:v>41872</c:v>
                </c:pt>
                <c:pt idx="306">
                  <c:v>41873</c:v>
                </c:pt>
                <c:pt idx="307">
                  <c:v>41876</c:v>
                </c:pt>
                <c:pt idx="308">
                  <c:v>41877</c:v>
                </c:pt>
                <c:pt idx="309">
                  <c:v>41878</c:v>
                </c:pt>
                <c:pt idx="310">
                  <c:v>41879</c:v>
                </c:pt>
                <c:pt idx="311">
                  <c:v>41880</c:v>
                </c:pt>
                <c:pt idx="312">
                  <c:v>41883</c:v>
                </c:pt>
                <c:pt idx="313">
                  <c:v>41884</c:v>
                </c:pt>
                <c:pt idx="314">
                  <c:v>41885</c:v>
                </c:pt>
                <c:pt idx="315">
                  <c:v>41886</c:v>
                </c:pt>
                <c:pt idx="316">
                  <c:v>41887</c:v>
                </c:pt>
                <c:pt idx="317">
                  <c:v>41890</c:v>
                </c:pt>
                <c:pt idx="318">
                  <c:v>41891</c:v>
                </c:pt>
                <c:pt idx="319">
                  <c:v>41892</c:v>
                </c:pt>
                <c:pt idx="320">
                  <c:v>41893</c:v>
                </c:pt>
                <c:pt idx="321">
                  <c:v>41894</c:v>
                </c:pt>
                <c:pt idx="322">
                  <c:v>41897</c:v>
                </c:pt>
                <c:pt idx="323">
                  <c:v>41898</c:v>
                </c:pt>
                <c:pt idx="324">
                  <c:v>41899</c:v>
                </c:pt>
                <c:pt idx="325">
                  <c:v>41900</c:v>
                </c:pt>
                <c:pt idx="326">
                  <c:v>41901</c:v>
                </c:pt>
                <c:pt idx="327">
                  <c:v>41904</c:v>
                </c:pt>
                <c:pt idx="328">
                  <c:v>41905</c:v>
                </c:pt>
                <c:pt idx="329">
                  <c:v>41906</c:v>
                </c:pt>
                <c:pt idx="330">
                  <c:v>41907</c:v>
                </c:pt>
                <c:pt idx="331">
                  <c:v>41908</c:v>
                </c:pt>
                <c:pt idx="332">
                  <c:v>41911</c:v>
                </c:pt>
                <c:pt idx="333">
                  <c:v>41912</c:v>
                </c:pt>
                <c:pt idx="334">
                  <c:v>41913</c:v>
                </c:pt>
                <c:pt idx="335">
                  <c:v>41914</c:v>
                </c:pt>
                <c:pt idx="336">
                  <c:v>41915</c:v>
                </c:pt>
                <c:pt idx="337">
                  <c:v>41918</c:v>
                </c:pt>
                <c:pt idx="338">
                  <c:v>41919</c:v>
                </c:pt>
                <c:pt idx="339">
                  <c:v>41920</c:v>
                </c:pt>
                <c:pt idx="340">
                  <c:v>41921</c:v>
                </c:pt>
                <c:pt idx="341">
                  <c:v>41922</c:v>
                </c:pt>
                <c:pt idx="342">
                  <c:v>41925</c:v>
                </c:pt>
                <c:pt idx="343">
                  <c:v>41926</c:v>
                </c:pt>
                <c:pt idx="344">
                  <c:v>41927</c:v>
                </c:pt>
                <c:pt idx="345">
                  <c:v>41928</c:v>
                </c:pt>
                <c:pt idx="346">
                  <c:v>41929</c:v>
                </c:pt>
                <c:pt idx="347">
                  <c:v>41932</c:v>
                </c:pt>
                <c:pt idx="348">
                  <c:v>41933</c:v>
                </c:pt>
                <c:pt idx="349">
                  <c:v>41934</c:v>
                </c:pt>
                <c:pt idx="350">
                  <c:v>41935</c:v>
                </c:pt>
                <c:pt idx="351">
                  <c:v>41936</c:v>
                </c:pt>
                <c:pt idx="352">
                  <c:v>41939</c:v>
                </c:pt>
                <c:pt idx="353">
                  <c:v>41940</c:v>
                </c:pt>
                <c:pt idx="354">
                  <c:v>41941</c:v>
                </c:pt>
                <c:pt idx="355">
                  <c:v>41942</c:v>
                </c:pt>
                <c:pt idx="356">
                  <c:v>41943</c:v>
                </c:pt>
                <c:pt idx="357">
                  <c:v>41946</c:v>
                </c:pt>
                <c:pt idx="358">
                  <c:v>41947</c:v>
                </c:pt>
                <c:pt idx="359">
                  <c:v>41948</c:v>
                </c:pt>
                <c:pt idx="360">
                  <c:v>41949</c:v>
                </c:pt>
                <c:pt idx="361">
                  <c:v>41950</c:v>
                </c:pt>
                <c:pt idx="362">
                  <c:v>41953</c:v>
                </c:pt>
                <c:pt idx="363">
                  <c:v>41954</c:v>
                </c:pt>
                <c:pt idx="364">
                  <c:v>41955</c:v>
                </c:pt>
                <c:pt idx="365">
                  <c:v>41956</c:v>
                </c:pt>
                <c:pt idx="366">
                  <c:v>41957</c:v>
                </c:pt>
                <c:pt idx="367">
                  <c:v>41960</c:v>
                </c:pt>
                <c:pt idx="368">
                  <c:v>41961</c:v>
                </c:pt>
                <c:pt idx="369">
                  <c:v>41962</c:v>
                </c:pt>
                <c:pt idx="370">
                  <c:v>41963</c:v>
                </c:pt>
                <c:pt idx="371">
                  <c:v>41964</c:v>
                </c:pt>
                <c:pt idx="372">
                  <c:v>41967</c:v>
                </c:pt>
                <c:pt idx="373">
                  <c:v>41968</c:v>
                </c:pt>
                <c:pt idx="374">
                  <c:v>41969</c:v>
                </c:pt>
                <c:pt idx="375">
                  <c:v>41970</c:v>
                </c:pt>
                <c:pt idx="376">
                  <c:v>41971</c:v>
                </c:pt>
                <c:pt idx="377">
                  <c:v>41974</c:v>
                </c:pt>
                <c:pt idx="378">
                  <c:v>41975</c:v>
                </c:pt>
                <c:pt idx="379">
                  <c:v>41976</c:v>
                </c:pt>
                <c:pt idx="380">
                  <c:v>41977</c:v>
                </c:pt>
                <c:pt idx="381">
                  <c:v>41978</c:v>
                </c:pt>
                <c:pt idx="382">
                  <c:v>41981</c:v>
                </c:pt>
                <c:pt idx="383">
                  <c:v>41982</c:v>
                </c:pt>
                <c:pt idx="384">
                  <c:v>41983</c:v>
                </c:pt>
                <c:pt idx="385">
                  <c:v>41984</c:v>
                </c:pt>
                <c:pt idx="386">
                  <c:v>41985</c:v>
                </c:pt>
                <c:pt idx="387">
                  <c:v>41988</c:v>
                </c:pt>
                <c:pt idx="388">
                  <c:v>41989</c:v>
                </c:pt>
                <c:pt idx="389">
                  <c:v>41990</c:v>
                </c:pt>
                <c:pt idx="390">
                  <c:v>41991</c:v>
                </c:pt>
                <c:pt idx="391">
                  <c:v>41992</c:v>
                </c:pt>
                <c:pt idx="392">
                  <c:v>41995</c:v>
                </c:pt>
                <c:pt idx="393">
                  <c:v>41996</c:v>
                </c:pt>
                <c:pt idx="394">
                  <c:v>41997</c:v>
                </c:pt>
                <c:pt idx="395">
                  <c:v>41999</c:v>
                </c:pt>
                <c:pt idx="396">
                  <c:v>42002</c:v>
                </c:pt>
                <c:pt idx="397">
                  <c:v>42003</c:v>
                </c:pt>
                <c:pt idx="398">
                  <c:v>42004</c:v>
                </c:pt>
                <c:pt idx="399">
                  <c:v>42006</c:v>
                </c:pt>
                <c:pt idx="400">
                  <c:v>42009</c:v>
                </c:pt>
                <c:pt idx="401">
                  <c:v>42010</c:v>
                </c:pt>
                <c:pt idx="402">
                  <c:v>42011</c:v>
                </c:pt>
                <c:pt idx="403">
                  <c:v>42012</c:v>
                </c:pt>
                <c:pt idx="404">
                  <c:v>42013</c:v>
                </c:pt>
                <c:pt idx="405">
                  <c:v>42016</c:v>
                </c:pt>
                <c:pt idx="406">
                  <c:v>42017</c:v>
                </c:pt>
                <c:pt idx="407">
                  <c:v>42018</c:v>
                </c:pt>
                <c:pt idx="408">
                  <c:v>42019</c:v>
                </c:pt>
                <c:pt idx="409">
                  <c:v>42020</c:v>
                </c:pt>
                <c:pt idx="410">
                  <c:v>42024</c:v>
                </c:pt>
                <c:pt idx="411">
                  <c:v>42025</c:v>
                </c:pt>
                <c:pt idx="412">
                  <c:v>42026</c:v>
                </c:pt>
                <c:pt idx="413">
                  <c:v>42027</c:v>
                </c:pt>
                <c:pt idx="414">
                  <c:v>42030</c:v>
                </c:pt>
                <c:pt idx="415">
                  <c:v>42031</c:v>
                </c:pt>
                <c:pt idx="416">
                  <c:v>42032</c:v>
                </c:pt>
                <c:pt idx="417">
                  <c:v>42033</c:v>
                </c:pt>
                <c:pt idx="418">
                  <c:v>42034</c:v>
                </c:pt>
                <c:pt idx="419">
                  <c:v>42037</c:v>
                </c:pt>
                <c:pt idx="420">
                  <c:v>42038</c:v>
                </c:pt>
                <c:pt idx="421">
                  <c:v>42039</c:v>
                </c:pt>
                <c:pt idx="422">
                  <c:v>42040</c:v>
                </c:pt>
                <c:pt idx="423">
                  <c:v>42041</c:v>
                </c:pt>
                <c:pt idx="424">
                  <c:v>42044</c:v>
                </c:pt>
                <c:pt idx="425">
                  <c:v>42045</c:v>
                </c:pt>
                <c:pt idx="426">
                  <c:v>42046</c:v>
                </c:pt>
                <c:pt idx="427">
                  <c:v>42047</c:v>
                </c:pt>
                <c:pt idx="428">
                  <c:v>42048</c:v>
                </c:pt>
                <c:pt idx="429">
                  <c:v>42052</c:v>
                </c:pt>
                <c:pt idx="430">
                  <c:v>42053</c:v>
                </c:pt>
                <c:pt idx="431">
                  <c:v>42054</c:v>
                </c:pt>
                <c:pt idx="432">
                  <c:v>42055</c:v>
                </c:pt>
                <c:pt idx="433">
                  <c:v>42058</c:v>
                </c:pt>
                <c:pt idx="434">
                  <c:v>42059</c:v>
                </c:pt>
                <c:pt idx="435">
                  <c:v>42060</c:v>
                </c:pt>
                <c:pt idx="436">
                  <c:v>42061</c:v>
                </c:pt>
                <c:pt idx="437">
                  <c:v>42062</c:v>
                </c:pt>
                <c:pt idx="438">
                  <c:v>42065</c:v>
                </c:pt>
                <c:pt idx="439">
                  <c:v>42066</c:v>
                </c:pt>
                <c:pt idx="440">
                  <c:v>42067</c:v>
                </c:pt>
                <c:pt idx="441">
                  <c:v>42068</c:v>
                </c:pt>
                <c:pt idx="442">
                  <c:v>42069</c:v>
                </c:pt>
                <c:pt idx="443">
                  <c:v>42072</c:v>
                </c:pt>
                <c:pt idx="444">
                  <c:v>42073</c:v>
                </c:pt>
                <c:pt idx="445">
                  <c:v>42074</c:v>
                </c:pt>
                <c:pt idx="446">
                  <c:v>42075</c:v>
                </c:pt>
                <c:pt idx="447">
                  <c:v>42076</c:v>
                </c:pt>
                <c:pt idx="448">
                  <c:v>42079</c:v>
                </c:pt>
                <c:pt idx="449">
                  <c:v>42080</c:v>
                </c:pt>
                <c:pt idx="450">
                  <c:v>42081</c:v>
                </c:pt>
                <c:pt idx="451">
                  <c:v>42082</c:v>
                </c:pt>
                <c:pt idx="452">
                  <c:v>42083</c:v>
                </c:pt>
                <c:pt idx="453">
                  <c:v>42086</c:v>
                </c:pt>
                <c:pt idx="454">
                  <c:v>42087</c:v>
                </c:pt>
                <c:pt idx="455">
                  <c:v>42088</c:v>
                </c:pt>
                <c:pt idx="456">
                  <c:v>42089</c:v>
                </c:pt>
                <c:pt idx="457">
                  <c:v>42090</c:v>
                </c:pt>
                <c:pt idx="458">
                  <c:v>42093</c:v>
                </c:pt>
                <c:pt idx="459">
                  <c:v>42094</c:v>
                </c:pt>
                <c:pt idx="460">
                  <c:v>42095</c:v>
                </c:pt>
                <c:pt idx="461">
                  <c:v>42096</c:v>
                </c:pt>
                <c:pt idx="462">
                  <c:v>42100</c:v>
                </c:pt>
                <c:pt idx="463">
                  <c:v>42101</c:v>
                </c:pt>
                <c:pt idx="464">
                  <c:v>42102</c:v>
                </c:pt>
                <c:pt idx="465">
                  <c:v>42103</c:v>
                </c:pt>
                <c:pt idx="466">
                  <c:v>42104</c:v>
                </c:pt>
                <c:pt idx="467">
                  <c:v>42107</c:v>
                </c:pt>
                <c:pt idx="468">
                  <c:v>42108</c:v>
                </c:pt>
                <c:pt idx="469">
                  <c:v>42109</c:v>
                </c:pt>
                <c:pt idx="470">
                  <c:v>42110</c:v>
                </c:pt>
                <c:pt idx="471">
                  <c:v>42111</c:v>
                </c:pt>
                <c:pt idx="472">
                  <c:v>42114</c:v>
                </c:pt>
                <c:pt idx="473">
                  <c:v>42115</c:v>
                </c:pt>
                <c:pt idx="474">
                  <c:v>42116</c:v>
                </c:pt>
                <c:pt idx="475">
                  <c:v>42117</c:v>
                </c:pt>
                <c:pt idx="476">
                  <c:v>42118</c:v>
                </c:pt>
                <c:pt idx="477">
                  <c:v>42121</c:v>
                </c:pt>
                <c:pt idx="478">
                  <c:v>42122</c:v>
                </c:pt>
                <c:pt idx="479">
                  <c:v>42123</c:v>
                </c:pt>
                <c:pt idx="480">
                  <c:v>42124</c:v>
                </c:pt>
                <c:pt idx="481">
                  <c:v>42125</c:v>
                </c:pt>
                <c:pt idx="482">
                  <c:v>42128</c:v>
                </c:pt>
                <c:pt idx="483">
                  <c:v>42129</c:v>
                </c:pt>
                <c:pt idx="484">
                  <c:v>42130</c:v>
                </c:pt>
                <c:pt idx="485">
                  <c:v>42131</c:v>
                </c:pt>
                <c:pt idx="486">
                  <c:v>42132</c:v>
                </c:pt>
                <c:pt idx="487">
                  <c:v>42135</c:v>
                </c:pt>
                <c:pt idx="488">
                  <c:v>42136</c:v>
                </c:pt>
                <c:pt idx="489">
                  <c:v>42137</c:v>
                </c:pt>
                <c:pt idx="490">
                  <c:v>42138</c:v>
                </c:pt>
                <c:pt idx="491">
                  <c:v>42139</c:v>
                </c:pt>
                <c:pt idx="492">
                  <c:v>42142</c:v>
                </c:pt>
                <c:pt idx="493">
                  <c:v>42143</c:v>
                </c:pt>
                <c:pt idx="494">
                  <c:v>42144</c:v>
                </c:pt>
                <c:pt idx="495">
                  <c:v>42145</c:v>
                </c:pt>
                <c:pt idx="496">
                  <c:v>42146</c:v>
                </c:pt>
                <c:pt idx="497">
                  <c:v>42150</c:v>
                </c:pt>
                <c:pt idx="498">
                  <c:v>42151</c:v>
                </c:pt>
                <c:pt idx="499">
                  <c:v>42152</c:v>
                </c:pt>
                <c:pt idx="500">
                  <c:v>42153</c:v>
                </c:pt>
                <c:pt idx="501">
                  <c:v>42156</c:v>
                </c:pt>
                <c:pt idx="502">
                  <c:v>42157</c:v>
                </c:pt>
                <c:pt idx="503">
                  <c:v>42158</c:v>
                </c:pt>
                <c:pt idx="504">
                  <c:v>42159</c:v>
                </c:pt>
                <c:pt idx="505">
                  <c:v>42160</c:v>
                </c:pt>
                <c:pt idx="506">
                  <c:v>42163</c:v>
                </c:pt>
                <c:pt idx="507">
                  <c:v>42164</c:v>
                </c:pt>
                <c:pt idx="508">
                  <c:v>42165</c:v>
                </c:pt>
                <c:pt idx="509">
                  <c:v>42166</c:v>
                </c:pt>
                <c:pt idx="510">
                  <c:v>42167</c:v>
                </c:pt>
                <c:pt idx="511">
                  <c:v>42170</c:v>
                </c:pt>
                <c:pt idx="512">
                  <c:v>42171</c:v>
                </c:pt>
                <c:pt idx="513">
                  <c:v>42172</c:v>
                </c:pt>
                <c:pt idx="514">
                  <c:v>42173</c:v>
                </c:pt>
                <c:pt idx="515">
                  <c:v>42174</c:v>
                </c:pt>
                <c:pt idx="516">
                  <c:v>42177</c:v>
                </c:pt>
                <c:pt idx="517">
                  <c:v>42178</c:v>
                </c:pt>
                <c:pt idx="518">
                  <c:v>42179</c:v>
                </c:pt>
                <c:pt idx="519">
                  <c:v>42180</c:v>
                </c:pt>
                <c:pt idx="520">
                  <c:v>42181</c:v>
                </c:pt>
                <c:pt idx="521">
                  <c:v>42184</c:v>
                </c:pt>
                <c:pt idx="522">
                  <c:v>42185</c:v>
                </c:pt>
                <c:pt idx="523">
                  <c:v>42186</c:v>
                </c:pt>
                <c:pt idx="524">
                  <c:v>42187</c:v>
                </c:pt>
                <c:pt idx="525">
                  <c:v>42191</c:v>
                </c:pt>
                <c:pt idx="526">
                  <c:v>42192</c:v>
                </c:pt>
                <c:pt idx="527">
                  <c:v>42193</c:v>
                </c:pt>
                <c:pt idx="528">
                  <c:v>42194</c:v>
                </c:pt>
                <c:pt idx="529">
                  <c:v>42195</c:v>
                </c:pt>
                <c:pt idx="530">
                  <c:v>42198</c:v>
                </c:pt>
                <c:pt idx="531">
                  <c:v>42199</c:v>
                </c:pt>
                <c:pt idx="532">
                  <c:v>42200</c:v>
                </c:pt>
                <c:pt idx="533">
                  <c:v>42201</c:v>
                </c:pt>
                <c:pt idx="534">
                  <c:v>42202</c:v>
                </c:pt>
                <c:pt idx="535">
                  <c:v>42205</c:v>
                </c:pt>
                <c:pt idx="536">
                  <c:v>42206</c:v>
                </c:pt>
                <c:pt idx="537">
                  <c:v>42207</c:v>
                </c:pt>
                <c:pt idx="538">
                  <c:v>42208</c:v>
                </c:pt>
                <c:pt idx="539">
                  <c:v>42209</c:v>
                </c:pt>
                <c:pt idx="540">
                  <c:v>42212</c:v>
                </c:pt>
                <c:pt idx="541">
                  <c:v>42213</c:v>
                </c:pt>
                <c:pt idx="542">
                  <c:v>42214</c:v>
                </c:pt>
                <c:pt idx="543">
                  <c:v>42215</c:v>
                </c:pt>
                <c:pt idx="544">
                  <c:v>42216</c:v>
                </c:pt>
                <c:pt idx="545">
                  <c:v>42219</c:v>
                </c:pt>
                <c:pt idx="546">
                  <c:v>42220</c:v>
                </c:pt>
                <c:pt idx="547">
                  <c:v>42221</c:v>
                </c:pt>
                <c:pt idx="548">
                  <c:v>42222</c:v>
                </c:pt>
                <c:pt idx="549">
                  <c:v>42223</c:v>
                </c:pt>
                <c:pt idx="550">
                  <c:v>42226</c:v>
                </c:pt>
                <c:pt idx="551">
                  <c:v>42227</c:v>
                </c:pt>
                <c:pt idx="552">
                  <c:v>42228</c:v>
                </c:pt>
                <c:pt idx="553">
                  <c:v>42229</c:v>
                </c:pt>
                <c:pt idx="554">
                  <c:v>42230</c:v>
                </c:pt>
                <c:pt idx="555">
                  <c:v>42233</c:v>
                </c:pt>
                <c:pt idx="556">
                  <c:v>42234</c:v>
                </c:pt>
                <c:pt idx="557">
                  <c:v>42235</c:v>
                </c:pt>
                <c:pt idx="558">
                  <c:v>42236</c:v>
                </c:pt>
                <c:pt idx="559">
                  <c:v>42237</c:v>
                </c:pt>
                <c:pt idx="560">
                  <c:v>42240</c:v>
                </c:pt>
                <c:pt idx="561">
                  <c:v>42241</c:v>
                </c:pt>
                <c:pt idx="562">
                  <c:v>42242</c:v>
                </c:pt>
                <c:pt idx="563">
                  <c:v>42243</c:v>
                </c:pt>
                <c:pt idx="564">
                  <c:v>42244</c:v>
                </c:pt>
                <c:pt idx="565">
                  <c:v>42247</c:v>
                </c:pt>
                <c:pt idx="566">
                  <c:v>42248</c:v>
                </c:pt>
                <c:pt idx="567">
                  <c:v>42249</c:v>
                </c:pt>
                <c:pt idx="568">
                  <c:v>42250</c:v>
                </c:pt>
                <c:pt idx="569">
                  <c:v>42251</c:v>
                </c:pt>
                <c:pt idx="570">
                  <c:v>42255</c:v>
                </c:pt>
                <c:pt idx="571">
                  <c:v>42256</c:v>
                </c:pt>
                <c:pt idx="572">
                  <c:v>42257</c:v>
                </c:pt>
                <c:pt idx="573">
                  <c:v>42258</c:v>
                </c:pt>
                <c:pt idx="574">
                  <c:v>42261</c:v>
                </c:pt>
                <c:pt idx="575">
                  <c:v>42262</c:v>
                </c:pt>
                <c:pt idx="576">
                  <c:v>42263</c:v>
                </c:pt>
                <c:pt idx="577">
                  <c:v>42264</c:v>
                </c:pt>
                <c:pt idx="578">
                  <c:v>42265</c:v>
                </c:pt>
                <c:pt idx="579">
                  <c:v>42268</c:v>
                </c:pt>
                <c:pt idx="580">
                  <c:v>42269</c:v>
                </c:pt>
                <c:pt idx="581">
                  <c:v>42270</c:v>
                </c:pt>
                <c:pt idx="582">
                  <c:v>42271</c:v>
                </c:pt>
                <c:pt idx="583">
                  <c:v>42272</c:v>
                </c:pt>
                <c:pt idx="584">
                  <c:v>42275</c:v>
                </c:pt>
                <c:pt idx="585">
                  <c:v>42276</c:v>
                </c:pt>
                <c:pt idx="586">
                  <c:v>42277</c:v>
                </c:pt>
                <c:pt idx="587">
                  <c:v>42278</c:v>
                </c:pt>
                <c:pt idx="588">
                  <c:v>42279</c:v>
                </c:pt>
                <c:pt idx="589">
                  <c:v>42282</c:v>
                </c:pt>
                <c:pt idx="590">
                  <c:v>42283</c:v>
                </c:pt>
                <c:pt idx="591">
                  <c:v>42284</c:v>
                </c:pt>
                <c:pt idx="592">
                  <c:v>42285</c:v>
                </c:pt>
                <c:pt idx="593">
                  <c:v>42286</c:v>
                </c:pt>
                <c:pt idx="594">
                  <c:v>42289</c:v>
                </c:pt>
                <c:pt idx="595">
                  <c:v>42290</c:v>
                </c:pt>
                <c:pt idx="596">
                  <c:v>42291</c:v>
                </c:pt>
                <c:pt idx="597">
                  <c:v>42292</c:v>
                </c:pt>
                <c:pt idx="598">
                  <c:v>42293</c:v>
                </c:pt>
                <c:pt idx="599">
                  <c:v>42296</c:v>
                </c:pt>
                <c:pt idx="600">
                  <c:v>42297</c:v>
                </c:pt>
                <c:pt idx="601">
                  <c:v>42298</c:v>
                </c:pt>
                <c:pt idx="602">
                  <c:v>42299</c:v>
                </c:pt>
                <c:pt idx="603">
                  <c:v>42300</c:v>
                </c:pt>
                <c:pt idx="604">
                  <c:v>42303</c:v>
                </c:pt>
                <c:pt idx="605">
                  <c:v>42304</c:v>
                </c:pt>
                <c:pt idx="606">
                  <c:v>42305</c:v>
                </c:pt>
                <c:pt idx="607">
                  <c:v>42306</c:v>
                </c:pt>
                <c:pt idx="608">
                  <c:v>42307</c:v>
                </c:pt>
                <c:pt idx="609">
                  <c:v>42310</c:v>
                </c:pt>
                <c:pt idx="610">
                  <c:v>42311</c:v>
                </c:pt>
                <c:pt idx="611">
                  <c:v>42312</c:v>
                </c:pt>
                <c:pt idx="612">
                  <c:v>42313</c:v>
                </c:pt>
                <c:pt idx="613">
                  <c:v>42314</c:v>
                </c:pt>
                <c:pt idx="614">
                  <c:v>42317</c:v>
                </c:pt>
                <c:pt idx="615">
                  <c:v>42318</c:v>
                </c:pt>
                <c:pt idx="616">
                  <c:v>42319</c:v>
                </c:pt>
                <c:pt idx="617">
                  <c:v>42320</c:v>
                </c:pt>
                <c:pt idx="618">
                  <c:v>42321</c:v>
                </c:pt>
                <c:pt idx="619">
                  <c:v>42324</c:v>
                </c:pt>
                <c:pt idx="620">
                  <c:v>42325</c:v>
                </c:pt>
                <c:pt idx="621">
                  <c:v>42326</c:v>
                </c:pt>
                <c:pt idx="622">
                  <c:v>42327</c:v>
                </c:pt>
                <c:pt idx="623">
                  <c:v>42328</c:v>
                </c:pt>
                <c:pt idx="624">
                  <c:v>42331</c:v>
                </c:pt>
                <c:pt idx="625">
                  <c:v>42332</c:v>
                </c:pt>
                <c:pt idx="626">
                  <c:v>42333</c:v>
                </c:pt>
                <c:pt idx="627">
                  <c:v>42335</c:v>
                </c:pt>
                <c:pt idx="628">
                  <c:v>42338</c:v>
                </c:pt>
                <c:pt idx="629">
                  <c:v>42339</c:v>
                </c:pt>
                <c:pt idx="630">
                  <c:v>42340</c:v>
                </c:pt>
                <c:pt idx="631">
                  <c:v>42341</c:v>
                </c:pt>
                <c:pt idx="632">
                  <c:v>42342</c:v>
                </c:pt>
                <c:pt idx="633">
                  <c:v>42345</c:v>
                </c:pt>
                <c:pt idx="634">
                  <c:v>42346</c:v>
                </c:pt>
                <c:pt idx="635">
                  <c:v>42347</c:v>
                </c:pt>
                <c:pt idx="636">
                  <c:v>42348</c:v>
                </c:pt>
                <c:pt idx="637">
                  <c:v>42349</c:v>
                </c:pt>
                <c:pt idx="638">
                  <c:v>42352</c:v>
                </c:pt>
                <c:pt idx="639">
                  <c:v>42353</c:v>
                </c:pt>
                <c:pt idx="640">
                  <c:v>42354</c:v>
                </c:pt>
                <c:pt idx="641">
                  <c:v>42355</c:v>
                </c:pt>
                <c:pt idx="642">
                  <c:v>42356</c:v>
                </c:pt>
                <c:pt idx="643">
                  <c:v>42359</c:v>
                </c:pt>
                <c:pt idx="644">
                  <c:v>42360</c:v>
                </c:pt>
                <c:pt idx="645">
                  <c:v>42361</c:v>
                </c:pt>
                <c:pt idx="646">
                  <c:v>42362</c:v>
                </c:pt>
                <c:pt idx="647">
                  <c:v>42366</c:v>
                </c:pt>
                <c:pt idx="648">
                  <c:v>42367</c:v>
                </c:pt>
                <c:pt idx="649">
                  <c:v>42368</c:v>
                </c:pt>
                <c:pt idx="650">
                  <c:v>42369</c:v>
                </c:pt>
                <c:pt idx="651">
                  <c:v>42373</c:v>
                </c:pt>
                <c:pt idx="652">
                  <c:v>42374</c:v>
                </c:pt>
                <c:pt idx="653">
                  <c:v>42375</c:v>
                </c:pt>
                <c:pt idx="654">
                  <c:v>42376</c:v>
                </c:pt>
                <c:pt idx="655">
                  <c:v>42377</c:v>
                </c:pt>
                <c:pt idx="656">
                  <c:v>42380</c:v>
                </c:pt>
                <c:pt idx="657">
                  <c:v>42381</c:v>
                </c:pt>
                <c:pt idx="658">
                  <c:v>42382</c:v>
                </c:pt>
                <c:pt idx="659">
                  <c:v>42383</c:v>
                </c:pt>
                <c:pt idx="660">
                  <c:v>42384</c:v>
                </c:pt>
                <c:pt idx="661">
                  <c:v>42388</c:v>
                </c:pt>
                <c:pt idx="662">
                  <c:v>42389</c:v>
                </c:pt>
                <c:pt idx="663">
                  <c:v>42390</c:v>
                </c:pt>
                <c:pt idx="664">
                  <c:v>42391</c:v>
                </c:pt>
                <c:pt idx="665">
                  <c:v>42394</c:v>
                </c:pt>
                <c:pt idx="666">
                  <c:v>42395</c:v>
                </c:pt>
                <c:pt idx="667">
                  <c:v>42396</c:v>
                </c:pt>
                <c:pt idx="668">
                  <c:v>42397</c:v>
                </c:pt>
                <c:pt idx="669">
                  <c:v>42398</c:v>
                </c:pt>
                <c:pt idx="670">
                  <c:v>42401</c:v>
                </c:pt>
                <c:pt idx="671">
                  <c:v>42402</c:v>
                </c:pt>
                <c:pt idx="672">
                  <c:v>42403</c:v>
                </c:pt>
                <c:pt idx="673">
                  <c:v>42404</c:v>
                </c:pt>
                <c:pt idx="674">
                  <c:v>42405</c:v>
                </c:pt>
                <c:pt idx="675">
                  <c:v>42408</c:v>
                </c:pt>
                <c:pt idx="676">
                  <c:v>42409</c:v>
                </c:pt>
                <c:pt idx="677">
                  <c:v>42410</c:v>
                </c:pt>
                <c:pt idx="678">
                  <c:v>42411</c:v>
                </c:pt>
                <c:pt idx="679">
                  <c:v>42412</c:v>
                </c:pt>
                <c:pt idx="680">
                  <c:v>42416</c:v>
                </c:pt>
                <c:pt idx="681">
                  <c:v>42417</c:v>
                </c:pt>
                <c:pt idx="682">
                  <c:v>42418</c:v>
                </c:pt>
                <c:pt idx="683">
                  <c:v>42419</c:v>
                </c:pt>
                <c:pt idx="684">
                  <c:v>42422</c:v>
                </c:pt>
                <c:pt idx="685">
                  <c:v>42423</c:v>
                </c:pt>
                <c:pt idx="686">
                  <c:v>42424</c:v>
                </c:pt>
                <c:pt idx="687">
                  <c:v>42425</c:v>
                </c:pt>
                <c:pt idx="688">
                  <c:v>42426</c:v>
                </c:pt>
                <c:pt idx="689">
                  <c:v>42429</c:v>
                </c:pt>
                <c:pt idx="690">
                  <c:v>42430</c:v>
                </c:pt>
                <c:pt idx="691">
                  <c:v>42431</c:v>
                </c:pt>
                <c:pt idx="692">
                  <c:v>42432</c:v>
                </c:pt>
                <c:pt idx="693">
                  <c:v>42433</c:v>
                </c:pt>
                <c:pt idx="694">
                  <c:v>42436</c:v>
                </c:pt>
                <c:pt idx="695">
                  <c:v>42437</c:v>
                </c:pt>
                <c:pt idx="696">
                  <c:v>42438</c:v>
                </c:pt>
                <c:pt idx="697">
                  <c:v>42439</c:v>
                </c:pt>
                <c:pt idx="698">
                  <c:v>42440</c:v>
                </c:pt>
                <c:pt idx="699">
                  <c:v>42443</c:v>
                </c:pt>
                <c:pt idx="700">
                  <c:v>42444</c:v>
                </c:pt>
                <c:pt idx="701">
                  <c:v>42445</c:v>
                </c:pt>
                <c:pt idx="702">
                  <c:v>42446</c:v>
                </c:pt>
                <c:pt idx="703">
                  <c:v>42447</c:v>
                </c:pt>
                <c:pt idx="704">
                  <c:v>42450</c:v>
                </c:pt>
                <c:pt idx="705">
                  <c:v>42451</c:v>
                </c:pt>
                <c:pt idx="706">
                  <c:v>42452</c:v>
                </c:pt>
                <c:pt idx="707">
                  <c:v>42453</c:v>
                </c:pt>
                <c:pt idx="708">
                  <c:v>42457</c:v>
                </c:pt>
                <c:pt idx="709">
                  <c:v>42458</c:v>
                </c:pt>
                <c:pt idx="710">
                  <c:v>42459</c:v>
                </c:pt>
                <c:pt idx="711">
                  <c:v>42460</c:v>
                </c:pt>
                <c:pt idx="712">
                  <c:v>42461</c:v>
                </c:pt>
                <c:pt idx="713">
                  <c:v>42464</c:v>
                </c:pt>
                <c:pt idx="714">
                  <c:v>42465</c:v>
                </c:pt>
                <c:pt idx="715">
                  <c:v>42466</c:v>
                </c:pt>
                <c:pt idx="716">
                  <c:v>42467</c:v>
                </c:pt>
                <c:pt idx="717">
                  <c:v>42468</c:v>
                </c:pt>
                <c:pt idx="718">
                  <c:v>42471</c:v>
                </c:pt>
                <c:pt idx="719">
                  <c:v>42472</c:v>
                </c:pt>
                <c:pt idx="720">
                  <c:v>42473</c:v>
                </c:pt>
                <c:pt idx="721">
                  <c:v>42474</c:v>
                </c:pt>
                <c:pt idx="722">
                  <c:v>42475</c:v>
                </c:pt>
                <c:pt idx="723">
                  <c:v>42478</c:v>
                </c:pt>
                <c:pt idx="724">
                  <c:v>42479</c:v>
                </c:pt>
                <c:pt idx="725">
                  <c:v>42480</c:v>
                </c:pt>
                <c:pt idx="726">
                  <c:v>42481</c:v>
                </c:pt>
                <c:pt idx="727">
                  <c:v>42482</c:v>
                </c:pt>
                <c:pt idx="728">
                  <c:v>42485</c:v>
                </c:pt>
                <c:pt idx="729">
                  <c:v>42486</c:v>
                </c:pt>
                <c:pt idx="730">
                  <c:v>42487</c:v>
                </c:pt>
                <c:pt idx="731">
                  <c:v>42488</c:v>
                </c:pt>
                <c:pt idx="732">
                  <c:v>42489</c:v>
                </c:pt>
                <c:pt idx="733">
                  <c:v>42492</c:v>
                </c:pt>
                <c:pt idx="734">
                  <c:v>42493</c:v>
                </c:pt>
                <c:pt idx="735">
                  <c:v>42494</c:v>
                </c:pt>
                <c:pt idx="736">
                  <c:v>42495</c:v>
                </c:pt>
                <c:pt idx="737">
                  <c:v>42496</c:v>
                </c:pt>
                <c:pt idx="738">
                  <c:v>42499</c:v>
                </c:pt>
                <c:pt idx="739">
                  <c:v>42500</c:v>
                </c:pt>
                <c:pt idx="740">
                  <c:v>42501</c:v>
                </c:pt>
                <c:pt idx="741">
                  <c:v>42502</c:v>
                </c:pt>
                <c:pt idx="742">
                  <c:v>42503</c:v>
                </c:pt>
                <c:pt idx="743">
                  <c:v>42506</c:v>
                </c:pt>
                <c:pt idx="744">
                  <c:v>42507</c:v>
                </c:pt>
                <c:pt idx="745">
                  <c:v>42508</c:v>
                </c:pt>
                <c:pt idx="746">
                  <c:v>42509</c:v>
                </c:pt>
                <c:pt idx="747">
                  <c:v>42510</c:v>
                </c:pt>
                <c:pt idx="748">
                  <c:v>42513</c:v>
                </c:pt>
                <c:pt idx="749">
                  <c:v>42514</c:v>
                </c:pt>
                <c:pt idx="750">
                  <c:v>42515</c:v>
                </c:pt>
                <c:pt idx="751">
                  <c:v>42516</c:v>
                </c:pt>
                <c:pt idx="752">
                  <c:v>42517</c:v>
                </c:pt>
                <c:pt idx="753">
                  <c:v>42521</c:v>
                </c:pt>
                <c:pt idx="754">
                  <c:v>42522</c:v>
                </c:pt>
                <c:pt idx="755">
                  <c:v>42523</c:v>
                </c:pt>
                <c:pt idx="756">
                  <c:v>42524</c:v>
                </c:pt>
                <c:pt idx="757">
                  <c:v>42527</c:v>
                </c:pt>
                <c:pt idx="758">
                  <c:v>42528</c:v>
                </c:pt>
                <c:pt idx="759">
                  <c:v>42529</c:v>
                </c:pt>
                <c:pt idx="760">
                  <c:v>42530</c:v>
                </c:pt>
                <c:pt idx="761">
                  <c:v>42531</c:v>
                </c:pt>
                <c:pt idx="762">
                  <c:v>42534</c:v>
                </c:pt>
                <c:pt idx="763">
                  <c:v>42535</c:v>
                </c:pt>
                <c:pt idx="764">
                  <c:v>42536</c:v>
                </c:pt>
                <c:pt idx="765">
                  <c:v>42537</c:v>
                </c:pt>
                <c:pt idx="766">
                  <c:v>42538</c:v>
                </c:pt>
                <c:pt idx="767">
                  <c:v>42541</c:v>
                </c:pt>
                <c:pt idx="768">
                  <c:v>42542</c:v>
                </c:pt>
                <c:pt idx="769">
                  <c:v>42543</c:v>
                </c:pt>
                <c:pt idx="770">
                  <c:v>42544</c:v>
                </c:pt>
                <c:pt idx="771">
                  <c:v>42545</c:v>
                </c:pt>
                <c:pt idx="772">
                  <c:v>42548</c:v>
                </c:pt>
                <c:pt idx="773">
                  <c:v>42549</c:v>
                </c:pt>
                <c:pt idx="774">
                  <c:v>42550</c:v>
                </c:pt>
                <c:pt idx="775">
                  <c:v>42551</c:v>
                </c:pt>
                <c:pt idx="776">
                  <c:v>42552</c:v>
                </c:pt>
                <c:pt idx="777">
                  <c:v>42556</c:v>
                </c:pt>
                <c:pt idx="778">
                  <c:v>42557</c:v>
                </c:pt>
                <c:pt idx="779">
                  <c:v>42558</c:v>
                </c:pt>
                <c:pt idx="780">
                  <c:v>42559</c:v>
                </c:pt>
                <c:pt idx="781">
                  <c:v>42562</c:v>
                </c:pt>
                <c:pt idx="782">
                  <c:v>42563</c:v>
                </c:pt>
                <c:pt idx="783">
                  <c:v>42564</c:v>
                </c:pt>
                <c:pt idx="784">
                  <c:v>42565</c:v>
                </c:pt>
                <c:pt idx="785">
                  <c:v>42566</c:v>
                </c:pt>
                <c:pt idx="786">
                  <c:v>42569</c:v>
                </c:pt>
                <c:pt idx="787">
                  <c:v>42570</c:v>
                </c:pt>
                <c:pt idx="788">
                  <c:v>42571</c:v>
                </c:pt>
                <c:pt idx="789">
                  <c:v>42572</c:v>
                </c:pt>
                <c:pt idx="790">
                  <c:v>42573</c:v>
                </c:pt>
                <c:pt idx="791">
                  <c:v>42576</c:v>
                </c:pt>
                <c:pt idx="792">
                  <c:v>42577</c:v>
                </c:pt>
                <c:pt idx="793">
                  <c:v>42578</c:v>
                </c:pt>
                <c:pt idx="794">
                  <c:v>42579</c:v>
                </c:pt>
                <c:pt idx="795">
                  <c:v>42580</c:v>
                </c:pt>
                <c:pt idx="796">
                  <c:v>42583</c:v>
                </c:pt>
                <c:pt idx="797">
                  <c:v>42584</c:v>
                </c:pt>
                <c:pt idx="798">
                  <c:v>42585</c:v>
                </c:pt>
                <c:pt idx="799">
                  <c:v>42586</c:v>
                </c:pt>
                <c:pt idx="800">
                  <c:v>42587</c:v>
                </c:pt>
                <c:pt idx="801">
                  <c:v>42590</c:v>
                </c:pt>
                <c:pt idx="802">
                  <c:v>42591</c:v>
                </c:pt>
                <c:pt idx="803">
                  <c:v>42592</c:v>
                </c:pt>
                <c:pt idx="804">
                  <c:v>42593</c:v>
                </c:pt>
                <c:pt idx="805">
                  <c:v>42594</c:v>
                </c:pt>
                <c:pt idx="806">
                  <c:v>42597</c:v>
                </c:pt>
                <c:pt idx="807">
                  <c:v>42598</c:v>
                </c:pt>
                <c:pt idx="808">
                  <c:v>42599</c:v>
                </c:pt>
                <c:pt idx="809">
                  <c:v>42600</c:v>
                </c:pt>
                <c:pt idx="810">
                  <c:v>42601</c:v>
                </c:pt>
                <c:pt idx="811">
                  <c:v>42604</c:v>
                </c:pt>
                <c:pt idx="812">
                  <c:v>42605</c:v>
                </c:pt>
                <c:pt idx="813">
                  <c:v>42606</c:v>
                </c:pt>
                <c:pt idx="814">
                  <c:v>42607</c:v>
                </c:pt>
                <c:pt idx="815">
                  <c:v>42608</c:v>
                </c:pt>
                <c:pt idx="816">
                  <c:v>42611</c:v>
                </c:pt>
                <c:pt idx="817">
                  <c:v>42612</c:v>
                </c:pt>
                <c:pt idx="818">
                  <c:v>42613</c:v>
                </c:pt>
                <c:pt idx="819">
                  <c:v>42614</c:v>
                </c:pt>
                <c:pt idx="820">
                  <c:v>42615</c:v>
                </c:pt>
                <c:pt idx="821">
                  <c:v>42619</c:v>
                </c:pt>
                <c:pt idx="822">
                  <c:v>42620</c:v>
                </c:pt>
                <c:pt idx="823">
                  <c:v>42621</c:v>
                </c:pt>
                <c:pt idx="824">
                  <c:v>42622</c:v>
                </c:pt>
                <c:pt idx="825">
                  <c:v>42625</c:v>
                </c:pt>
                <c:pt idx="826">
                  <c:v>42626</c:v>
                </c:pt>
                <c:pt idx="827">
                  <c:v>42627</c:v>
                </c:pt>
                <c:pt idx="828">
                  <c:v>42628</c:v>
                </c:pt>
                <c:pt idx="829">
                  <c:v>42629</c:v>
                </c:pt>
                <c:pt idx="830">
                  <c:v>42632</c:v>
                </c:pt>
                <c:pt idx="831">
                  <c:v>42633</c:v>
                </c:pt>
                <c:pt idx="832">
                  <c:v>42634</c:v>
                </c:pt>
                <c:pt idx="833">
                  <c:v>42635</c:v>
                </c:pt>
                <c:pt idx="834">
                  <c:v>42636</c:v>
                </c:pt>
                <c:pt idx="835">
                  <c:v>42639</c:v>
                </c:pt>
                <c:pt idx="836">
                  <c:v>42640</c:v>
                </c:pt>
                <c:pt idx="837">
                  <c:v>42641</c:v>
                </c:pt>
                <c:pt idx="838">
                  <c:v>42642</c:v>
                </c:pt>
                <c:pt idx="839">
                  <c:v>42643</c:v>
                </c:pt>
                <c:pt idx="840">
                  <c:v>42646</c:v>
                </c:pt>
                <c:pt idx="841">
                  <c:v>42647</c:v>
                </c:pt>
                <c:pt idx="842">
                  <c:v>42648</c:v>
                </c:pt>
                <c:pt idx="843">
                  <c:v>42649</c:v>
                </c:pt>
                <c:pt idx="844">
                  <c:v>42650</c:v>
                </c:pt>
                <c:pt idx="845">
                  <c:v>42653</c:v>
                </c:pt>
                <c:pt idx="846">
                  <c:v>42654</c:v>
                </c:pt>
                <c:pt idx="847">
                  <c:v>42655</c:v>
                </c:pt>
                <c:pt idx="848">
                  <c:v>42656</c:v>
                </c:pt>
                <c:pt idx="849">
                  <c:v>42657</c:v>
                </c:pt>
                <c:pt idx="850">
                  <c:v>42660</c:v>
                </c:pt>
                <c:pt idx="851">
                  <c:v>42661</c:v>
                </c:pt>
                <c:pt idx="852">
                  <c:v>42662</c:v>
                </c:pt>
                <c:pt idx="853">
                  <c:v>42663</c:v>
                </c:pt>
                <c:pt idx="854">
                  <c:v>42664</c:v>
                </c:pt>
                <c:pt idx="855">
                  <c:v>42667</c:v>
                </c:pt>
                <c:pt idx="856">
                  <c:v>42668</c:v>
                </c:pt>
                <c:pt idx="857">
                  <c:v>42669</c:v>
                </c:pt>
                <c:pt idx="858">
                  <c:v>42670</c:v>
                </c:pt>
                <c:pt idx="859">
                  <c:v>42671</c:v>
                </c:pt>
                <c:pt idx="860">
                  <c:v>42674</c:v>
                </c:pt>
                <c:pt idx="861">
                  <c:v>42675</c:v>
                </c:pt>
                <c:pt idx="862">
                  <c:v>42676</c:v>
                </c:pt>
                <c:pt idx="863">
                  <c:v>42677</c:v>
                </c:pt>
                <c:pt idx="864">
                  <c:v>42678</c:v>
                </c:pt>
                <c:pt idx="865">
                  <c:v>42681</c:v>
                </c:pt>
                <c:pt idx="866">
                  <c:v>42682</c:v>
                </c:pt>
                <c:pt idx="867">
                  <c:v>42683</c:v>
                </c:pt>
                <c:pt idx="868">
                  <c:v>42684</c:v>
                </c:pt>
                <c:pt idx="869">
                  <c:v>42685</c:v>
                </c:pt>
                <c:pt idx="870">
                  <c:v>42688</c:v>
                </c:pt>
                <c:pt idx="871">
                  <c:v>42689</c:v>
                </c:pt>
                <c:pt idx="872">
                  <c:v>42690</c:v>
                </c:pt>
                <c:pt idx="873">
                  <c:v>42691</c:v>
                </c:pt>
                <c:pt idx="874">
                  <c:v>42692</c:v>
                </c:pt>
                <c:pt idx="875">
                  <c:v>42695</c:v>
                </c:pt>
                <c:pt idx="876">
                  <c:v>42696</c:v>
                </c:pt>
                <c:pt idx="877">
                  <c:v>42697</c:v>
                </c:pt>
                <c:pt idx="878">
                  <c:v>42699</c:v>
                </c:pt>
                <c:pt idx="879">
                  <c:v>42702</c:v>
                </c:pt>
                <c:pt idx="880">
                  <c:v>42703</c:v>
                </c:pt>
                <c:pt idx="881">
                  <c:v>42704</c:v>
                </c:pt>
                <c:pt idx="882">
                  <c:v>42705</c:v>
                </c:pt>
                <c:pt idx="883">
                  <c:v>42706</c:v>
                </c:pt>
                <c:pt idx="884">
                  <c:v>42709</c:v>
                </c:pt>
                <c:pt idx="885">
                  <c:v>42710</c:v>
                </c:pt>
                <c:pt idx="886">
                  <c:v>42711</c:v>
                </c:pt>
                <c:pt idx="887">
                  <c:v>42712</c:v>
                </c:pt>
                <c:pt idx="888">
                  <c:v>42713</c:v>
                </c:pt>
                <c:pt idx="889">
                  <c:v>42716</c:v>
                </c:pt>
                <c:pt idx="890">
                  <c:v>42717</c:v>
                </c:pt>
                <c:pt idx="891">
                  <c:v>42718</c:v>
                </c:pt>
                <c:pt idx="892">
                  <c:v>42719</c:v>
                </c:pt>
                <c:pt idx="893">
                  <c:v>42720</c:v>
                </c:pt>
                <c:pt idx="894">
                  <c:v>42723</c:v>
                </c:pt>
                <c:pt idx="895">
                  <c:v>42724</c:v>
                </c:pt>
                <c:pt idx="896">
                  <c:v>42725</c:v>
                </c:pt>
                <c:pt idx="897">
                  <c:v>42726</c:v>
                </c:pt>
                <c:pt idx="898">
                  <c:v>42727</c:v>
                </c:pt>
                <c:pt idx="899">
                  <c:v>42731</c:v>
                </c:pt>
                <c:pt idx="900">
                  <c:v>42732</c:v>
                </c:pt>
                <c:pt idx="901">
                  <c:v>42733</c:v>
                </c:pt>
                <c:pt idx="902">
                  <c:v>42734</c:v>
                </c:pt>
                <c:pt idx="903">
                  <c:v>42738</c:v>
                </c:pt>
                <c:pt idx="904">
                  <c:v>42739</c:v>
                </c:pt>
                <c:pt idx="905">
                  <c:v>42740</c:v>
                </c:pt>
                <c:pt idx="906">
                  <c:v>42741</c:v>
                </c:pt>
                <c:pt idx="907">
                  <c:v>42744</c:v>
                </c:pt>
                <c:pt idx="908">
                  <c:v>42745</c:v>
                </c:pt>
                <c:pt idx="909">
                  <c:v>42746</c:v>
                </c:pt>
                <c:pt idx="910">
                  <c:v>42747</c:v>
                </c:pt>
                <c:pt idx="911">
                  <c:v>42748</c:v>
                </c:pt>
                <c:pt idx="912">
                  <c:v>42752</c:v>
                </c:pt>
                <c:pt idx="913">
                  <c:v>42753</c:v>
                </c:pt>
                <c:pt idx="914">
                  <c:v>42754</c:v>
                </c:pt>
                <c:pt idx="915">
                  <c:v>42755</c:v>
                </c:pt>
                <c:pt idx="916">
                  <c:v>42758</c:v>
                </c:pt>
                <c:pt idx="917">
                  <c:v>42759</c:v>
                </c:pt>
                <c:pt idx="918">
                  <c:v>42760</c:v>
                </c:pt>
                <c:pt idx="919">
                  <c:v>42761</c:v>
                </c:pt>
                <c:pt idx="920">
                  <c:v>42762</c:v>
                </c:pt>
                <c:pt idx="921">
                  <c:v>42765</c:v>
                </c:pt>
                <c:pt idx="922">
                  <c:v>42766</c:v>
                </c:pt>
                <c:pt idx="923">
                  <c:v>42767</c:v>
                </c:pt>
                <c:pt idx="924">
                  <c:v>42768</c:v>
                </c:pt>
                <c:pt idx="925">
                  <c:v>42769</c:v>
                </c:pt>
                <c:pt idx="926">
                  <c:v>42772</c:v>
                </c:pt>
                <c:pt idx="927">
                  <c:v>42773</c:v>
                </c:pt>
                <c:pt idx="928">
                  <c:v>42774</c:v>
                </c:pt>
                <c:pt idx="929">
                  <c:v>42775</c:v>
                </c:pt>
                <c:pt idx="930">
                  <c:v>42776</c:v>
                </c:pt>
                <c:pt idx="931">
                  <c:v>42779</c:v>
                </c:pt>
                <c:pt idx="932">
                  <c:v>42780</c:v>
                </c:pt>
                <c:pt idx="933">
                  <c:v>42781</c:v>
                </c:pt>
                <c:pt idx="934">
                  <c:v>42782</c:v>
                </c:pt>
                <c:pt idx="935">
                  <c:v>42783</c:v>
                </c:pt>
                <c:pt idx="936">
                  <c:v>42787</c:v>
                </c:pt>
                <c:pt idx="937">
                  <c:v>42788</c:v>
                </c:pt>
                <c:pt idx="938">
                  <c:v>42789</c:v>
                </c:pt>
                <c:pt idx="939">
                  <c:v>42790</c:v>
                </c:pt>
                <c:pt idx="940">
                  <c:v>42793</c:v>
                </c:pt>
                <c:pt idx="941">
                  <c:v>42794</c:v>
                </c:pt>
                <c:pt idx="942">
                  <c:v>42795</c:v>
                </c:pt>
                <c:pt idx="943">
                  <c:v>42796</c:v>
                </c:pt>
                <c:pt idx="944">
                  <c:v>42797</c:v>
                </c:pt>
                <c:pt idx="945">
                  <c:v>42800</c:v>
                </c:pt>
                <c:pt idx="946">
                  <c:v>42801</c:v>
                </c:pt>
                <c:pt idx="947">
                  <c:v>42802</c:v>
                </c:pt>
                <c:pt idx="948">
                  <c:v>42803</c:v>
                </c:pt>
                <c:pt idx="949">
                  <c:v>42804</c:v>
                </c:pt>
                <c:pt idx="950">
                  <c:v>42807</c:v>
                </c:pt>
                <c:pt idx="951">
                  <c:v>42808</c:v>
                </c:pt>
                <c:pt idx="952">
                  <c:v>42809</c:v>
                </c:pt>
                <c:pt idx="953">
                  <c:v>42810</c:v>
                </c:pt>
                <c:pt idx="954">
                  <c:v>42811</c:v>
                </c:pt>
                <c:pt idx="955">
                  <c:v>42814</c:v>
                </c:pt>
                <c:pt idx="956">
                  <c:v>42815</c:v>
                </c:pt>
                <c:pt idx="957">
                  <c:v>42816</c:v>
                </c:pt>
                <c:pt idx="958">
                  <c:v>42817</c:v>
                </c:pt>
                <c:pt idx="959">
                  <c:v>42818</c:v>
                </c:pt>
                <c:pt idx="960">
                  <c:v>42821</c:v>
                </c:pt>
                <c:pt idx="961">
                  <c:v>42822</c:v>
                </c:pt>
                <c:pt idx="962">
                  <c:v>42823</c:v>
                </c:pt>
                <c:pt idx="963">
                  <c:v>42824</c:v>
                </c:pt>
                <c:pt idx="964">
                  <c:v>42825</c:v>
                </c:pt>
                <c:pt idx="965">
                  <c:v>42828</c:v>
                </c:pt>
                <c:pt idx="966">
                  <c:v>42829</c:v>
                </c:pt>
                <c:pt idx="967">
                  <c:v>42830</c:v>
                </c:pt>
                <c:pt idx="968">
                  <c:v>42831</c:v>
                </c:pt>
                <c:pt idx="969">
                  <c:v>42832</c:v>
                </c:pt>
                <c:pt idx="970">
                  <c:v>42835</c:v>
                </c:pt>
                <c:pt idx="971">
                  <c:v>42836</c:v>
                </c:pt>
                <c:pt idx="972">
                  <c:v>42837</c:v>
                </c:pt>
                <c:pt idx="973">
                  <c:v>42838</c:v>
                </c:pt>
                <c:pt idx="974">
                  <c:v>42842</c:v>
                </c:pt>
                <c:pt idx="975">
                  <c:v>42843</c:v>
                </c:pt>
                <c:pt idx="976">
                  <c:v>42844</c:v>
                </c:pt>
                <c:pt idx="977">
                  <c:v>42845</c:v>
                </c:pt>
                <c:pt idx="978">
                  <c:v>42846</c:v>
                </c:pt>
                <c:pt idx="979">
                  <c:v>42849</c:v>
                </c:pt>
                <c:pt idx="980">
                  <c:v>42850</c:v>
                </c:pt>
                <c:pt idx="981">
                  <c:v>42851</c:v>
                </c:pt>
                <c:pt idx="982">
                  <c:v>42852</c:v>
                </c:pt>
                <c:pt idx="983">
                  <c:v>42853</c:v>
                </c:pt>
                <c:pt idx="984">
                  <c:v>42856</c:v>
                </c:pt>
                <c:pt idx="985">
                  <c:v>42857</c:v>
                </c:pt>
                <c:pt idx="986">
                  <c:v>42858</c:v>
                </c:pt>
                <c:pt idx="987">
                  <c:v>42859</c:v>
                </c:pt>
                <c:pt idx="988">
                  <c:v>42860</c:v>
                </c:pt>
                <c:pt idx="989">
                  <c:v>42863</c:v>
                </c:pt>
                <c:pt idx="990">
                  <c:v>42864</c:v>
                </c:pt>
                <c:pt idx="991">
                  <c:v>42865</c:v>
                </c:pt>
                <c:pt idx="992">
                  <c:v>42866</c:v>
                </c:pt>
                <c:pt idx="993">
                  <c:v>42867</c:v>
                </c:pt>
                <c:pt idx="994">
                  <c:v>42870</c:v>
                </c:pt>
                <c:pt idx="995">
                  <c:v>42871</c:v>
                </c:pt>
                <c:pt idx="996">
                  <c:v>42872</c:v>
                </c:pt>
                <c:pt idx="997">
                  <c:v>42873</c:v>
                </c:pt>
                <c:pt idx="998">
                  <c:v>42874</c:v>
                </c:pt>
                <c:pt idx="999">
                  <c:v>42877</c:v>
                </c:pt>
                <c:pt idx="1000">
                  <c:v>42878</c:v>
                </c:pt>
                <c:pt idx="1001">
                  <c:v>42879</c:v>
                </c:pt>
                <c:pt idx="1002">
                  <c:v>42880</c:v>
                </c:pt>
                <c:pt idx="1003">
                  <c:v>42881</c:v>
                </c:pt>
                <c:pt idx="1004">
                  <c:v>42885</c:v>
                </c:pt>
                <c:pt idx="1005">
                  <c:v>42886</c:v>
                </c:pt>
                <c:pt idx="1006">
                  <c:v>42887</c:v>
                </c:pt>
                <c:pt idx="1007">
                  <c:v>42888</c:v>
                </c:pt>
                <c:pt idx="1008">
                  <c:v>42891</c:v>
                </c:pt>
                <c:pt idx="1009">
                  <c:v>42892</c:v>
                </c:pt>
                <c:pt idx="1010">
                  <c:v>42893</c:v>
                </c:pt>
                <c:pt idx="1011">
                  <c:v>42894</c:v>
                </c:pt>
                <c:pt idx="1012">
                  <c:v>42895</c:v>
                </c:pt>
                <c:pt idx="1013">
                  <c:v>42898</c:v>
                </c:pt>
                <c:pt idx="1014">
                  <c:v>42899</c:v>
                </c:pt>
                <c:pt idx="1015">
                  <c:v>42900</c:v>
                </c:pt>
                <c:pt idx="1016">
                  <c:v>42901</c:v>
                </c:pt>
                <c:pt idx="1017">
                  <c:v>42902</c:v>
                </c:pt>
                <c:pt idx="1018">
                  <c:v>42905</c:v>
                </c:pt>
                <c:pt idx="1019">
                  <c:v>42906</c:v>
                </c:pt>
                <c:pt idx="1020">
                  <c:v>42907</c:v>
                </c:pt>
                <c:pt idx="1021">
                  <c:v>42908</c:v>
                </c:pt>
                <c:pt idx="1022">
                  <c:v>42909</c:v>
                </c:pt>
                <c:pt idx="1023">
                  <c:v>42912</c:v>
                </c:pt>
                <c:pt idx="1024">
                  <c:v>42913</c:v>
                </c:pt>
                <c:pt idx="1025">
                  <c:v>42914</c:v>
                </c:pt>
                <c:pt idx="1026">
                  <c:v>42915</c:v>
                </c:pt>
                <c:pt idx="1027">
                  <c:v>42916</c:v>
                </c:pt>
                <c:pt idx="1028">
                  <c:v>42919</c:v>
                </c:pt>
                <c:pt idx="1029">
                  <c:v>42921</c:v>
                </c:pt>
                <c:pt idx="1030">
                  <c:v>42922</c:v>
                </c:pt>
                <c:pt idx="1031">
                  <c:v>42923</c:v>
                </c:pt>
                <c:pt idx="1032">
                  <c:v>42926</c:v>
                </c:pt>
                <c:pt idx="1033">
                  <c:v>42927</c:v>
                </c:pt>
                <c:pt idx="1034">
                  <c:v>42928</c:v>
                </c:pt>
                <c:pt idx="1035">
                  <c:v>42929</c:v>
                </c:pt>
                <c:pt idx="1036">
                  <c:v>42930</c:v>
                </c:pt>
                <c:pt idx="1037">
                  <c:v>42933</c:v>
                </c:pt>
                <c:pt idx="1038">
                  <c:v>42934</c:v>
                </c:pt>
                <c:pt idx="1039">
                  <c:v>42935</c:v>
                </c:pt>
                <c:pt idx="1040">
                  <c:v>42936</c:v>
                </c:pt>
                <c:pt idx="1041">
                  <c:v>42937</c:v>
                </c:pt>
                <c:pt idx="1042">
                  <c:v>42940</c:v>
                </c:pt>
                <c:pt idx="1043">
                  <c:v>42941</c:v>
                </c:pt>
                <c:pt idx="1044">
                  <c:v>42942</c:v>
                </c:pt>
                <c:pt idx="1045">
                  <c:v>42943</c:v>
                </c:pt>
                <c:pt idx="1046">
                  <c:v>42944</c:v>
                </c:pt>
                <c:pt idx="1047">
                  <c:v>42947</c:v>
                </c:pt>
                <c:pt idx="1048">
                  <c:v>42948</c:v>
                </c:pt>
                <c:pt idx="1049">
                  <c:v>42949</c:v>
                </c:pt>
                <c:pt idx="1050">
                  <c:v>42950</c:v>
                </c:pt>
                <c:pt idx="1051">
                  <c:v>42951</c:v>
                </c:pt>
                <c:pt idx="1052">
                  <c:v>42954</c:v>
                </c:pt>
                <c:pt idx="1053">
                  <c:v>42955</c:v>
                </c:pt>
                <c:pt idx="1054">
                  <c:v>42956</c:v>
                </c:pt>
                <c:pt idx="1055">
                  <c:v>42957</c:v>
                </c:pt>
                <c:pt idx="1056">
                  <c:v>42958</c:v>
                </c:pt>
                <c:pt idx="1057">
                  <c:v>42961</c:v>
                </c:pt>
                <c:pt idx="1058">
                  <c:v>42962</c:v>
                </c:pt>
                <c:pt idx="1059">
                  <c:v>42963</c:v>
                </c:pt>
                <c:pt idx="1060">
                  <c:v>42964</c:v>
                </c:pt>
                <c:pt idx="1061">
                  <c:v>42965</c:v>
                </c:pt>
                <c:pt idx="1062">
                  <c:v>42968</c:v>
                </c:pt>
                <c:pt idx="1063">
                  <c:v>42969</c:v>
                </c:pt>
                <c:pt idx="1064">
                  <c:v>42970</c:v>
                </c:pt>
                <c:pt idx="1065">
                  <c:v>42971</c:v>
                </c:pt>
                <c:pt idx="1066">
                  <c:v>42972</c:v>
                </c:pt>
                <c:pt idx="1067">
                  <c:v>42975</c:v>
                </c:pt>
                <c:pt idx="1068">
                  <c:v>42976</c:v>
                </c:pt>
                <c:pt idx="1069">
                  <c:v>42977</c:v>
                </c:pt>
                <c:pt idx="1070">
                  <c:v>42978</c:v>
                </c:pt>
                <c:pt idx="1071">
                  <c:v>42979</c:v>
                </c:pt>
                <c:pt idx="1072">
                  <c:v>42983</c:v>
                </c:pt>
                <c:pt idx="1073">
                  <c:v>42984</c:v>
                </c:pt>
                <c:pt idx="1074">
                  <c:v>42985</c:v>
                </c:pt>
                <c:pt idx="1075">
                  <c:v>42986</c:v>
                </c:pt>
                <c:pt idx="1076">
                  <c:v>42989</c:v>
                </c:pt>
                <c:pt idx="1077">
                  <c:v>42990</c:v>
                </c:pt>
                <c:pt idx="1078">
                  <c:v>42991</c:v>
                </c:pt>
                <c:pt idx="1079">
                  <c:v>42992</c:v>
                </c:pt>
                <c:pt idx="1080">
                  <c:v>42993</c:v>
                </c:pt>
                <c:pt idx="1081">
                  <c:v>42996</c:v>
                </c:pt>
                <c:pt idx="1082">
                  <c:v>42997</c:v>
                </c:pt>
                <c:pt idx="1083">
                  <c:v>42998</c:v>
                </c:pt>
                <c:pt idx="1084">
                  <c:v>42999</c:v>
                </c:pt>
                <c:pt idx="1085">
                  <c:v>43000</c:v>
                </c:pt>
                <c:pt idx="1086">
                  <c:v>43003</c:v>
                </c:pt>
                <c:pt idx="1087">
                  <c:v>43004</c:v>
                </c:pt>
                <c:pt idx="1088">
                  <c:v>43005</c:v>
                </c:pt>
                <c:pt idx="1089">
                  <c:v>43006</c:v>
                </c:pt>
                <c:pt idx="1090">
                  <c:v>43007</c:v>
                </c:pt>
                <c:pt idx="1091">
                  <c:v>43010</c:v>
                </c:pt>
                <c:pt idx="1092">
                  <c:v>43011</c:v>
                </c:pt>
                <c:pt idx="1093">
                  <c:v>43012</c:v>
                </c:pt>
                <c:pt idx="1094">
                  <c:v>43013</c:v>
                </c:pt>
                <c:pt idx="1095">
                  <c:v>43014</c:v>
                </c:pt>
                <c:pt idx="1096">
                  <c:v>43017</c:v>
                </c:pt>
                <c:pt idx="1097">
                  <c:v>43018</c:v>
                </c:pt>
                <c:pt idx="1098">
                  <c:v>43019</c:v>
                </c:pt>
                <c:pt idx="1099">
                  <c:v>43020</c:v>
                </c:pt>
                <c:pt idx="1100">
                  <c:v>43021</c:v>
                </c:pt>
                <c:pt idx="1101">
                  <c:v>43024</c:v>
                </c:pt>
                <c:pt idx="1102">
                  <c:v>43025</c:v>
                </c:pt>
                <c:pt idx="1103">
                  <c:v>43026</c:v>
                </c:pt>
                <c:pt idx="1104">
                  <c:v>43027</c:v>
                </c:pt>
                <c:pt idx="1105">
                  <c:v>43028</c:v>
                </c:pt>
                <c:pt idx="1106">
                  <c:v>43031</c:v>
                </c:pt>
                <c:pt idx="1107">
                  <c:v>43032</c:v>
                </c:pt>
                <c:pt idx="1108">
                  <c:v>43033</c:v>
                </c:pt>
                <c:pt idx="1109">
                  <c:v>43034</c:v>
                </c:pt>
                <c:pt idx="1110">
                  <c:v>43035</c:v>
                </c:pt>
                <c:pt idx="1111">
                  <c:v>43038</c:v>
                </c:pt>
                <c:pt idx="1112">
                  <c:v>43039</c:v>
                </c:pt>
                <c:pt idx="1113">
                  <c:v>43040</c:v>
                </c:pt>
                <c:pt idx="1114">
                  <c:v>43041</c:v>
                </c:pt>
                <c:pt idx="1115">
                  <c:v>43042</c:v>
                </c:pt>
                <c:pt idx="1116">
                  <c:v>43045</c:v>
                </c:pt>
                <c:pt idx="1117">
                  <c:v>43046</c:v>
                </c:pt>
                <c:pt idx="1118">
                  <c:v>43047</c:v>
                </c:pt>
                <c:pt idx="1119">
                  <c:v>43048</c:v>
                </c:pt>
                <c:pt idx="1120">
                  <c:v>43049</c:v>
                </c:pt>
                <c:pt idx="1121">
                  <c:v>43052</c:v>
                </c:pt>
                <c:pt idx="1122">
                  <c:v>43053</c:v>
                </c:pt>
                <c:pt idx="1123">
                  <c:v>43054</c:v>
                </c:pt>
                <c:pt idx="1124">
                  <c:v>43055</c:v>
                </c:pt>
                <c:pt idx="1125">
                  <c:v>43056</c:v>
                </c:pt>
                <c:pt idx="1126">
                  <c:v>43059</c:v>
                </c:pt>
                <c:pt idx="1127">
                  <c:v>43060</c:v>
                </c:pt>
                <c:pt idx="1128">
                  <c:v>43061</c:v>
                </c:pt>
                <c:pt idx="1129">
                  <c:v>43063</c:v>
                </c:pt>
                <c:pt idx="1130">
                  <c:v>43066</c:v>
                </c:pt>
                <c:pt idx="1131">
                  <c:v>43067</c:v>
                </c:pt>
                <c:pt idx="1132">
                  <c:v>43068</c:v>
                </c:pt>
                <c:pt idx="1133">
                  <c:v>43069</c:v>
                </c:pt>
                <c:pt idx="1134">
                  <c:v>43070</c:v>
                </c:pt>
                <c:pt idx="1135">
                  <c:v>43073</c:v>
                </c:pt>
                <c:pt idx="1136">
                  <c:v>43074</c:v>
                </c:pt>
                <c:pt idx="1137">
                  <c:v>43075</c:v>
                </c:pt>
                <c:pt idx="1138">
                  <c:v>43076</c:v>
                </c:pt>
                <c:pt idx="1139">
                  <c:v>43077</c:v>
                </c:pt>
                <c:pt idx="1140">
                  <c:v>43080</c:v>
                </c:pt>
                <c:pt idx="1141">
                  <c:v>43081</c:v>
                </c:pt>
                <c:pt idx="1142">
                  <c:v>43082</c:v>
                </c:pt>
                <c:pt idx="1143">
                  <c:v>43083</c:v>
                </c:pt>
                <c:pt idx="1144">
                  <c:v>43084</c:v>
                </c:pt>
                <c:pt idx="1145">
                  <c:v>43087</c:v>
                </c:pt>
                <c:pt idx="1146">
                  <c:v>43088</c:v>
                </c:pt>
                <c:pt idx="1147">
                  <c:v>43089</c:v>
                </c:pt>
                <c:pt idx="1148">
                  <c:v>43090</c:v>
                </c:pt>
                <c:pt idx="1149">
                  <c:v>43091</c:v>
                </c:pt>
                <c:pt idx="1150">
                  <c:v>43095</c:v>
                </c:pt>
                <c:pt idx="1151">
                  <c:v>43096</c:v>
                </c:pt>
                <c:pt idx="1152">
                  <c:v>43097</c:v>
                </c:pt>
                <c:pt idx="1153">
                  <c:v>43098</c:v>
                </c:pt>
                <c:pt idx="1154">
                  <c:v>43102</c:v>
                </c:pt>
                <c:pt idx="1155">
                  <c:v>43103</c:v>
                </c:pt>
                <c:pt idx="1156">
                  <c:v>43104</c:v>
                </c:pt>
                <c:pt idx="1157">
                  <c:v>43105</c:v>
                </c:pt>
                <c:pt idx="1158">
                  <c:v>43108</c:v>
                </c:pt>
                <c:pt idx="1159">
                  <c:v>43109</c:v>
                </c:pt>
                <c:pt idx="1160">
                  <c:v>43110</c:v>
                </c:pt>
                <c:pt idx="1161">
                  <c:v>43111</c:v>
                </c:pt>
                <c:pt idx="1162">
                  <c:v>43112</c:v>
                </c:pt>
                <c:pt idx="1163">
                  <c:v>43116</c:v>
                </c:pt>
                <c:pt idx="1164">
                  <c:v>43117</c:v>
                </c:pt>
                <c:pt idx="1165">
                  <c:v>43118</c:v>
                </c:pt>
                <c:pt idx="1166">
                  <c:v>43119</c:v>
                </c:pt>
                <c:pt idx="1167">
                  <c:v>43122</c:v>
                </c:pt>
                <c:pt idx="1168">
                  <c:v>43123</c:v>
                </c:pt>
                <c:pt idx="1169">
                  <c:v>43124</c:v>
                </c:pt>
                <c:pt idx="1170">
                  <c:v>43125</c:v>
                </c:pt>
                <c:pt idx="1171">
                  <c:v>43126</c:v>
                </c:pt>
                <c:pt idx="1172">
                  <c:v>43129</c:v>
                </c:pt>
                <c:pt idx="1173">
                  <c:v>43130</c:v>
                </c:pt>
                <c:pt idx="1174">
                  <c:v>43131</c:v>
                </c:pt>
                <c:pt idx="1175">
                  <c:v>43132</c:v>
                </c:pt>
                <c:pt idx="1176">
                  <c:v>43133</c:v>
                </c:pt>
                <c:pt idx="1177">
                  <c:v>43136</c:v>
                </c:pt>
                <c:pt idx="1178">
                  <c:v>43137</c:v>
                </c:pt>
                <c:pt idx="1179">
                  <c:v>43138</c:v>
                </c:pt>
                <c:pt idx="1180">
                  <c:v>43139</c:v>
                </c:pt>
                <c:pt idx="1181">
                  <c:v>43140</c:v>
                </c:pt>
                <c:pt idx="1182">
                  <c:v>43143</c:v>
                </c:pt>
                <c:pt idx="1183">
                  <c:v>43144</c:v>
                </c:pt>
                <c:pt idx="1184">
                  <c:v>43145</c:v>
                </c:pt>
                <c:pt idx="1185">
                  <c:v>43146</c:v>
                </c:pt>
                <c:pt idx="1186">
                  <c:v>43147</c:v>
                </c:pt>
                <c:pt idx="1187">
                  <c:v>43151</c:v>
                </c:pt>
                <c:pt idx="1188">
                  <c:v>43152</c:v>
                </c:pt>
                <c:pt idx="1189">
                  <c:v>43153</c:v>
                </c:pt>
                <c:pt idx="1190">
                  <c:v>43154</c:v>
                </c:pt>
                <c:pt idx="1191">
                  <c:v>43157</c:v>
                </c:pt>
                <c:pt idx="1192">
                  <c:v>43158</c:v>
                </c:pt>
                <c:pt idx="1193">
                  <c:v>43159</c:v>
                </c:pt>
                <c:pt idx="1194">
                  <c:v>43160</c:v>
                </c:pt>
                <c:pt idx="1195">
                  <c:v>43161</c:v>
                </c:pt>
                <c:pt idx="1196">
                  <c:v>43164</c:v>
                </c:pt>
                <c:pt idx="1197">
                  <c:v>43165</c:v>
                </c:pt>
                <c:pt idx="1198">
                  <c:v>43166</c:v>
                </c:pt>
                <c:pt idx="1199">
                  <c:v>43167</c:v>
                </c:pt>
                <c:pt idx="1200">
                  <c:v>43168</c:v>
                </c:pt>
                <c:pt idx="1201">
                  <c:v>43171</c:v>
                </c:pt>
                <c:pt idx="1202">
                  <c:v>43172</c:v>
                </c:pt>
                <c:pt idx="1203">
                  <c:v>43173</c:v>
                </c:pt>
                <c:pt idx="1204">
                  <c:v>43174</c:v>
                </c:pt>
                <c:pt idx="1205">
                  <c:v>43175</c:v>
                </c:pt>
                <c:pt idx="1206">
                  <c:v>43178</c:v>
                </c:pt>
                <c:pt idx="1207">
                  <c:v>43179</c:v>
                </c:pt>
                <c:pt idx="1208">
                  <c:v>43180</c:v>
                </c:pt>
                <c:pt idx="1209">
                  <c:v>43181</c:v>
                </c:pt>
                <c:pt idx="1210">
                  <c:v>43182</c:v>
                </c:pt>
                <c:pt idx="1211">
                  <c:v>43185</c:v>
                </c:pt>
                <c:pt idx="1212">
                  <c:v>43186</c:v>
                </c:pt>
                <c:pt idx="1213">
                  <c:v>43187</c:v>
                </c:pt>
                <c:pt idx="1214">
                  <c:v>43188</c:v>
                </c:pt>
                <c:pt idx="1215">
                  <c:v>43192</c:v>
                </c:pt>
                <c:pt idx="1216">
                  <c:v>43193</c:v>
                </c:pt>
                <c:pt idx="1217">
                  <c:v>43194</c:v>
                </c:pt>
                <c:pt idx="1218">
                  <c:v>43195</c:v>
                </c:pt>
                <c:pt idx="1219">
                  <c:v>43196</c:v>
                </c:pt>
                <c:pt idx="1220">
                  <c:v>43199</c:v>
                </c:pt>
                <c:pt idx="1221">
                  <c:v>43200</c:v>
                </c:pt>
                <c:pt idx="1222">
                  <c:v>43201</c:v>
                </c:pt>
                <c:pt idx="1223">
                  <c:v>43202</c:v>
                </c:pt>
                <c:pt idx="1224">
                  <c:v>43203</c:v>
                </c:pt>
                <c:pt idx="1225">
                  <c:v>43206</c:v>
                </c:pt>
                <c:pt idx="1226">
                  <c:v>43207</c:v>
                </c:pt>
                <c:pt idx="1227">
                  <c:v>43208</c:v>
                </c:pt>
                <c:pt idx="1228">
                  <c:v>43209</c:v>
                </c:pt>
                <c:pt idx="1229">
                  <c:v>43210</c:v>
                </c:pt>
                <c:pt idx="1230">
                  <c:v>43213</c:v>
                </c:pt>
                <c:pt idx="1231">
                  <c:v>43214</c:v>
                </c:pt>
                <c:pt idx="1232">
                  <c:v>43215</c:v>
                </c:pt>
                <c:pt idx="1233">
                  <c:v>43216</c:v>
                </c:pt>
                <c:pt idx="1234">
                  <c:v>43217</c:v>
                </c:pt>
                <c:pt idx="1235">
                  <c:v>43220</c:v>
                </c:pt>
                <c:pt idx="1236">
                  <c:v>43221</c:v>
                </c:pt>
                <c:pt idx="1237">
                  <c:v>43222</c:v>
                </c:pt>
                <c:pt idx="1238">
                  <c:v>43223</c:v>
                </c:pt>
                <c:pt idx="1239">
                  <c:v>43224</c:v>
                </c:pt>
                <c:pt idx="1240">
                  <c:v>43227</c:v>
                </c:pt>
                <c:pt idx="1241">
                  <c:v>43228</c:v>
                </c:pt>
                <c:pt idx="1242">
                  <c:v>43229</c:v>
                </c:pt>
                <c:pt idx="1243">
                  <c:v>43230</c:v>
                </c:pt>
                <c:pt idx="1244">
                  <c:v>43231</c:v>
                </c:pt>
                <c:pt idx="1245">
                  <c:v>43234</c:v>
                </c:pt>
                <c:pt idx="1246">
                  <c:v>43235</c:v>
                </c:pt>
                <c:pt idx="1247">
                  <c:v>43236</c:v>
                </c:pt>
                <c:pt idx="1248">
                  <c:v>43237</c:v>
                </c:pt>
                <c:pt idx="1249">
                  <c:v>43238</c:v>
                </c:pt>
                <c:pt idx="1250">
                  <c:v>43241</c:v>
                </c:pt>
                <c:pt idx="1251">
                  <c:v>43242</c:v>
                </c:pt>
                <c:pt idx="1252">
                  <c:v>43243</c:v>
                </c:pt>
                <c:pt idx="1253">
                  <c:v>43244</c:v>
                </c:pt>
                <c:pt idx="1254">
                  <c:v>43245</c:v>
                </c:pt>
                <c:pt idx="1255">
                  <c:v>43249</c:v>
                </c:pt>
                <c:pt idx="1256">
                  <c:v>43250</c:v>
                </c:pt>
                <c:pt idx="1257">
                  <c:v>43251</c:v>
                </c:pt>
                <c:pt idx="1258">
                  <c:v>43252</c:v>
                </c:pt>
                <c:pt idx="1259">
                  <c:v>43255</c:v>
                </c:pt>
                <c:pt idx="1260">
                  <c:v>43256</c:v>
                </c:pt>
                <c:pt idx="1261">
                  <c:v>43257</c:v>
                </c:pt>
                <c:pt idx="1262">
                  <c:v>43258</c:v>
                </c:pt>
                <c:pt idx="1263">
                  <c:v>43259</c:v>
                </c:pt>
                <c:pt idx="1264">
                  <c:v>43262</c:v>
                </c:pt>
                <c:pt idx="1265">
                  <c:v>43263</c:v>
                </c:pt>
                <c:pt idx="1266">
                  <c:v>43264</c:v>
                </c:pt>
                <c:pt idx="1267">
                  <c:v>43265</c:v>
                </c:pt>
                <c:pt idx="1268">
                  <c:v>43266</c:v>
                </c:pt>
                <c:pt idx="1269">
                  <c:v>43269</c:v>
                </c:pt>
                <c:pt idx="1270">
                  <c:v>43270</c:v>
                </c:pt>
                <c:pt idx="1271">
                  <c:v>43271</c:v>
                </c:pt>
                <c:pt idx="1272">
                  <c:v>43272</c:v>
                </c:pt>
                <c:pt idx="1273">
                  <c:v>43273</c:v>
                </c:pt>
                <c:pt idx="1274">
                  <c:v>43276</c:v>
                </c:pt>
                <c:pt idx="1275">
                  <c:v>43277</c:v>
                </c:pt>
                <c:pt idx="1276">
                  <c:v>43278</c:v>
                </c:pt>
                <c:pt idx="1277">
                  <c:v>43279</c:v>
                </c:pt>
                <c:pt idx="1278">
                  <c:v>43280</c:v>
                </c:pt>
                <c:pt idx="1279">
                  <c:v>43283</c:v>
                </c:pt>
                <c:pt idx="1280">
                  <c:v>43284</c:v>
                </c:pt>
                <c:pt idx="1281">
                  <c:v>43286</c:v>
                </c:pt>
                <c:pt idx="1282">
                  <c:v>43287</c:v>
                </c:pt>
                <c:pt idx="1283">
                  <c:v>43290</c:v>
                </c:pt>
                <c:pt idx="1284">
                  <c:v>43291</c:v>
                </c:pt>
                <c:pt idx="1285">
                  <c:v>43292</c:v>
                </c:pt>
                <c:pt idx="1286">
                  <c:v>43293</c:v>
                </c:pt>
                <c:pt idx="1287">
                  <c:v>43294</c:v>
                </c:pt>
                <c:pt idx="1288">
                  <c:v>43297</c:v>
                </c:pt>
                <c:pt idx="1289">
                  <c:v>43298</c:v>
                </c:pt>
                <c:pt idx="1290">
                  <c:v>43299</c:v>
                </c:pt>
                <c:pt idx="1291">
                  <c:v>43300</c:v>
                </c:pt>
                <c:pt idx="1292">
                  <c:v>43301</c:v>
                </c:pt>
                <c:pt idx="1293">
                  <c:v>43304</c:v>
                </c:pt>
                <c:pt idx="1294">
                  <c:v>43305</c:v>
                </c:pt>
                <c:pt idx="1295">
                  <c:v>43306</c:v>
                </c:pt>
                <c:pt idx="1296">
                  <c:v>43307</c:v>
                </c:pt>
                <c:pt idx="1297">
                  <c:v>43308</c:v>
                </c:pt>
                <c:pt idx="1298">
                  <c:v>43311</c:v>
                </c:pt>
                <c:pt idx="1299">
                  <c:v>43312</c:v>
                </c:pt>
                <c:pt idx="1300">
                  <c:v>43313</c:v>
                </c:pt>
                <c:pt idx="1301">
                  <c:v>43314</c:v>
                </c:pt>
                <c:pt idx="1302">
                  <c:v>43315</c:v>
                </c:pt>
                <c:pt idx="1303">
                  <c:v>43318</c:v>
                </c:pt>
                <c:pt idx="1304">
                  <c:v>43319</c:v>
                </c:pt>
                <c:pt idx="1305">
                  <c:v>43320</c:v>
                </c:pt>
                <c:pt idx="1306">
                  <c:v>43321</c:v>
                </c:pt>
                <c:pt idx="1307">
                  <c:v>43322</c:v>
                </c:pt>
                <c:pt idx="1308">
                  <c:v>43325</c:v>
                </c:pt>
                <c:pt idx="1309">
                  <c:v>43326</c:v>
                </c:pt>
                <c:pt idx="1310">
                  <c:v>43327</c:v>
                </c:pt>
                <c:pt idx="1311">
                  <c:v>43328</c:v>
                </c:pt>
                <c:pt idx="1312">
                  <c:v>43329</c:v>
                </c:pt>
                <c:pt idx="1313">
                  <c:v>43332</c:v>
                </c:pt>
                <c:pt idx="1314">
                  <c:v>43333</c:v>
                </c:pt>
                <c:pt idx="1315">
                  <c:v>43334</c:v>
                </c:pt>
                <c:pt idx="1316">
                  <c:v>43335</c:v>
                </c:pt>
                <c:pt idx="1317">
                  <c:v>43336</c:v>
                </c:pt>
                <c:pt idx="1318">
                  <c:v>43339</c:v>
                </c:pt>
                <c:pt idx="1319">
                  <c:v>43340</c:v>
                </c:pt>
                <c:pt idx="1320">
                  <c:v>43341</c:v>
                </c:pt>
                <c:pt idx="1321">
                  <c:v>43342</c:v>
                </c:pt>
                <c:pt idx="1322">
                  <c:v>43343</c:v>
                </c:pt>
                <c:pt idx="1323">
                  <c:v>43347</c:v>
                </c:pt>
                <c:pt idx="1324">
                  <c:v>43348</c:v>
                </c:pt>
                <c:pt idx="1325">
                  <c:v>43349</c:v>
                </c:pt>
                <c:pt idx="1326">
                  <c:v>43350</c:v>
                </c:pt>
                <c:pt idx="1327">
                  <c:v>43353</c:v>
                </c:pt>
                <c:pt idx="1328">
                  <c:v>43354</c:v>
                </c:pt>
                <c:pt idx="1329">
                  <c:v>43355</c:v>
                </c:pt>
                <c:pt idx="1330">
                  <c:v>43356</c:v>
                </c:pt>
                <c:pt idx="1331">
                  <c:v>43357</c:v>
                </c:pt>
                <c:pt idx="1332">
                  <c:v>43360</c:v>
                </c:pt>
                <c:pt idx="1333">
                  <c:v>43361</c:v>
                </c:pt>
                <c:pt idx="1334">
                  <c:v>43362</c:v>
                </c:pt>
                <c:pt idx="1335">
                  <c:v>43363</c:v>
                </c:pt>
                <c:pt idx="1336">
                  <c:v>43364</c:v>
                </c:pt>
                <c:pt idx="1337">
                  <c:v>43367</c:v>
                </c:pt>
                <c:pt idx="1338">
                  <c:v>43368</c:v>
                </c:pt>
                <c:pt idx="1339">
                  <c:v>43369</c:v>
                </c:pt>
                <c:pt idx="1340">
                  <c:v>43370</c:v>
                </c:pt>
                <c:pt idx="1341">
                  <c:v>43371</c:v>
                </c:pt>
                <c:pt idx="1342">
                  <c:v>43374</c:v>
                </c:pt>
                <c:pt idx="1343">
                  <c:v>43375</c:v>
                </c:pt>
                <c:pt idx="1344">
                  <c:v>43376</c:v>
                </c:pt>
                <c:pt idx="1345">
                  <c:v>43377</c:v>
                </c:pt>
                <c:pt idx="1346">
                  <c:v>43378</c:v>
                </c:pt>
                <c:pt idx="1347">
                  <c:v>43381</c:v>
                </c:pt>
                <c:pt idx="1348">
                  <c:v>43382</c:v>
                </c:pt>
                <c:pt idx="1349">
                  <c:v>43383</c:v>
                </c:pt>
                <c:pt idx="1350">
                  <c:v>43384</c:v>
                </c:pt>
                <c:pt idx="1351">
                  <c:v>43385</c:v>
                </c:pt>
                <c:pt idx="1352">
                  <c:v>43388</c:v>
                </c:pt>
                <c:pt idx="1353">
                  <c:v>43389</c:v>
                </c:pt>
                <c:pt idx="1354">
                  <c:v>43390</c:v>
                </c:pt>
                <c:pt idx="1355">
                  <c:v>43391</c:v>
                </c:pt>
                <c:pt idx="1356">
                  <c:v>43392</c:v>
                </c:pt>
                <c:pt idx="1357">
                  <c:v>43395</c:v>
                </c:pt>
                <c:pt idx="1358">
                  <c:v>43396</c:v>
                </c:pt>
                <c:pt idx="1359">
                  <c:v>43397</c:v>
                </c:pt>
                <c:pt idx="1360">
                  <c:v>43398</c:v>
                </c:pt>
                <c:pt idx="1361">
                  <c:v>43399</c:v>
                </c:pt>
                <c:pt idx="1362">
                  <c:v>43402</c:v>
                </c:pt>
                <c:pt idx="1363">
                  <c:v>43403</c:v>
                </c:pt>
                <c:pt idx="1364">
                  <c:v>43404</c:v>
                </c:pt>
                <c:pt idx="1365">
                  <c:v>43405</c:v>
                </c:pt>
                <c:pt idx="1366">
                  <c:v>43406</c:v>
                </c:pt>
                <c:pt idx="1367">
                  <c:v>43409</c:v>
                </c:pt>
                <c:pt idx="1368">
                  <c:v>43410</c:v>
                </c:pt>
                <c:pt idx="1369">
                  <c:v>43411</c:v>
                </c:pt>
                <c:pt idx="1370">
                  <c:v>43412</c:v>
                </c:pt>
                <c:pt idx="1371">
                  <c:v>43413</c:v>
                </c:pt>
                <c:pt idx="1372">
                  <c:v>43416</c:v>
                </c:pt>
                <c:pt idx="1373">
                  <c:v>43417</c:v>
                </c:pt>
                <c:pt idx="1374">
                  <c:v>43418</c:v>
                </c:pt>
                <c:pt idx="1375">
                  <c:v>43419</c:v>
                </c:pt>
                <c:pt idx="1376">
                  <c:v>43420</c:v>
                </c:pt>
                <c:pt idx="1377">
                  <c:v>43423</c:v>
                </c:pt>
                <c:pt idx="1378">
                  <c:v>43424</c:v>
                </c:pt>
                <c:pt idx="1379">
                  <c:v>43425</c:v>
                </c:pt>
                <c:pt idx="1380">
                  <c:v>43427</c:v>
                </c:pt>
                <c:pt idx="1381">
                  <c:v>43430</c:v>
                </c:pt>
                <c:pt idx="1382">
                  <c:v>43431</c:v>
                </c:pt>
                <c:pt idx="1383">
                  <c:v>43432</c:v>
                </c:pt>
                <c:pt idx="1384">
                  <c:v>43433</c:v>
                </c:pt>
                <c:pt idx="1385">
                  <c:v>43434</c:v>
                </c:pt>
                <c:pt idx="1386">
                  <c:v>43437</c:v>
                </c:pt>
                <c:pt idx="1387">
                  <c:v>43438</c:v>
                </c:pt>
                <c:pt idx="1388">
                  <c:v>43440</c:v>
                </c:pt>
                <c:pt idx="1389">
                  <c:v>43441</c:v>
                </c:pt>
                <c:pt idx="1390">
                  <c:v>43444</c:v>
                </c:pt>
                <c:pt idx="1391">
                  <c:v>43445</c:v>
                </c:pt>
                <c:pt idx="1392">
                  <c:v>43446</c:v>
                </c:pt>
                <c:pt idx="1393">
                  <c:v>43447</c:v>
                </c:pt>
                <c:pt idx="1394">
                  <c:v>43448</c:v>
                </c:pt>
                <c:pt idx="1395">
                  <c:v>43451</c:v>
                </c:pt>
                <c:pt idx="1396">
                  <c:v>43452</c:v>
                </c:pt>
                <c:pt idx="1397">
                  <c:v>43453</c:v>
                </c:pt>
                <c:pt idx="1398">
                  <c:v>43454</c:v>
                </c:pt>
                <c:pt idx="1399">
                  <c:v>43455</c:v>
                </c:pt>
                <c:pt idx="1400">
                  <c:v>43458</c:v>
                </c:pt>
                <c:pt idx="1401">
                  <c:v>43460</c:v>
                </c:pt>
                <c:pt idx="1402">
                  <c:v>43461</c:v>
                </c:pt>
                <c:pt idx="1403">
                  <c:v>43462</c:v>
                </c:pt>
                <c:pt idx="1404">
                  <c:v>43465</c:v>
                </c:pt>
                <c:pt idx="1405">
                  <c:v>43467</c:v>
                </c:pt>
                <c:pt idx="1406">
                  <c:v>43468</c:v>
                </c:pt>
                <c:pt idx="1407">
                  <c:v>43469</c:v>
                </c:pt>
                <c:pt idx="1408">
                  <c:v>43472</c:v>
                </c:pt>
                <c:pt idx="1409">
                  <c:v>43473</c:v>
                </c:pt>
                <c:pt idx="1410">
                  <c:v>43474</c:v>
                </c:pt>
                <c:pt idx="1411">
                  <c:v>43475</c:v>
                </c:pt>
                <c:pt idx="1412">
                  <c:v>43476</c:v>
                </c:pt>
                <c:pt idx="1413">
                  <c:v>43479</c:v>
                </c:pt>
                <c:pt idx="1414">
                  <c:v>43480</c:v>
                </c:pt>
                <c:pt idx="1415">
                  <c:v>43481</c:v>
                </c:pt>
                <c:pt idx="1416">
                  <c:v>43482</c:v>
                </c:pt>
                <c:pt idx="1417">
                  <c:v>43483</c:v>
                </c:pt>
                <c:pt idx="1418">
                  <c:v>43487</c:v>
                </c:pt>
                <c:pt idx="1419">
                  <c:v>43488</c:v>
                </c:pt>
                <c:pt idx="1420">
                  <c:v>43489</c:v>
                </c:pt>
                <c:pt idx="1421">
                  <c:v>43490</c:v>
                </c:pt>
                <c:pt idx="1422">
                  <c:v>43493</c:v>
                </c:pt>
                <c:pt idx="1423">
                  <c:v>43494</c:v>
                </c:pt>
                <c:pt idx="1424">
                  <c:v>43495</c:v>
                </c:pt>
                <c:pt idx="1425">
                  <c:v>43496</c:v>
                </c:pt>
                <c:pt idx="1426">
                  <c:v>43497</c:v>
                </c:pt>
                <c:pt idx="1427">
                  <c:v>43500</c:v>
                </c:pt>
                <c:pt idx="1428">
                  <c:v>43501</c:v>
                </c:pt>
                <c:pt idx="1429">
                  <c:v>43502</c:v>
                </c:pt>
                <c:pt idx="1430">
                  <c:v>43503</c:v>
                </c:pt>
                <c:pt idx="1431">
                  <c:v>43504</c:v>
                </c:pt>
                <c:pt idx="1432">
                  <c:v>43507</c:v>
                </c:pt>
                <c:pt idx="1433">
                  <c:v>43508</c:v>
                </c:pt>
                <c:pt idx="1434">
                  <c:v>43509</c:v>
                </c:pt>
                <c:pt idx="1435">
                  <c:v>43510</c:v>
                </c:pt>
                <c:pt idx="1436">
                  <c:v>43511</c:v>
                </c:pt>
                <c:pt idx="1437">
                  <c:v>43515</c:v>
                </c:pt>
                <c:pt idx="1438">
                  <c:v>43516</c:v>
                </c:pt>
                <c:pt idx="1439">
                  <c:v>43517</c:v>
                </c:pt>
                <c:pt idx="1440">
                  <c:v>43518</c:v>
                </c:pt>
                <c:pt idx="1441">
                  <c:v>43521</c:v>
                </c:pt>
                <c:pt idx="1442">
                  <c:v>43522</c:v>
                </c:pt>
                <c:pt idx="1443">
                  <c:v>43523</c:v>
                </c:pt>
                <c:pt idx="1444">
                  <c:v>43524</c:v>
                </c:pt>
                <c:pt idx="1445">
                  <c:v>43525</c:v>
                </c:pt>
                <c:pt idx="1446">
                  <c:v>43528</c:v>
                </c:pt>
                <c:pt idx="1447">
                  <c:v>43529</c:v>
                </c:pt>
                <c:pt idx="1448">
                  <c:v>43530</c:v>
                </c:pt>
                <c:pt idx="1449">
                  <c:v>43531</c:v>
                </c:pt>
                <c:pt idx="1450">
                  <c:v>43532</c:v>
                </c:pt>
                <c:pt idx="1451">
                  <c:v>43535</c:v>
                </c:pt>
                <c:pt idx="1452">
                  <c:v>43536</c:v>
                </c:pt>
                <c:pt idx="1453">
                  <c:v>43537</c:v>
                </c:pt>
                <c:pt idx="1454">
                  <c:v>43538</c:v>
                </c:pt>
                <c:pt idx="1455">
                  <c:v>43539</c:v>
                </c:pt>
                <c:pt idx="1456">
                  <c:v>43542</c:v>
                </c:pt>
                <c:pt idx="1457">
                  <c:v>43543</c:v>
                </c:pt>
                <c:pt idx="1458">
                  <c:v>43544</c:v>
                </c:pt>
                <c:pt idx="1459">
                  <c:v>43545</c:v>
                </c:pt>
                <c:pt idx="1460">
                  <c:v>43546</c:v>
                </c:pt>
                <c:pt idx="1461">
                  <c:v>43549</c:v>
                </c:pt>
                <c:pt idx="1462">
                  <c:v>43550</c:v>
                </c:pt>
                <c:pt idx="1463">
                  <c:v>43551</c:v>
                </c:pt>
                <c:pt idx="1464">
                  <c:v>43552</c:v>
                </c:pt>
                <c:pt idx="1465">
                  <c:v>43553</c:v>
                </c:pt>
                <c:pt idx="1466">
                  <c:v>43556</c:v>
                </c:pt>
                <c:pt idx="1467">
                  <c:v>43557</c:v>
                </c:pt>
                <c:pt idx="1468">
                  <c:v>43558</c:v>
                </c:pt>
                <c:pt idx="1469">
                  <c:v>43559</c:v>
                </c:pt>
                <c:pt idx="1470">
                  <c:v>43560</c:v>
                </c:pt>
                <c:pt idx="1471">
                  <c:v>43563</c:v>
                </c:pt>
                <c:pt idx="1472">
                  <c:v>43564</c:v>
                </c:pt>
                <c:pt idx="1473">
                  <c:v>43565</c:v>
                </c:pt>
                <c:pt idx="1474">
                  <c:v>43566</c:v>
                </c:pt>
                <c:pt idx="1475">
                  <c:v>43567</c:v>
                </c:pt>
                <c:pt idx="1476">
                  <c:v>43570</c:v>
                </c:pt>
                <c:pt idx="1477">
                  <c:v>43571</c:v>
                </c:pt>
                <c:pt idx="1478">
                  <c:v>43572</c:v>
                </c:pt>
                <c:pt idx="1479">
                  <c:v>43573</c:v>
                </c:pt>
                <c:pt idx="1480">
                  <c:v>43577</c:v>
                </c:pt>
                <c:pt idx="1481">
                  <c:v>43578</c:v>
                </c:pt>
                <c:pt idx="1482">
                  <c:v>43579</c:v>
                </c:pt>
                <c:pt idx="1483">
                  <c:v>43580</c:v>
                </c:pt>
                <c:pt idx="1484">
                  <c:v>43581</c:v>
                </c:pt>
                <c:pt idx="1485">
                  <c:v>43584</c:v>
                </c:pt>
                <c:pt idx="1486">
                  <c:v>43585</c:v>
                </c:pt>
                <c:pt idx="1487">
                  <c:v>43586</c:v>
                </c:pt>
                <c:pt idx="1488">
                  <c:v>43587</c:v>
                </c:pt>
                <c:pt idx="1489">
                  <c:v>43588</c:v>
                </c:pt>
                <c:pt idx="1490">
                  <c:v>43591</c:v>
                </c:pt>
                <c:pt idx="1491">
                  <c:v>43592</c:v>
                </c:pt>
                <c:pt idx="1492">
                  <c:v>43593</c:v>
                </c:pt>
                <c:pt idx="1493">
                  <c:v>43594</c:v>
                </c:pt>
                <c:pt idx="1494">
                  <c:v>43595</c:v>
                </c:pt>
                <c:pt idx="1495">
                  <c:v>43598</c:v>
                </c:pt>
                <c:pt idx="1496">
                  <c:v>43599</c:v>
                </c:pt>
                <c:pt idx="1497">
                  <c:v>43600</c:v>
                </c:pt>
                <c:pt idx="1498">
                  <c:v>43601</c:v>
                </c:pt>
                <c:pt idx="1499">
                  <c:v>43602</c:v>
                </c:pt>
                <c:pt idx="1500">
                  <c:v>43605</c:v>
                </c:pt>
                <c:pt idx="1501">
                  <c:v>43606</c:v>
                </c:pt>
                <c:pt idx="1502">
                  <c:v>43607</c:v>
                </c:pt>
                <c:pt idx="1503">
                  <c:v>43608</c:v>
                </c:pt>
                <c:pt idx="1504">
                  <c:v>43609</c:v>
                </c:pt>
                <c:pt idx="1505">
                  <c:v>43613</c:v>
                </c:pt>
                <c:pt idx="1506">
                  <c:v>43614</c:v>
                </c:pt>
                <c:pt idx="1507">
                  <c:v>43615</c:v>
                </c:pt>
                <c:pt idx="1508">
                  <c:v>43616</c:v>
                </c:pt>
                <c:pt idx="1509">
                  <c:v>43619</c:v>
                </c:pt>
                <c:pt idx="1510">
                  <c:v>43620</c:v>
                </c:pt>
                <c:pt idx="1511">
                  <c:v>43621</c:v>
                </c:pt>
                <c:pt idx="1512">
                  <c:v>43622</c:v>
                </c:pt>
                <c:pt idx="1513">
                  <c:v>43623</c:v>
                </c:pt>
                <c:pt idx="1514">
                  <c:v>43626</c:v>
                </c:pt>
                <c:pt idx="1515">
                  <c:v>43627</c:v>
                </c:pt>
                <c:pt idx="1516">
                  <c:v>43628</c:v>
                </c:pt>
                <c:pt idx="1517">
                  <c:v>43629</c:v>
                </c:pt>
                <c:pt idx="1518">
                  <c:v>43630</c:v>
                </c:pt>
                <c:pt idx="1519">
                  <c:v>43633</c:v>
                </c:pt>
                <c:pt idx="1520">
                  <c:v>43634</c:v>
                </c:pt>
                <c:pt idx="1521">
                  <c:v>43635</c:v>
                </c:pt>
                <c:pt idx="1522">
                  <c:v>43636</c:v>
                </c:pt>
                <c:pt idx="1523">
                  <c:v>43637</c:v>
                </c:pt>
                <c:pt idx="1524">
                  <c:v>43640</c:v>
                </c:pt>
                <c:pt idx="1525">
                  <c:v>43641</c:v>
                </c:pt>
                <c:pt idx="1526">
                  <c:v>43642</c:v>
                </c:pt>
                <c:pt idx="1527">
                  <c:v>43643</c:v>
                </c:pt>
                <c:pt idx="1528">
                  <c:v>43644</c:v>
                </c:pt>
                <c:pt idx="1529">
                  <c:v>43647</c:v>
                </c:pt>
                <c:pt idx="1530">
                  <c:v>43648</c:v>
                </c:pt>
                <c:pt idx="1531">
                  <c:v>43649</c:v>
                </c:pt>
                <c:pt idx="1532">
                  <c:v>43651</c:v>
                </c:pt>
                <c:pt idx="1533">
                  <c:v>43654</c:v>
                </c:pt>
                <c:pt idx="1534">
                  <c:v>43655</c:v>
                </c:pt>
                <c:pt idx="1535">
                  <c:v>43656</c:v>
                </c:pt>
                <c:pt idx="1536">
                  <c:v>43657</c:v>
                </c:pt>
                <c:pt idx="1537">
                  <c:v>43658</c:v>
                </c:pt>
                <c:pt idx="1538">
                  <c:v>43661</c:v>
                </c:pt>
                <c:pt idx="1539">
                  <c:v>43662</c:v>
                </c:pt>
                <c:pt idx="1540">
                  <c:v>43663</c:v>
                </c:pt>
                <c:pt idx="1541">
                  <c:v>43664</c:v>
                </c:pt>
                <c:pt idx="1542">
                  <c:v>43665</c:v>
                </c:pt>
                <c:pt idx="1543">
                  <c:v>43668</c:v>
                </c:pt>
                <c:pt idx="1544">
                  <c:v>43669</c:v>
                </c:pt>
                <c:pt idx="1545">
                  <c:v>43670</c:v>
                </c:pt>
                <c:pt idx="1546">
                  <c:v>43671</c:v>
                </c:pt>
                <c:pt idx="1547">
                  <c:v>43672</c:v>
                </c:pt>
                <c:pt idx="1548">
                  <c:v>43675</c:v>
                </c:pt>
                <c:pt idx="1549">
                  <c:v>43676</c:v>
                </c:pt>
                <c:pt idx="1550">
                  <c:v>43677</c:v>
                </c:pt>
                <c:pt idx="1551">
                  <c:v>43678</c:v>
                </c:pt>
                <c:pt idx="1552">
                  <c:v>43679</c:v>
                </c:pt>
                <c:pt idx="1553">
                  <c:v>43682</c:v>
                </c:pt>
                <c:pt idx="1554">
                  <c:v>43683</c:v>
                </c:pt>
                <c:pt idx="1555">
                  <c:v>43684</c:v>
                </c:pt>
                <c:pt idx="1556">
                  <c:v>43685</c:v>
                </c:pt>
                <c:pt idx="1557">
                  <c:v>43686</c:v>
                </c:pt>
                <c:pt idx="1558">
                  <c:v>43689</c:v>
                </c:pt>
                <c:pt idx="1559">
                  <c:v>43690</c:v>
                </c:pt>
                <c:pt idx="1560">
                  <c:v>43691</c:v>
                </c:pt>
                <c:pt idx="1561">
                  <c:v>43692</c:v>
                </c:pt>
                <c:pt idx="1562">
                  <c:v>43693</c:v>
                </c:pt>
                <c:pt idx="1563">
                  <c:v>43696</c:v>
                </c:pt>
                <c:pt idx="1564">
                  <c:v>43697</c:v>
                </c:pt>
                <c:pt idx="1565">
                  <c:v>43698</c:v>
                </c:pt>
                <c:pt idx="1566">
                  <c:v>43699</c:v>
                </c:pt>
                <c:pt idx="1567">
                  <c:v>43700</c:v>
                </c:pt>
                <c:pt idx="1568">
                  <c:v>43703</c:v>
                </c:pt>
                <c:pt idx="1569">
                  <c:v>43704</c:v>
                </c:pt>
                <c:pt idx="1570">
                  <c:v>43705</c:v>
                </c:pt>
                <c:pt idx="1571">
                  <c:v>43706</c:v>
                </c:pt>
                <c:pt idx="1572">
                  <c:v>43707</c:v>
                </c:pt>
                <c:pt idx="1573">
                  <c:v>43711</c:v>
                </c:pt>
                <c:pt idx="1574">
                  <c:v>43712</c:v>
                </c:pt>
                <c:pt idx="1575">
                  <c:v>43713</c:v>
                </c:pt>
                <c:pt idx="1576">
                  <c:v>43714</c:v>
                </c:pt>
                <c:pt idx="1577">
                  <c:v>43717</c:v>
                </c:pt>
                <c:pt idx="1578">
                  <c:v>43718</c:v>
                </c:pt>
                <c:pt idx="1579">
                  <c:v>43719</c:v>
                </c:pt>
                <c:pt idx="1580">
                  <c:v>43720</c:v>
                </c:pt>
                <c:pt idx="1581">
                  <c:v>43721</c:v>
                </c:pt>
                <c:pt idx="1582">
                  <c:v>43724</c:v>
                </c:pt>
                <c:pt idx="1583">
                  <c:v>43725</c:v>
                </c:pt>
                <c:pt idx="1584">
                  <c:v>43726</c:v>
                </c:pt>
                <c:pt idx="1585">
                  <c:v>43727</c:v>
                </c:pt>
                <c:pt idx="1586">
                  <c:v>43728</c:v>
                </c:pt>
                <c:pt idx="1587">
                  <c:v>43731</c:v>
                </c:pt>
                <c:pt idx="1588">
                  <c:v>43732</c:v>
                </c:pt>
                <c:pt idx="1589">
                  <c:v>43733</c:v>
                </c:pt>
                <c:pt idx="1590">
                  <c:v>43734</c:v>
                </c:pt>
                <c:pt idx="1591">
                  <c:v>43735</c:v>
                </c:pt>
                <c:pt idx="1592">
                  <c:v>43738</c:v>
                </c:pt>
                <c:pt idx="1593">
                  <c:v>43739</c:v>
                </c:pt>
                <c:pt idx="1594">
                  <c:v>43740</c:v>
                </c:pt>
                <c:pt idx="1595">
                  <c:v>43741</c:v>
                </c:pt>
                <c:pt idx="1596">
                  <c:v>43742</c:v>
                </c:pt>
                <c:pt idx="1597">
                  <c:v>43745</c:v>
                </c:pt>
                <c:pt idx="1598">
                  <c:v>43746</c:v>
                </c:pt>
                <c:pt idx="1599">
                  <c:v>43747</c:v>
                </c:pt>
                <c:pt idx="1600">
                  <c:v>43748</c:v>
                </c:pt>
                <c:pt idx="1601">
                  <c:v>43749</c:v>
                </c:pt>
                <c:pt idx="1602">
                  <c:v>43752</c:v>
                </c:pt>
                <c:pt idx="1603">
                  <c:v>43753</c:v>
                </c:pt>
                <c:pt idx="1604">
                  <c:v>43754</c:v>
                </c:pt>
                <c:pt idx="1605">
                  <c:v>43755</c:v>
                </c:pt>
                <c:pt idx="1606">
                  <c:v>43756</c:v>
                </c:pt>
                <c:pt idx="1607">
                  <c:v>43759</c:v>
                </c:pt>
                <c:pt idx="1608">
                  <c:v>43760</c:v>
                </c:pt>
                <c:pt idx="1609">
                  <c:v>43761</c:v>
                </c:pt>
                <c:pt idx="1610">
                  <c:v>43762</c:v>
                </c:pt>
                <c:pt idx="1611">
                  <c:v>43763</c:v>
                </c:pt>
                <c:pt idx="1612">
                  <c:v>43766</c:v>
                </c:pt>
                <c:pt idx="1613">
                  <c:v>43767</c:v>
                </c:pt>
                <c:pt idx="1614">
                  <c:v>43768</c:v>
                </c:pt>
                <c:pt idx="1615">
                  <c:v>43769</c:v>
                </c:pt>
                <c:pt idx="1616">
                  <c:v>43770</c:v>
                </c:pt>
                <c:pt idx="1617">
                  <c:v>43773</c:v>
                </c:pt>
                <c:pt idx="1618">
                  <c:v>43774</c:v>
                </c:pt>
                <c:pt idx="1619">
                  <c:v>43775</c:v>
                </c:pt>
                <c:pt idx="1620">
                  <c:v>43776</c:v>
                </c:pt>
                <c:pt idx="1621">
                  <c:v>43777</c:v>
                </c:pt>
                <c:pt idx="1622">
                  <c:v>43780</c:v>
                </c:pt>
                <c:pt idx="1623">
                  <c:v>43781</c:v>
                </c:pt>
                <c:pt idx="1624">
                  <c:v>43782</c:v>
                </c:pt>
                <c:pt idx="1625">
                  <c:v>43783</c:v>
                </c:pt>
                <c:pt idx="1626">
                  <c:v>43784</c:v>
                </c:pt>
                <c:pt idx="1627">
                  <c:v>43787</c:v>
                </c:pt>
                <c:pt idx="1628">
                  <c:v>43788</c:v>
                </c:pt>
                <c:pt idx="1629">
                  <c:v>43789</c:v>
                </c:pt>
                <c:pt idx="1630">
                  <c:v>43790</c:v>
                </c:pt>
                <c:pt idx="1631">
                  <c:v>43791</c:v>
                </c:pt>
                <c:pt idx="1632">
                  <c:v>43794</c:v>
                </c:pt>
                <c:pt idx="1633">
                  <c:v>43795</c:v>
                </c:pt>
                <c:pt idx="1634">
                  <c:v>43796</c:v>
                </c:pt>
                <c:pt idx="1635">
                  <c:v>43798</c:v>
                </c:pt>
                <c:pt idx="1636">
                  <c:v>43801</c:v>
                </c:pt>
                <c:pt idx="1637">
                  <c:v>43802</c:v>
                </c:pt>
                <c:pt idx="1638">
                  <c:v>43803</c:v>
                </c:pt>
                <c:pt idx="1639">
                  <c:v>43804</c:v>
                </c:pt>
                <c:pt idx="1640">
                  <c:v>43805</c:v>
                </c:pt>
                <c:pt idx="1641">
                  <c:v>43808</c:v>
                </c:pt>
                <c:pt idx="1642">
                  <c:v>43809</c:v>
                </c:pt>
                <c:pt idx="1643">
                  <c:v>43810</c:v>
                </c:pt>
                <c:pt idx="1644">
                  <c:v>43811</c:v>
                </c:pt>
                <c:pt idx="1645">
                  <c:v>43812</c:v>
                </c:pt>
                <c:pt idx="1646">
                  <c:v>43815</c:v>
                </c:pt>
                <c:pt idx="1647">
                  <c:v>43816</c:v>
                </c:pt>
                <c:pt idx="1648">
                  <c:v>43817</c:v>
                </c:pt>
                <c:pt idx="1649">
                  <c:v>43818</c:v>
                </c:pt>
                <c:pt idx="1650">
                  <c:v>43819</c:v>
                </c:pt>
                <c:pt idx="1651">
                  <c:v>43822</c:v>
                </c:pt>
                <c:pt idx="1652">
                  <c:v>43823</c:v>
                </c:pt>
                <c:pt idx="1653">
                  <c:v>43825</c:v>
                </c:pt>
                <c:pt idx="1654">
                  <c:v>43826</c:v>
                </c:pt>
                <c:pt idx="1655">
                  <c:v>43829</c:v>
                </c:pt>
                <c:pt idx="1656">
                  <c:v>43830</c:v>
                </c:pt>
                <c:pt idx="1657">
                  <c:v>43832</c:v>
                </c:pt>
                <c:pt idx="1658">
                  <c:v>43833</c:v>
                </c:pt>
                <c:pt idx="1659">
                  <c:v>43836</c:v>
                </c:pt>
                <c:pt idx="1660">
                  <c:v>43837</c:v>
                </c:pt>
                <c:pt idx="1661">
                  <c:v>43838</c:v>
                </c:pt>
                <c:pt idx="1662">
                  <c:v>43839</c:v>
                </c:pt>
                <c:pt idx="1663">
                  <c:v>43840</c:v>
                </c:pt>
                <c:pt idx="1664">
                  <c:v>43843</c:v>
                </c:pt>
                <c:pt idx="1665">
                  <c:v>43844</c:v>
                </c:pt>
                <c:pt idx="1666">
                  <c:v>43845</c:v>
                </c:pt>
                <c:pt idx="1667">
                  <c:v>43846</c:v>
                </c:pt>
                <c:pt idx="1668">
                  <c:v>43847</c:v>
                </c:pt>
                <c:pt idx="1669">
                  <c:v>43851</c:v>
                </c:pt>
                <c:pt idx="1670">
                  <c:v>43852</c:v>
                </c:pt>
                <c:pt idx="1671">
                  <c:v>43853</c:v>
                </c:pt>
                <c:pt idx="1672">
                  <c:v>43854</c:v>
                </c:pt>
                <c:pt idx="1673">
                  <c:v>43857</c:v>
                </c:pt>
                <c:pt idx="1674">
                  <c:v>43858</c:v>
                </c:pt>
                <c:pt idx="1675">
                  <c:v>43859</c:v>
                </c:pt>
                <c:pt idx="1676">
                  <c:v>43860</c:v>
                </c:pt>
                <c:pt idx="1677">
                  <c:v>43861</c:v>
                </c:pt>
                <c:pt idx="1678">
                  <c:v>43864</c:v>
                </c:pt>
                <c:pt idx="1679">
                  <c:v>43865</c:v>
                </c:pt>
                <c:pt idx="1680">
                  <c:v>43866</c:v>
                </c:pt>
                <c:pt idx="1681">
                  <c:v>43867</c:v>
                </c:pt>
                <c:pt idx="1682">
                  <c:v>43868</c:v>
                </c:pt>
                <c:pt idx="1683">
                  <c:v>43871</c:v>
                </c:pt>
                <c:pt idx="1684">
                  <c:v>43872</c:v>
                </c:pt>
                <c:pt idx="1685">
                  <c:v>43873</c:v>
                </c:pt>
                <c:pt idx="1686">
                  <c:v>43874</c:v>
                </c:pt>
                <c:pt idx="1687">
                  <c:v>43875</c:v>
                </c:pt>
                <c:pt idx="1688">
                  <c:v>43879</c:v>
                </c:pt>
                <c:pt idx="1689">
                  <c:v>43880</c:v>
                </c:pt>
                <c:pt idx="1690">
                  <c:v>43881</c:v>
                </c:pt>
                <c:pt idx="1691">
                  <c:v>43882</c:v>
                </c:pt>
                <c:pt idx="1692">
                  <c:v>43885</c:v>
                </c:pt>
                <c:pt idx="1693">
                  <c:v>43886</c:v>
                </c:pt>
                <c:pt idx="1694">
                  <c:v>43887</c:v>
                </c:pt>
                <c:pt idx="1695">
                  <c:v>43888</c:v>
                </c:pt>
                <c:pt idx="1696">
                  <c:v>43889</c:v>
                </c:pt>
                <c:pt idx="1697">
                  <c:v>43892</c:v>
                </c:pt>
                <c:pt idx="1698">
                  <c:v>43893</c:v>
                </c:pt>
                <c:pt idx="1699">
                  <c:v>43894</c:v>
                </c:pt>
                <c:pt idx="1700">
                  <c:v>43895</c:v>
                </c:pt>
                <c:pt idx="1701">
                  <c:v>43896</c:v>
                </c:pt>
                <c:pt idx="1702">
                  <c:v>43899</c:v>
                </c:pt>
                <c:pt idx="1703">
                  <c:v>43900</c:v>
                </c:pt>
                <c:pt idx="1704">
                  <c:v>43901</c:v>
                </c:pt>
                <c:pt idx="1705">
                  <c:v>43902</c:v>
                </c:pt>
                <c:pt idx="1706">
                  <c:v>43903</c:v>
                </c:pt>
                <c:pt idx="1707">
                  <c:v>43906</c:v>
                </c:pt>
                <c:pt idx="1708">
                  <c:v>43907</c:v>
                </c:pt>
                <c:pt idx="1709">
                  <c:v>43908</c:v>
                </c:pt>
                <c:pt idx="1710">
                  <c:v>43909</c:v>
                </c:pt>
                <c:pt idx="1711">
                  <c:v>43910</c:v>
                </c:pt>
                <c:pt idx="1712">
                  <c:v>43913</c:v>
                </c:pt>
                <c:pt idx="1713">
                  <c:v>43914</c:v>
                </c:pt>
                <c:pt idx="1714">
                  <c:v>43915</c:v>
                </c:pt>
                <c:pt idx="1715">
                  <c:v>43916</c:v>
                </c:pt>
                <c:pt idx="1716">
                  <c:v>43917</c:v>
                </c:pt>
                <c:pt idx="1717">
                  <c:v>43920</c:v>
                </c:pt>
                <c:pt idx="1718">
                  <c:v>43921</c:v>
                </c:pt>
                <c:pt idx="1719">
                  <c:v>43922</c:v>
                </c:pt>
                <c:pt idx="1720">
                  <c:v>43923</c:v>
                </c:pt>
                <c:pt idx="1721">
                  <c:v>43924</c:v>
                </c:pt>
                <c:pt idx="1722">
                  <c:v>43927</c:v>
                </c:pt>
                <c:pt idx="1723">
                  <c:v>43928</c:v>
                </c:pt>
                <c:pt idx="1724">
                  <c:v>43929</c:v>
                </c:pt>
                <c:pt idx="1725">
                  <c:v>43930</c:v>
                </c:pt>
                <c:pt idx="1726">
                  <c:v>43934</c:v>
                </c:pt>
                <c:pt idx="1727">
                  <c:v>43935</c:v>
                </c:pt>
                <c:pt idx="1728">
                  <c:v>43936</c:v>
                </c:pt>
                <c:pt idx="1729">
                  <c:v>43937</c:v>
                </c:pt>
                <c:pt idx="1730">
                  <c:v>43938</c:v>
                </c:pt>
                <c:pt idx="1731">
                  <c:v>43941</c:v>
                </c:pt>
                <c:pt idx="1732">
                  <c:v>43942</c:v>
                </c:pt>
                <c:pt idx="1733">
                  <c:v>43943</c:v>
                </c:pt>
                <c:pt idx="1734">
                  <c:v>43944</c:v>
                </c:pt>
                <c:pt idx="1735">
                  <c:v>43945</c:v>
                </c:pt>
                <c:pt idx="1736">
                  <c:v>43948</c:v>
                </c:pt>
                <c:pt idx="1737">
                  <c:v>43949</c:v>
                </c:pt>
                <c:pt idx="1738">
                  <c:v>43950</c:v>
                </c:pt>
                <c:pt idx="1739">
                  <c:v>43951</c:v>
                </c:pt>
                <c:pt idx="1740">
                  <c:v>43952</c:v>
                </c:pt>
                <c:pt idx="1741">
                  <c:v>43955</c:v>
                </c:pt>
                <c:pt idx="1742">
                  <c:v>43956</c:v>
                </c:pt>
                <c:pt idx="1743">
                  <c:v>43957</c:v>
                </c:pt>
                <c:pt idx="1744">
                  <c:v>43958</c:v>
                </c:pt>
                <c:pt idx="1745">
                  <c:v>43959</c:v>
                </c:pt>
                <c:pt idx="1746">
                  <c:v>43962</c:v>
                </c:pt>
                <c:pt idx="1747">
                  <c:v>43963</c:v>
                </c:pt>
                <c:pt idx="1748">
                  <c:v>43964</c:v>
                </c:pt>
                <c:pt idx="1749">
                  <c:v>43965</c:v>
                </c:pt>
                <c:pt idx="1750">
                  <c:v>43966</c:v>
                </c:pt>
                <c:pt idx="1751">
                  <c:v>43969</c:v>
                </c:pt>
                <c:pt idx="1752">
                  <c:v>43970</c:v>
                </c:pt>
                <c:pt idx="1753">
                  <c:v>43971</c:v>
                </c:pt>
                <c:pt idx="1754">
                  <c:v>43972</c:v>
                </c:pt>
                <c:pt idx="1755">
                  <c:v>43973</c:v>
                </c:pt>
                <c:pt idx="1756">
                  <c:v>43977</c:v>
                </c:pt>
                <c:pt idx="1757">
                  <c:v>43978</c:v>
                </c:pt>
                <c:pt idx="1758">
                  <c:v>43979</c:v>
                </c:pt>
                <c:pt idx="1759">
                  <c:v>43980</c:v>
                </c:pt>
                <c:pt idx="1760">
                  <c:v>43983</c:v>
                </c:pt>
                <c:pt idx="1761">
                  <c:v>43984</c:v>
                </c:pt>
                <c:pt idx="1762">
                  <c:v>43985</c:v>
                </c:pt>
                <c:pt idx="1763">
                  <c:v>43986</c:v>
                </c:pt>
                <c:pt idx="1764">
                  <c:v>43987</c:v>
                </c:pt>
                <c:pt idx="1765">
                  <c:v>43990</c:v>
                </c:pt>
                <c:pt idx="1766">
                  <c:v>43991</c:v>
                </c:pt>
                <c:pt idx="1767">
                  <c:v>43992</c:v>
                </c:pt>
                <c:pt idx="1768">
                  <c:v>43993</c:v>
                </c:pt>
                <c:pt idx="1769">
                  <c:v>43994</c:v>
                </c:pt>
                <c:pt idx="1770">
                  <c:v>43997</c:v>
                </c:pt>
                <c:pt idx="1771">
                  <c:v>43998</c:v>
                </c:pt>
                <c:pt idx="1772">
                  <c:v>43999</c:v>
                </c:pt>
                <c:pt idx="1773">
                  <c:v>44000</c:v>
                </c:pt>
                <c:pt idx="1774">
                  <c:v>44001</c:v>
                </c:pt>
                <c:pt idx="1775">
                  <c:v>44004</c:v>
                </c:pt>
                <c:pt idx="1776">
                  <c:v>44005</c:v>
                </c:pt>
                <c:pt idx="1777">
                  <c:v>44006</c:v>
                </c:pt>
                <c:pt idx="1778">
                  <c:v>44007</c:v>
                </c:pt>
                <c:pt idx="1779">
                  <c:v>44008</c:v>
                </c:pt>
                <c:pt idx="1780">
                  <c:v>44011</c:v>
                </c:pt>
                <c:pt idx="1781">
                  <c:v>44012</c:v>
                </c:pt>
                <c:pt idx="1782">
                  <c:v>44013</c:v>
                </c:pt>
                <c:pt idx="1783">
                  <c:v>44014</c:v>
                </c:pt>
                <c:pt idx="1784">
                  <c:v>44018</c:v>
                </c:pt>
                <c:pt idx="1785">
                  <c:v>44019</c:v>
                </c:pt>
                <c:pt idx="1786">
                  <c:v>44020</c:v>
                </c:pt>
                <c:pt idx="1787">
                  <c:v>44021</c:v>
                </c:pt>
                <c:pt idx="1788">
                  <c:v>44022</c:v>
                </c:pt>
                <c:pt idx="1789">
                  <c:v>44025</c:v>
                </c:pt>
                <c:pt idx="1790">
                  <c:v>44026</c:v>
                </c:pt>
                <c:pt idx="1791">
                  <c:v>44027</c:v>
                </c:pt>
                <c:pt idx="1792">
                  <c:v>44028</c:v>
                </c:pt>
                <c:pt idx="1793">
                  <c:v>44029</c:v>
                </c:pt>
                <c:pt idx="1794">
                  <c:v>44032</c:v>
                </c:pt>
                <c:pt idx="1795">
                  <c:v>44033</c:v>
                </c:pt>
                <c:pt idx="1796">
                  <c:v>44034</c:v>
                </c:pt>
                <c:pt idx="1797">
                  <c:v>44035</c:v>
                </c:pt>
                <c:pt idx="1798">
                  <c:v>44036</c:v>
                </c:pt>
                <c:pt idx="1799">
                  <c:v>44039</c:v>
                </c:pt>
                <c:pt idx="1800">
                  <c:v>44040</c:v>
                </c:pt>
                <c:pt idx="1801">
                  <c:v>44041</c:v>
                </c:pt>
                <c:pt idx="1802">
                  <c:v>44042</c:v>
                </c:pt>
                <c:pt idx="1803">
                  <c:v>44043</c:v>
                </c:pt>
                <c:pt idx="1804">
                  <c:v>44046</c:v>
                </c:pt>
                <c:pt idx="1805">
                  <c:v>44047</c:v>
                </c:pt>
                <c:pt idx="1806">
                  <c:v>44048</c:v>
                </c:pt>
                <c:pt idx="1807">
                  <c:v>44049</c:v>
                </c:pt>
                <c:pt idx="1808">
                  <c:v>44050</c:v>
                </c:pt>
                <c:pt idx="1809">
                  <c:v>44053</c:v>
                </c:pt>
                <c:pt idx="1810">
                  <c:v>44054</c:v>
                </c:pt>
                <c:pt idx="1811">
                  <c:v>44055</c:v>
                </c:pt>
                <c:pt idx="1812">
                  <c:v>44056</c:v>
                </c:pt>
                <c:pt idx="1813">
                  <c:v>44057</c:v>
                </c:pt>
                <c:pt idx="1814">
                  <c:v>44060</c:v>
                </c:pt>
                <c:pt idx="1815">
                  <c:v>44061</c:v>
                </c:pt>
                <c:pt idx="1816">
                  <c:v>44062</c:v>
                </c:pt>
                <c:pt idx="1817">
                  <c:v>44063</c:v>
                </c:pt>
                <c:pt idx="1818">
                  <c:v>44064</c:v>
                </c:pt>
                <c:pt idx="1819">
                  <c:v>44067</c:v>
                </c:pt>
                <c:pt idx="1820">
                  <c:v>44068</c:v>
                </c:pt>
                <c:pt idx="1821">
                  <c:v>44069</c:v>
                </c:pt>
                <c:pt idx="1822">
                  <c:v>44070</c:v>
                </c:pt>
                <c:pt idx="1823">
                  <c:v>44071</c:v>
                </c:pt>
                <c:pt idx="1824">
                  <c:v>44074</c:v>
                </c:pt>
                <c:pt idx="1825">
                  <c:v>44075</c:v>
                </c:pt>
                <c:pt idx="1826">
                  <c:v>44076</c:v>
                </c:pt>
                <c:pt idx="1827">
                  <c:v>44077</c:v>
                </c:pt>
                <c:pt idx="1828">
                  <c:v>44078</c:v>
                </c:pt>
                <c:pt idx="1829">
                  <c:v>44082</c:v>
                </c:pt>
                <c:pt idx="1830">
                  <c:v>44083</c:v>
                </c:pt>
                <c:pt idx="1831">
                  <c:v>44084</c:v>
                </c:pt>
                <c:pt idx="1832">
                  <c:v>44085</c:v>
                </c:pt>
                <c:pt idx="1833">
                  <c:v>44088</c:v>
                </c:pt>
                <c:pt idx="1834">
                  <c:v>44089</c:v>
                </c:pt>
                <c:pt idx="1835">
                  <c:v>44090</c:v>
                </c:pt>
                <c:pt idx="1836">
                  <c:v>44091</c:v>
                </c:pt>
                <c:pt idx="1837">
                  <c:v>44092</c:v>
                </c:pt>
                <c:pt idx="1838">
                  <c:v>44095</c:v>
                </c:pt>
                <c:pt idx="1839">
                  <c:v>44096</c:v>
                </c:pt>
                <c:pt idx="1840">
                  <c:v>44097</c:v>
                </c:pt>
                <c:pt idx="1841">
                  <c:v>44098</c:v>
                </c:pt>
                <c:pt idx="1842">
                  <c:v>44099</c:v>
                </c:pt>
                <c:pt idx="1843">
                  <c:v>44102</c:v>
                </c:pt>
                <c:pt idx="1844">
                  <c:v>44103</c:v>
                </c:pt>
                <c:pt idx="1845">
                  <c:v>44104</c:v>
                </c:pt>
                <c:pt idx="1846">
                  <c:v>44105</c:v>
                </c:pt>
                <c:pt idx="1847">
                  <c:v>44106</c:v>
                </c:pt>
                <c:pt idx="1848">
                  <c:v>44109</c:v>
                </c:pt>
                <c:pt idx="1849">
                  <c:v>44110</c:v>
                </c:pt>
                <c:pt idx="1850">
                  <c:v>44111</c:v>
                </c:pt>
                <c:pt idx="1851">
                  <c:v>44112</c:v>
                </c:pt>
                <c:pt idx="1852">
                  <c:v>44113</c:v>
                </c:pt>
                <c:pt idx="1853">
                  <c:v>44116</c:v>
                </c:pt>
                <c:pt idx="1854">
                  <c:v>44117</c:v>
                </c:pt>
                <c:pt idx="1855">
                  <c:v>44118</c:v>
                </c:pt>
                <c:pt idx="1856">
                  <c:v>44119</c:v>
                </c:pt>
                <c:pt idx="1857">
                  <c:v>44120</c:v>
                </c:pt>
                <c:pt idx="1858">
                  <c:v>44123</c:v>
                </c:pt>
                <c:pt idx="1859">
                  <c:v>44124</c:v>
                </c:pt>
                <c:pt idx="1860">
                  <c:v>44125</c:v>
                </c:pt>
                <c:pt idx="1861">
                  <c:v>44126</c:v>
                </c:pt>
                <c:pt idx="1862">
                  <c:v>44127</c:v>
                </c:pt>
                <c:pt idx="1863">
                  <c:v>44130</c:v>
                </c:pt>
                <c:pt idx="1864">
                  <c:v>44131</c:v>
                </c:pt>
                <c:pt idx="1865">
                  <c:v>44132</c:v>
                </c:pt>
                <c:pt idx="1866">
                  <c:v>44133</c:v>
                </c:pt>
                <c:pt idx="1867">
                  <c:v>44134</c:v>
                </c:pt>
                <c:pt idx="1868">
                  <c:v>44137</c:v>
                </c:pt>
                <c:pt idx="1869">
                  <c:v>44138</c:v>
                </c:pt>
                <c:pt idx="1870">
                  <c:v>44139</c:v>
                </c:pt>
                <c:pt idx="1871">
                  <c:v>44140</c:v>
                </c:pt>
                <c:pt idx="1872">
                  <c:v>44141</c:v>
                </c:pt>
                <c:pt idx="1873">
                  <c:v>44144</c:v>
                </c:pt>
                <c:pt idx="1874">
                  <c:v>44145</c:v>
                </c:pt>
                <c:pt idx="1875">
                  <c:v>44146</c:v>
                </c:pt>
                <c:pt idx="1876">
                  <c:v>44147</c:v>
                </c:pt>
                <c:pt idx="1877">
                  <c:v>44148</c:v>
                </c:pt>
                <c:pt idx="1878">
                  <c:v>44151</c:v>
                </c:pt>
                <c:pt idx="1879">
                  <c:v>44152</c:v>
                </c:pt>
                <c:pt idx="1880">
                  <c:v>44153</c:v>
                </c:pt>
                <c:pt idx="1881">
                  <c:v>44154</c:v>
                </c:pt>
                <c:pt idx="1882">
                  <c:v>44155</c:v>
                </c:pt>
                <c:pt idx="1883">
                  <c:v>44158</c:v>
                </c:pt>
                <c:pt idx="1884">
                  <c:v>44159</c:v>
                </c:pt>
                <c:pt idx="1885">
                  <c:v>44160</c:v>
                </c:pt>
                <c:pt idx="1886">
                  <c:v>44162</c:v>
                </c:pt>
                <c:pt idx="1887">
                  <c:v>44165</c:v>
                </c:pt>
                <c:pt idx="1888">
                  <c:v>44166</c:v>
                </c:pt>
                <c:pt idx="1889">
                  <c:v>44167</c:v>
                </c:pt>
                <c:pt idx="1890">
                  <c:v>44168</c:v>
                </c:pt>
                <c:pt idx="1891">
                  <c:v>44169</c:v>
                </c:pt>
                <c:pt idx="1892">
                  <c:v>44172</c:v>
                </c:pt>
                <c:pt idx="1893">
                  <c:v>44173</c:v>
                </c:pt>
                <c:pt idx="1894">
                  <c:v>44174</c:v>
                </c:pt>
                <c:pt idx="1895">
                  <c:v>44175</c:v>
                </c:pt>
                <c:pt idx="1896">
                  <c:v>44176</c:v>
                </c:pt>
                <c:pt idx="1897">
                  <c:v>44179</c:v>
                </c:pt>
                <c:pt idx="1898">
                  <c:v>44180</c:v>
                </c:pt>
                <c:pt idx="1899">
                  <c:v>44181</c:v>
                </c:pt>
                <c:pt idx="1900">
                  <c:v>44182</c:v>
                </c:pt>
                <c:pt idx="1901">
                  <c:v>44183</c:v>
                </c:pt>
                <c:pt idx="1902">
                  <c:v>44186</c:v>
                </c:pt>
                <c:pt idx="1903">
                  <c:v>44187</c:v>
                </c:pt>
                <c:pt idx="1904">
                  <c:v>44188</c:v>
                </c:pt>
                <c:pt idx="1905">
                  <c:v>44189</c:v>
                </c:pt>
                <c:pt idx="1906">
                  <c:v>44193</c:v>
                </c:pt>
                <c:pt idx="1907">
                  <c:v>44194</c:v>
                </c:pt>
                <c:pt idx="1908">
                  <c:v>44195</c:v>
                </c:pt>
                <c:pt idx="1909">
                  <c:v>44196</c:v>
                </c:pt>
                <c:pt idx="1910">
                  <c:v>44200</c:v>
                </c:pt>
                <c:pt idx="1911">
                  <c:v>44201</c:v>
                </c:pt>
                <c:pt idx="1912">
                  <c:v>44202</c:v>
                </c:pt>
                <c:pt idx="1913">
                  <c:v>44203</c:v>
                </c:pt>
                <c:pt idx="1914">
                  <c:v>44204</c:v>
                </c:pt>
                <c:pt idx="1915">
                  <c:v>44207</c:v>
                </c:pt>
                <c:pt idx="1916">
                  <c:v>44208</c:v>
                </c:pt>
                <c:pt idx="1917">
                  <c:v>44209</c:v>
                </c:pt>
                <c:pt idx="1918">
                  <c:v>44210</c:v>
                </c:pt>
                <c:pt idx="1919">
                  <c:v>44211</c:v>
                </c:pt>
                <c:pt idx="1920">
                  <c:v>44215</c:v>
                </c:pt>
                <c:pt idx="1921">
                  <c:v>44216</c:v>
                </c:pt>
                <c:pt idx="1922">
                  <c:v>44217</c:v>
                </c:pt>
                <c:pt idx="1923">
                  <c:v>44218</c:v>
                </c:pt>
                <c:pt idx="1924">
                  <c:v>44221</c:v>
                </c:pt>
                <c:pt idx="1925">
                  <c:v>44222</c:v>
                </c:pt>
                <c:pt idx="1926">
                  <c:v>44223</c:v>
                </c:pt>
                <c:pt idx="1927">
                  <c:v>44224</c:v>
                </c:pt>
                <c:pt idx="1928">
                  <c:v>44225</c:v>
                </c:pt>
                <c:pt idx="1929">
                  <c:v>44228</c:v>
                </c:pt>
                <c:pt idx="1930">
                  <c:v>44229</c:v>
                </c:pt>
                <c:pt idx="1931">
                  <c:v>44230</c:v>
                </c:pt>
                <c:pt idx="1932">
                  <c:v>44231</c:v>
                </c:pt>
                <c:pt idx="1933">
                  <c:v>44232</c:v>
                </c:pt>
                <c:pt idx="1934">
                  <c:v>44235</c:v>
                </c:pt>
                <c:pt idx="1935">
                  <c:v>44236</c:v>
                </c:pt>
                <c:pt idx="1936">
                  <c:v>44237</c:v>
                </c:pt>
                <c:pt idx="1937">
                  <c:v>44238</c:v>
                </c:pt>
                <c:pt idx="1938">
                  <c:v>44239</c:v>
                </c:pt>
                <c:pt idx="1939">
                  <c:v>44243</c:v>
                </c:pt>
                <c:pt idx="1940">
                  <c:v>44244</c:v>
                </c:pt>
                <c:pt idx="1941">
                  <c:v>44245</c:v>
                </c:pt>
                <c:pt idx="1942">
                  <c:v>44246</c:v>
                </c:pt>
                <c:pt idx="1943">
                  <c:v>44249</c:v>
                </c:pt>
                <c:pt idx="1944">
                  <c:v>44250</c:v>
                </c:pt>
                <c:pt idx="1945">
                  <c:v>44251</c:v>
                </c:pt>
                <c:pt idx="1946">
                  <c:v>44252</c:v>
                </c:pt>
                <c:pt idx="1947">
                  <c:v>44253</c:v>
                </c:pt>
                <c:pt idx="1948">
                  <c:v>44256</c:v>
                </c:pt>
                <c:pt idx="1949">
                  <c:v>44257</c:v>
                </c:pt>
                <c:pt idx="1950">
                  <c:v>44258</c:v>
                </c:pt>
                <c:pt idx="1951">
                  <c:v>44259</c:v>
                </c:pt>
                <c:pt idx="1952">
                  <c:v>44260</c:v>
                </c:pt>
                <c:pt idx="1953">
                  <c:v>44263</c:v>
                </c:pt>
                <c:pt idx="1954">
                  <c:v>44264</c:v>
                </c:pt>
                <c:pt idx="1955">
                  <c:v>44265</c:v>
                </c:pt>
                <c:pt idx="1956">
                  <c:v>44266</c:v>
                </c:pt>
                <c:pt idx="1957">
                  <c:v>44267</c:v>
                </c:pt>
                <c:pt idx="1958">
                  <c:v>44270</c:v>
                </c:pt>
                <c:pt idx="1959">
                  <c:v>44271</c:v>
                </c:pt>
                <c:pt idx="1960">
                  <c:v>44272</c:v>
                </c:pt>
                <c:pt idx="1961">
                  <c:v>44273</c:v>
                </c:pt>
                <c:pt idx="1962">
                  <c:v>44274</c:v>
                </c:pt>
                <c:pt idx="1963">
                  <c:v>44277</c:v>
                </c:pt>
                <c:pt idx="1964">
                  <c:v>44278</c:v>
                </c:pt>
                <c:pt idx="1965">
                  <c:v>44279</c:v>
                </c:pt>
                <c:pt idx="1966">
                  <c:v>44280</c:v>
                </c:pt>
                <c:pt idx="1967">
                  <c:v>44281</c:v>
                </c:pt>
                <c:pt idx="1968">
                  <c:v>44284</c:v>
                </c:pt>
                <c:pt idx="1969">
                  <c:v>44285</c:v>
                </c:pt>
                <c:pt idx="1970">
                  <c:v>44286</c:v>
                </c:pt>
                <c:pt idx="1971">
                  <c:v>44287</c:v>
                </c:pt>
                <c:pt idx="1972">
                  <c:v>44291</c:v>
                </c:pt>
                <c:pt idx="1973">
                  <c:v>44292</c:v>
                </c:pt>
                <c:pt idx="1974">
                  <c:v>44293</c:v>
                </c:pt>
                <c:pt idx="1975">
                  <c:v>44294</c:v>
                </c:pt>
                <c:pt idx="1976">
                  <c:v>44295</c:v>
                </c:pt>
                <c:pt idx="1977">
                  <c:v>44298</c:v>
                </c:pt>
                <c:pt idx="1978">
                  <c:v>44299</c:v>
                </c:pt>
                <c:pt idx="1979">
                  <c:v>44300</c:v>
                </c:pt>
                <c:pt idx="1980">
                  <c:v>44301</c:v>
                </c:pt>
                <c:pt idx="1981">
                  <c:v>44302</c:v>
                </c:pt>
                <c:pt idx="1982">
                  <c:v>44305</c:v>
                </c:pt>
                <c:pt idx="1983">
                  <c:v>44306</c:v>
                </c:pt>
                <c:pt idx="1984">
                  <c:v>44307</c:v>
                </c:pt>
                <c:pt idx="1985">
                  <c:v>44308</c:v>
                </c:pt>
                <c:pt idx="1986">
                  <c:v>44309</c:v>
                </c:pt>
              </c:numCache>
            </c:numRef>
          </c:cat>
          <c:val>
            <c:numRef>
              <c:f>Price_Vol!$B$2:$B$1988</c:f>
              <c:numCache>
                <c:formatCode>General</c:formatCode>
                <c:ptCount val="1987"/>
                <c:pt idx="0">
                  <c:v>206.35</c:v>
                </c:pt>
                <c:pt idx="1">
                  <c:v>205.02</c:v>
                </c:pt>
                <c:pt idx="2">
                  <c:v>203.98</c:v>
                </c:pt>
                <c:pt idx="3">
                  <c:v>201.2</c:v>
                </c:pt>
                <c:pt idx="4">
                  <c:v>203.77</c:v>
                </c:pt>
                <c:pt idx="5">
                  <c:v>202.2</c:v>
                </c:pt>
                <c:pt idx="6">
                  <c:v>203.04</c:v>
                </c:pt>
                <c:pt idx="7">
                  <c:v>204.87</c:v>
                </c:pt>
                <c:pt idx="8">
                  <c:v>201.94</c:v>
                </c:pt>
                <c:pt idx="9">
                  <c:v>197.35</c:v>
                </c:pt>
                <c:pt idx="10">
                  <c:v>195.46</c:v>
                </c:pt>
                <c:pt idx="11">
                  <c:v>193.54</c:v>
                </c:pt>
                <c:pt idx="12">
                  <c:v>194.98</c:v>
                </c:pt>
                <c:pt idx="13">
                  <c:v>194.86</c:v>
                </c:pt>
                <c:pt idx="14">
                  <c:v>195.65</c:v>
                </c:pt>
                <c:pt idx="15">
                  <c:v>191.11</c:v>
                </c:pt>
                <c:pt idx="16">
                  <c:v>191.28</c:v>
                </c:pt>
                <c:pt idx="17">
                  <c:v>191.5</c:v>
                </c:pt>
                <c:pt idx="18">
                  <c:v>193.25</c:v>
                </c:pt>
                <c:pt idx="19">
                  <c:v>193.25</c:v>
                </c:pt>
                <c:pt idx="20">
                  <c:v>194.93</c:v>
                </c:pt>
                <c:pt idx="21">
                  <c:v>194.98</c:v>
                </c:pt>
                <c:pt idx="22">
                  <c:v>191.3</c:v>
                </c:pt>
                <c:pt idx="23">
                  <c:v>192.25</c:v>
                </c:pt>
                <c:pt idx="24">
                  <c:v>192.8</c:v>
                </c:pt>
                <c:pt idx="25">
                  <c:v>192.07</c:v>
                </c:pt>
                <c:pt idx="26">
                  <c:v>194</c:v>
                </c:pt>
                <c:pt idx="27">
                  <c:v>193.85</c:v>
                </c:pt>
                <c:pt idx="28">
                  <c:v>194.55</c:v>
                </c:pt>
                <c:pt idx="29">
                  <c:v>197.99</c:v>
                </c:pt>
                <c:pt idx="30">
                  <c:v>193.54</c:v>
                </c:pt>
                <c:pt idx="31">
                  <c:v>194.09</c:v>
                </c:pt>
                <c:pt idx="32">
                  <c:v>194.98</c:v>
                </c:pt>
                <c:pt idx="33">
                  <c:v>196.61</c:v>
                </c:pt>
                <c:pt idx="34">
                  <c:v>197.22</c:v>
                </c:pt>
                <c:pt idx="35">
                  <c:v>197.35</c:v>
                </c:pt>
                <c:pt idx="36">
                  <c:v>196.21</c:v>
                </c:pt>
                <c:pt idx="37">
                  <c:v>196.01</c:v>
                </c:pt>
                <c:pt idx="38">
                  <c:v>195.04</c:v>
                </c:pt>
                <c:pt idx="39">
                  <c:v>195.81</c:v>
                </c:pt>
                <c:pt idx="40">
                  <c:v>195.16</c:v>
                </c:pt>
                <c:pt idx="41">
                  <c:v>195.5</c:v>
                </c:pt>
                <c:pt idx="42">
                  <c:v>190.99</c:v>
                </c:pt>
                <c:pt idx="43">
                  <c:v>188.56</c:v>
                </c:pt>
                <c:pt idx="44">
                  <c:v>187.93</c:v>
                </c:pt>
                <c:pt idx="45">
                  <c:v>187.82</c:v>
                </c:pt>
                <c:pt idx="46">
                  <c:v>189.09</c:v>
                </c:pt>
                <c:pt idx="47">
                  <c:v>188.42</c:v>
                </c:pt>
                <c:pt idx="48">
                  <c:v>187.53</c:v>
                </c:pt>
                <c:pt idx="49">
                  <c:v>185.79</c:v>
                </c:pt>
                <c:pt idx="50">
                  <c:v>185.34</c:v>
                </c:pt>
                <c:pt idx="51">
                  <c:v>184.23</c:v>
                </c:pt>
                <c:pt idx="52">
                  <c:v>184.56</c:v>
                </c:pt>
                <c:pt idx="53">
                  <c:v>184.86</c:v>
                </c:pt>
                <c:pt idx="54">
                  <c:v>185.19</c:v>
                </c:pt>
                <c:pt idx="55">
                  <c:v>185.42</c:v>
                </c:pt>
                <c:pt idx="56">
                  <c:v>184.74</c:v>
                </c:pt>
                <c:pt idx="57">
                  <c:v>182.74</c:v>
                </c:pt>
                <c:pt idx="58">
                  <c:v>182.16</c:v>
                </c:pt>
                <c:pt idx="59">
                  <c:v>182.64</c:v>
                </c:pt>
                <c:pt idx="60">
                  <c:v>182.27</c:v>
                </c:pt>
                <c:pt idx="61">
                  <c:v>183.96</c:v>
                </c:pt>
                <c:pt idx="62">
                  <c:v>183.13</c:v>
                </c:pt>
                <c:pt idx="63">
                  <c:v>184.15</c:v>
                </c:pt>
                <c:pt idx="64">
                  <c:v>183.03</c:v>
                </c:pt>
                <c:pt idx="65">
                  <c:v>184.98</c:v>
                </c:pt>
                <c:pt idx="66">
                  <c:v>186.6</c:v>
                </c:pt>
                <c:pt idx="67">
                  <c:v>190.7</c:v>
                </c:pt>
                <c:pt idx="68">
                  <c:v>190.73</c:v>
                </c:pt>
                <c:pt idx="69">
                  <c:v>192.17</c:v>
                </c:pt>
                <c:pt idx="70">
                  <c:v>193.15</c:v>
                </c:pt>
                <c:pt idx="71">
                  <c:v>192.16</c:v>
                </c:pt>
                <c:pt idx="72">
                  <c:v>194.42</c:v>
                </c:pt>
                <c:pt idx="73">
                  <c:v>193.39</c:v>
                </c:pt>
                <c:pt idx="74">
                  <c:v>190.02</c:v>
                </c:pt>
                <c:pt idx="75">
                  <c:v>190.99</c:v>
                </c:pt>
                <c:pt idx="76">
                  <c:v>189.97</c:v>
                </c:pt>
                <c:pt idx="77">
                  <c:v>189.47</c:v>
                </c:pt>
                <c:pt idx="78">
                  <c:v>190.22</c:v>
                </c:pt>
                <c:pt idx="79">
                  <c:v>186.92</c:v>
                </c:pt>
                <c:pt idx="80">
                  <c:v>185.18</c:v>
                </c:pt>
                <c:pt idx="81">
                  <c:v>186.38</c:v>
                </c:pt>
                <c:pt idx="82">
                  <c:v>184.96</c:v>
                </c:pt>
                <c:pt idx="83">
                  <c:v>183.86</c:v>
                </c:pt>
                <c:pt idx="84">
                  <c:v>184.1</c:v>
                </c:pt>
                <c:pt idx="85">
                  <c:v>182.01</c:v>
                </c:pt>
                <c:pt idx="86">
                  <c:v>178.72</c:v>
                </c:pt>
                <c:pt idx="87">
                  <c:v>181.32</c:v>
                </c:pt>
                <c:pt idx="88">
                  <c:v>184.77</c:v>
                </c:pt>
                <c:pt idx="89">
                  <c:v>186.16</c:v>
                </c:pt>
                <c:pt idx="90">
                  <c:v>186.97</c:v>
                </c:pt>
                <c:pt idx="91">
                  <c:v>184.66</c:v>
                </c:pt>
                <c:pt idx="92">
                  <c:v>186.73</c:v>
                </c:pt>
                <c:pt idx="93">
                  <c:v>174.83</c:v>
                </c:pt>
                <c:pt idx="94">
                  <c:v>173.78</c:v>
                </c:pt>
                <c:pt idx="95">
                  <c:v>172.86</c:v>
                </c:pt>
                <c:pt idx="96">
                  <c:v>174.97</c:v>
                </c:pt>
                <c:pt idx="97">
                  <c:v>175.77</c:v>
                </c:pt>
                <c:pt idx="98">
                  <c:v>177.8</c:v>
                </c:pt>
                <c:pt idx="99">
                  <c:v>176.85</c:v>
                </c:pt>
                <c:pt idx="100">
                  <c:v>177.35</c:v>
                </c:pt>
                <c:pt idx="101">
                  <c:v>182.12</c:v>
                </c:pt>
                <c:pt idx="102">
                  <c:v>180.15</c:v>
                </c:pt>
                <c:pt idx="103">
                  <c:v>179.21</c:v>
                </c:pt>
                <c:pt idx="104">
                  <c:v>179.23</c:v>
                </c:pt>
                <c:pt idx="105">
                  <c:v>180.27</c:v>
                </c:pt>
                <c:pt idx="106">
                  <c:v>177.85</c:v>
                </c:pt>
                <c:pt idx="107">
                  <c:v>179.19</c:v>
                </c:pt>
                <c:pt idx="108">
                  <c:v>180</c:v>
                </c:pt>
                <c:pt idx="109">
                  <c:v>179.99</c:v>
                </c:pt>
                <c:pt idx="110">
                  <c:v>182.88</c:v>
                </c:pt>
                <c:pt idx="111">
                  <c:v>183.07</c:v>
                </c:pt>
                <c:pt idx="112">
                  <c:v>183.55</c:v>
                </c:pt>
                <c:pt idx="113">
                  <c:v>182.21</c:v>
                </c:pt>
                <c:pt idx="114">
                  <c:v>183.19</c:v>
                </c:pt>
                <c:pt idx="115">
                  <c:v>184.47</c:v>
                </c:pt>
                <c:pt idx="116">
                  <c:v>185.25</c:v>
                </c:pt>
                <c:pt idx="117">
                  <c:v>185.19</c:v>
                </c:pt>
                <c:pt idx="118">
                  <c:v>184.13</c:v>
                </c:pt>
                <c:pt idx="119">
                  <c:v>181.3</c:v>
                </c:pt>
                <c:pt idx="120">
                  <c:v>178.94</c:v>
                </c:pt>
                <c:pt idx="121">
                  <c:v>177.31</c:v>
                </c:pt>
                <c:pt idx="122">
                  <c:v>178.97</c:v>
                </c:pt>
                <c:pt idx="123">
                  <c:v>178.97</c:v>
                </c:pt>
                <c:pt idx="124">
                  <c:v>177.48</c:v>
                </c:pt>
                <c:pt idx="125">
                  <c:v>176.08</c:v>
                </c:pt>
                <c:pt idx="126">
                  <c:v>175.74</c:v>
                </c:pt>
                <c:pt idx="127">
                  <c:v>176.08</c:v>
                </c:pt>
                <c:pt idx="128">
                  <c:v>177.67</c:v>
                </c:pt>
                <c:pt idx="129">
                  <c:v>177.46</c:v>
                </c:pt>
                <c:pt idx="130">
                  <c:v>177.12</c:v>
                </c:pt>
                <c:pt idx="131">
                  <c:v>175.2</c:v>
                </c:pt>
                <c:pt idx="132">
                  <c:v>173.37</c:v>
                </c:pt>
                <c:pt idx="133">
                  <c:v>172.8</c:v>
                </c:pt>
                <c:pt idx="134">
                  <c:v>177.85</c:v>
                </c:pt>
                <c:pt idx="135">
                  <c:v>175.76</c:v>
                </c:pt>
                <c:pt idx="136">
                  <c:v>178.7</c:v>
                </c:pt>
                <c:pt idx="137">
                  <c:v>180.22</c:v>
                </c:pt>
                <c:pt idx="138">
                  <c:v>180.02</c:v>
                </c:pt>
                <c:pt idx="139">
                  <c:v>182.23</c:v>
                </c:pt>
                <c:pt idx="140">
                  <c:v>183.22</c:v>
                </c:pt>
                <c:pt idx="141">
                  <c:v>185.35</c:v>
                </c:pt>
                <c:pt idx="142">
                  <c:v>185.08</c:v>
                </c:pt>
                <c:pt idx="143">
                  <c:v>186.41</c:v>
                </c:pt>
                <c:pt idx="144">
                  <c:v>187.57</c:v>
                </c:pt>
                <c:pt idx="145">
                  <c:v>185.53</c:v>
                </c:pt>
                <c:pt idx="146">
                  <c:v>186.64</c:v>
                </c:pt>
                <c:pt idx="147">
                  <c:v>186</c:v>
                </c:pt>
                <c:pt idx="148">
                  <c:v>189.71</c:v>
                </c:pt>
                <c:pt idx="149">
                  <c:v>187.97</c:v>
                </c:pt>
                <c:pt idx="150">
                  <c:v>187.38</c:v>
                </c:pt>
                <c:pt idx="151">
                  <c:v>187.26</c:v>
                </c:pt>
                <c:pt idx="152">
                  <c:v>184.16</c:v>
                </c:pt>
                <c:pt idx="153">
                  <c:v>185.92</c:v>
                </c:pt>
                <c:pt idx="154">
                  <c:v>187.74</c:v>
                </c:pt>
                <c:pt idx="155">
                  <c:v>188.76</c:v>
                </c:pt>
                <c:pt idx="156">
                  <c:v>190.09</c:v>
                </c:pt>
                <c:pt idx="157">
                  <c:v>188.43</c:v>
                </c:pt>
                <c:pt idx="158">
                  <c:v>182.25</c:v>
                </c:pt>
                <c:pt idx="159">
                  <c:v>182.73</c:v>
                </c:pt>
                <c:pt idx="160">
                  <c:v>179.64</c:v>
                </c:pt>
                <c:pt idx="161">
                  <c:v>177.9</c:v>
                </c:pt>
                <c:pt idx="162">
                  <c:v>176.85</c:v>
                </c:pt>
                <c:pt idx="163">
                  <c:v>176.4</c:v>
                </c:pt>
                <c:pt idx="164">
                  <c:v>177.36</c:v>
                </c:pt>
                <c:pt idx="165">
                  <c:v>176.68</c:v>
                </c:pt>
                <c:pt idx="166">
                  <c:v>172.9</c:v>
                </c:pt>
                <c:pt idx="167">
                  <c:v>172.84</c:v>
                </c:pt>
                <c:pt idx="168">
                  <c:v>174.24</c:v>
                </c:pt>
                <c:pt idx="169">
                  <c:v>174.67</c:v>
                </c:pt>
                <c:pt idx="170">
                  <c:v>177.25</c:v>
                </c:pt>
                <c:pt idx="171">
                  <c:v>177.14</c:v>
                </c:pt>
                <c:pt idx="172">
                  <c:v>179.7</c:v>
                </c:pt>
                <c:pt idx="173">
                  <c:v>180.24</c:v>
                </c:pt>
                <c:pt idx="174">
                  <c:v>181.84</c:v>
                </c:pt>
                <c:pt idx="175">
                  <c:v>183.69</c:v>
                </c:pt>
                <c:pt idx="176">
                  <c:v>183.19</c:v>
                </c:pt>
                <c:pt idx="177">
                  <c:v>182.95</c:v>
                </c:pt>
                <c:pt idx="178">
                  <c:v>184.26</c:v>
                </c:pt>
                <c:pt idx="179">
                  <c:v>182.79</c:v>
                </c:pt>
                <c:pt idx="180">
                  <c:v>183.45</c:v>
                </c:pt>
                <c:pt idx="181">
                  <c:v>183.23</c:v>
                </c:pt>
                <c:pt idx="182">
                  <c:v>184.06</c:v>
                </c:pt>
                <c:pt idx="183">
                  <c:v>185.27</c:v>
                </c:pt>
                <c:pt idx="184">
                  <c:v>185.17</c:v>
                </c:pt>
                <c:pt idx="185">
                  <c:v>184.26</c:v>
                </c:pt>
                <c:pt idx="186">
                  <c:v>186.44</c:v>
                </c:pt>
                <c:pt idx="187">
                  <c:v>187.14</c:v>
                </c:pt>
                <c:pt idx="188">
                  <c:v>187.64</c:v>
                </c:pt>
                <c:pt idx="189">
                  <c:v>187.68</c:v>
                </c:pt>
                <c:pt idx="190">
                  <c:v>186.39</c:v>
                </c:pt>
                <c:pt idx="191">
                  <c:v>186.76</c:v>
                </c:pt>
                <c:pt idx="192">
                  <c:v>186.22</c:v>
                </c:pt>
                <c:pt idx="193">
                  <c:v>183.9</c:v>
                </c:pt>
                <c:pt idx="194">
                  <c:v>182.21</c:v>
                </c:pt>
                <c:pt idx="195">
                  <c:v>185.81</c:v>
                </c:pt>
                <c:pt idx="196">
                  <c:v>186.81</c:v>
                </c:pt>
                <c:pt idx="197">
                  <c:v>184.71</c:v>
                </c:pt>
                <c:pt idx="198">
                  <c:v>187.9</c:v>
                </c:pt>
                <c:pt idx="199">
                  <c:v>186.67</c:v>
                </c:pt>
                <c:pt idx="200">
                  <c:v>188.25</c:v>
                </c:pt>
                <c:pt idx="201">
                  <c:v>195.04</c:v>
                </c:pt>
                <c:pt idx="202">
                  <c:v>192.62</c:v>
                </c:pt>
                <c:pt idx="203">
                  <c:v>189.83</c:v>
                </c:pt>
                <c:pt idx="204">
                  <c:v>190.45</c:v>
                </c:pt>
                <c:pt idx="205">
                  <c:v>192.49</c:v>
                </c:pt>
                <c:pt idx="206">
                  <c:v>194.5</c:v>
                </c:pt>
                <c:pt idx="207">
                  <c:v>193.55</c:v>
                </c:pt>
                <c:pt idx="208">
                  <c:v>192.69</c:v>
                </c:pt>
                <c:pt idx="209">
                  <c:v>191.77</c:v>
                </c:pt>
                <c:pt idx="210">
                  <c:v>194.52</c:v>
                </c:pt>
                <c:pt idx="211">
                  <c:v>193.29</c:v>
                </c:pt>
                <c:pt idx="212">
                  <c:v>196.64</c:v>
                </c:pt>
                <c:pt idx="213">
                  <c:v>195.68</c:v>
                </c:pt>
                <c:pt idx="214">
                  <c:v>195.19</c:v>
                </c:pt>
                <c:pt idx="215">
                  <c:v>197.77</c:v>
                </c:pt>
                <c:pt idx="216">
                  <c:v>197.02</c:v>
                </c:pt>
                <c:pt idx="217">
                  <c:v>196.4</c:v>
                </c:pt>
                <c:pt idx="218">
                  <c:v>190.01</c:v>
                </c:pt>
                <c:pt idx="219">
                  <c:v>192.27</c:v>
                </c:pt>
                <c:pt idx="220">
                  <c:v>192.15</c:v>
                </c:pt>
                <c:pt idx="221">
                  <c:v>191.73</c:v>
                </c:pt>
                <c:pt idx="222">
                  <c:v>190.22</c:v>
                </c:pt>
                <c:pt idx="223">
                  <c:v>189.63</c:v>
                </c:pt>
                <c:pt idx="224">
                  <c:v>193.14</c:v>
                </c:pt>
                <c:pt idx="225">
                  <c:v>195.11</c:v>
                </c:pt>
                <c:pt idx="226">
                  <c:v>196.47</c:v>
                </c:pt>
                <c:pt idx="227">
                  <c:v>193.53</c:v>
                </c:pt>
                <c:pt idx="228">
                  <c:v>191.44</c:v>
                </c:pt>
                <c:pt idx="229">
                  <c:v>191.26</c:v>
                </c:pt>
                <c:pt idx="230">
                  <c:v>190.03</c:v>
                </c:pt>
                <c:pt idx="231">
                  <c:v>189.3</c:v>
                </c:pt>
                <c:pt idx="232">
                  <c:v>188.91</c:v>
                </c:pt>
                <c:pt idx="233">
                  <c:v>190.08</c:v>
                </c:pt>
                <c:pt idx="234">
                  <c:v>192.57</c:v>
                </c:pt>
                <c:pt idx="235">
                  <c:v>192.19</c:v>
                </c:pt>
                <c:pt idx="236">
                  <c:v>188.72</c:v>
                </c:pt>
                <c:pt idx="237">
                  <c:v>186.46</c:v>
                </c:pt>
                <c:pt idx="238">
                  <c:v>187.06</c:v>
                </c:pt>
                <c:pt idx="239">
                  <c:v>187</c:v>
                </c:pt>
                <c:pt idx="240">
                  <c:v>184.89</c:v>
                </c:pt>
                <c:pt idx="241">
                  <c:v>186.39</c:v>
                </c:pt>
                <c:pt idx="242">
                  <c:v>185.68</c:v>
                </c:pt>
                <c:pt idx="243">
                  <c:v>185.94</c:v>
                </c:pt>
                <c:pt idx="244">
                  <c:v>184.78</c:v>
                </c:pt>
                <c:pt idx="245">
                  <c:v>183.08</c:v>
                </c:pt>
                <c:pt idx="246">
                  <c:v>183.76</c:v>
                </c:pt>
                <c:pt idx="247">
                  <c:v>184.36</c:v>
                </c:pt>
                <c:pt idx="248">
                  <c:v>185.69</c:v>
                </c:pt>
                <c:pt idx="249">
                  <c:v>184.37</c:v>
                </c:pt>
                <c:pt idx="250">
                  <c:v>184.51</c:v>
                </c:pt>
                <c:pt idx="251">
                  <c:v>185.98</c:v>
                </c:pt>
                <c:pt idx="252">
                  <c:v>186.37</c:v>
                </c:pt>
                <c:pt idx="253">
                  <c:v>186.22</c:v>
                </c:pt>
                <c:pt idx="254">
                  <c:v>184.29</c:v>
                </c:pt>
                <c:pt idx="255">
                  <c:v>182.25</c:v>
                </c:pt>
                <c:pt idx="256">
                  <c:v>181.22</c:v>
                </c:pt>
                <c:pt idx="257">
                  <c:v>182.56</c:v>
                </c:pt>
                <c:pt idx="258">
                  <c:v>182.35</c:v>
                </c:pt>
                <c:pt idx="259">
                  <c:v>182.26</c:v>
                </c:pt>
                <c:pt idx="260">
                  <c:v>183.6</c:v>
                </c:pt>
                <c:pt idx="261">
                  <c:v>182.82</c:v>
                </c:pt>
                <c:pt idx="262">
                  <c:v>181.55</c:v>
                </c:pt>
                <c:pt idx="263">
                  <c:v>182.14</c:v>
                </c:pt>
                <c:pt idx="264">
                  <c:v>180.88</c:v>
                </c:pt>
                <c:pt idx="265">
                  <c:v>180.72</c:v>
                </c:pt>
                <c:pt idx="266">
                  <c:v>180.37</c:v>
                </c:pt>
                <c:pt idx="267">
                  <c:v>181.71</c:v>
                </c:pt>
                <c:pt idx="268">
                  <c:v>181.27</c:v>
                </c:pt>
                <c:pt idx="269">
                  <c:v>186.35</c:v>
                </c:pt>
                <c:pt idx="270">
                  <c:v>188.39</c:v>
                </c:pt>
                <c:pt idx="271">
                  <c:v>188.53</c:v>
                </c:pt>
                <c:pt idx="272">
                  <c:v>188.04</c:v>
                </c:pt>
                <c:pt idx="273">
                  <c:v>187.22</c:v>
                </c:pt>
                <c:pt idx="274">
                  <c:v>188.42</c:v>
                </c:pt>
                <c:pt idx="275">
                  <c:v>187.7</c:v>
                </c:pt>
                <c:pt idx="276">
                  <c:v>188</c:v>
                </c:pt>
                <c:pt idx="277">
                  <c:v>189.86</c:v>
                </c:pt>
                <c:pt idx="278">
                  <c:v>188.49</c:v>
                </c:pt>
                <c:pt idx="279">
                  <c:v>192.36</c:v>
                </c:pt>
                <c:pt idx="280">
                  <c:v>192.49</c:v>
                </c:pt>
                <c:pt idx="281">
                  <c:v>192.5</c:v>
                </c:pt>
                <c:pt idx="282">
                  <c:v>190.85</c:v>
                </c:pt>
                <c:pt idx="283">
                  <c:v>194.09</c:v>
                </c:pt>
                <c:pt idx="284">
                  <c:v>193.63</c:v>
                </c:pt>
                <c:pt idx="285">
                  <c:v>195.24</c:v>
                </c:pt>
                <c:pt idx="286">
                  <c:v>194.4</c:v>
                </c:pt>
                <c:pt idx="287">
                  <c:v>195.78</c:v>
                </c:pt>
                <c:pt idx="288">
                  <c:v>194.57</c:v>
                </c:pt>
                <c:pt idx="289">
                  <c:v>194</c:v>
                </c:pt>
                <c:pt idx="290">
                  <c:v>191.67</c:v>
                </c:pt>
                <c:pt idx="291">
                  <c:v>189.15</c:v>
                </c:pt>
                <c:pt idx="292">
                  <c:v>189.64</c:v>
                </c:pt>
                <c:pt idx="293">
                  <c:v>187.1</c:v>
                </c:pt>
                <c:pt idx="294">
                  <c:v>185.97</c:v>
                </c:pt>
                <c:pt idx="295">
                  <c:v>184.3</c:v>
                </c:pt>
                <c:pt idx="296">
                  <c:v>186.63</c:v>
                </c:pt>
                <c:pt idx="297">
                  <c:v>187.47</c:v>
                </c:pt>
                <c:pt idx="298">
                  <c:v>187.34</c:v>
                </c:pt>
                <c:pt idx="299">
                  <c:v>187.95</c:v>
                </c:pt>
                <c:pt idx="300">
                  <c:v>187.88</c:v>
                </c:pt>
                <c:pt idx="301">
                  <c:v>187.38</c:v>
                </c:pt>
                <c:pt idx="302">
                  <c:v>190.07</c:v>
                </c:pt>
                <c:pt idx="303">
                  <c:v>190.07</c:v>
                </c:pt>
                <c:pt idx="304">
                  <c:v>190.1</c:v>
                </c:pt>
                <c:pt idx="305">
                  <c:v>191.23</c:v>
                </c:pt>
                <c:pt idx="306">
                  <c:v>190.41</c:v>
                </c:pt>
                <c:pt idx="307">
                  <c:v>191.16</c:v>
                </c:pt>
                <c:pt idx="308">
                  <c:v>192.99</c:v>
                </c:pt>
                <c:pt idx="309">
                  <c:v>192.25</c:v>
                </c:pt>
                <c:pt idx="310">
                  <c:v>192</c:v>
                </c:pt>
                <c:pt idx="311">
                  <c:v>192.3</c:v>
                </c:pt>
                <c:pt idx="312">
                  <c:v>192.3</c:v>
                </c:pt>
                <c:pt idx="313">
                  <c:v>191.56</c:v>
                </c:pt>
                <c:pt idx="314">
                  <c:v>191.95</c:v>
                </c:pt>
                <c:pt idx="315">
                  <c:v>190.68</c:v>
                </c:pt>
                <c:pt idx="316">
                  <c:v>191.2</c:v>
                </c:pt>
                <c:pt idx="317">
                  <c:v>190.14</c:v>
                </c:pt>
                <c:pt idx="318">
                  <c:v>189.99</c:v>
                </c:pt>
                <c:pt idx="319">
                  <c:v>191.54</c:v>
                </c:pt>
                <c:pt idx="320">
                  <c:v>191.72</c:v>
                </c:pt>
                <c:pt idx="321">
                  <c:v>191.28</c:v>
                </c:pt>
                <c:pt idx="322">
                  <c:v>191.81</c:v>
                </c:pt>
                <c:pt idx="323">
                  <c:v>192.96</c:v>
                </c:pt>
                <c:pt idx="324">
                  <c:v>192.8</c:v>
                </c:pt>
                <c:pt idx="325">
                  <c:v>193.75</c:v>
                </c:pt>
                <c:pt idx="326">
                  <c:v>194</c:v>
                </c:pt>
                <c:pt idx="327">
                  <c:v>193.11</c:v>
                </c:pt>
                <c:pt idx="328">
                  <c:v>191.62</c:v>
                </c:pt>
                <c:pt idx="329">
                  <c:v>192.31</c:v>
                </c:pt>
                <c:pt idx="330">
                  <c:v>189.01</c:v>
                </c:pt>
                <c:pt idx="331">
                  <c:v>190.06</c:v>
                </c:pt>
                <c:pt idx="332">
                  <c:v>189.64</c:v>
                </c:pt>
                <c:pt idx="333">
                  <c:v>189.83</c:v>
                </c:pt>
                <c:pt idx="334">
                  <c:v>187.17</c:v>
                </c:pt>
                <c:pt idx="335">
                  <c:v>186.91</c:v>
                </c:pt>
                <c:pt idx="336">
                  <c:v>188.67</c:v>
                </c:pt>
                <c:pt idx="337">
                  <c:v>189.04</c:v>
                </c:pt>
                <c:pt idx="338">
                  <c:v>185.71</c:v>
                </c:pt>
                <c:pt idx="339">
                  <c:v>189.36</c:v>
                </c:pt>
                <c:pt idx="340">
                  <c:v>186.42</c:v>
                </c:pt>
                <c:pt idx="341">
                  <c:v>185.93</c:v>
                </c:pt>
                <c:pt idx="342">
                  <c:v>183.52</c:v>
                </c:pt>
                <c:pt idx="343">
                  <c:v>183.8</c:v>
                </c:pt>
                <c:pt idx="344">
                  <c:v>181.75</c:v>
                </c:pt>
                <c:pt idx="345">
                  <c:v>179.84</c:v>
                </c:pt>
                <c:pt idx="346">
                  <c:v>182.05</c:v>
                </c:pt>
                <c:pt idx="347">
                  <c:v>169.1</c:v>
                </c:pt>
                <c:pt idx="348">
                  <c:v>163.22999999999999</c:v>
                </c:pt>
                <c:pt idx="349">
                  <c:v>161.79</c:v>
                </c:pt>
                <c:pt idx="350">
                  <c:v>162.18</c:v>
                </c:pt>
                <c:pt idx="351">
                  <c:v>162.18</c:v>
                </c:pt>
                <c:pt idx="352">
                  <c:v>163.6</c:v>
                </c:pt>
                <c:pt idx="353">
                  <c:v>163.6</c:v>
                </c:pt>
                <c:pt idx="354">
                  <c:v>163.46</c:v>
                </c:pt>
                <c:pt idx="355">
                  <c:v>164.35</c:v>
                </c:pt>
                <c:pt idx="356">
                  <c:v>164.4</c:v>
                </c:pt>
                <c:pt idx="357">
                  <c:v>164.36</c:v>
                </c:pt>
                <c:pt idx="358">
                  <c:v>162.65</c:v>
                </c:pt>
                <c:pt idx="359">
                  <c:v>161.82</c:v>
                </c:pt>
                <c:pt idx="360">
                  <c:v>161.46</c:v>
                </c:pt>
                <c:pt idx="361">
                  <c:v>162.07</c:v>
                </c:pt>
                <c:pt idx="362">
                  <c:v>163.49</c:v>
                </c:pt>
                <c:pt idx="363">
                  <c:v>163.30000000000001</c:v>
                </c:pt>
                <c:pt idx="364">
                  <c:v>161.91999999999999</c:v>
                </c:pt>
                <c:pt idx="365">
                  <c:v>162.79</c:v>
                </c:pt>
                <c:pt idx="366">
                  <c:v>164.16</c:v>
                </c:pt>
                <c:pt idx="367">
                  <c:v>164.16</c:v>
                </c:pt>
                <c:pt idx="368">
                  <c:v>161.88999999999999</c:v>
                </c:pt>
                <c:pt idx="369">
                  <c:v>161.43</c:v>
                </c:pt>
                <c:pt idx="370">
                  <c:v>160.63999999999999</c:v>
                </c:pt>
                <c:pt idx="371">
                  <c:v>160.91999999999999</c:v>
                </c:pt>
                <c:pt idx="372">
                  <c:v>162.15</c:v>
                </c:pt>
                <c:pt idx="373">
                  <c:v>161.76</c:v>
                </c:pt>
                <c:pt idx="374">
                  <c:v>161.94999999999999</c:v>
                </c:pt>
                <c:pt idx="375">
                  <c:v>161.94999999999999</c:v>
                </c:pt>
                <c:pt idx="376">
                  <c:v>162.16999999999999</c:v>
                </c:pt>
                <c:pt idx="377">
                  <c:v>161.54</c:v>
                </c:pt>
                <c:pt idx="378">
                  <c:v>162.66999999999999</c:v>
                </c:pt>
                <c:pt idx="379">
                  <c:v>164.52</c:v>
                </c:pt>
                <c:pt idx="380">
                  <c:v>164.05</c:v>
                </c:pt>
                <c:pt idx="381">
                  <c:v>163.27000000000001</c:v>
                </c:pt>
                <c:pt idx="382">
                  <c:v>161.86000000000001</c:v>
                </c:pt>
                <c:pt idx="383">
                  <c:v>162.99</c:v>
                </c:pt>
                <c:pt idx="384">
                  <c:v>160.51</c:v>
                </c:pt>
                <c:pt idx="385">
                  <c:v>161.07</c:v>
                </c:pt>
                <c:pt idx="386">
                  <c:v>155.38</c:v>
                </c:pt>
                <c:pt idx="387">
                  <c:v>153.06</c:v>
                </c:pt>
                <c:pt idx="388">
                  <c:v>151.41</c:v>
                </c:pt>
                <c:pt idx="389">
                  <c:v>151.93</c:v>
                </c:pt>
                <c:pt idx="390">
                  <c:v>157.68</c:v>
                </c:pt>
                <c:pt idx="391">
                  <c:v>158.51</c:v>
                </c:pt>
                <c:pt idx="392">
                  <c:v>161.44</c:v>
                </c:pt>
                <c:pt idx="393">
                  <c:v>162.24</c:v>
                </c:pt>
                <c:pt idx="394">
                  <c:v>161.82</c:v>
                </c:pt>
                <c:pt idx="395">
                  <c:v>162.34</c:v>
                </c:pt>
                <c:pt idx="396">
                  <c:v>160.51</c:v>
                </c:pt>
                <c:pt idx="397">
                  <c:v>160.05000000000001</c:v>
                </c:pt>
                <c:pt idx="398">
                  <c:v>160.44</c:v>
                </c:pt>
                <c:pt idx="399">
                  <c:v>162.06</c:v>
                </c:pt>
                <c:pt idx="400">
                  <c:v>159.51</c:v>
                </c:pt>
                <c:pt idx="401">
                  <c:v>156.07</c:v>
                </c:pt>
                <c:pt idx="402">
                  <c:v>155.05000000000001</c:v>
                </c:pt>
                <c:pt idx="403">
                  <c:v>158.41999999999999</c:v>
                </c:pt>
                <c:pt idx="404">
                  <c:v>159.11000000000001</c:v>
                </c:pt>
                <c:pt idx="405">
                  <c:v>156.44</c:v>
                </c:pt>
                <c:pt idx="406">
                  <c:v>156.81</c:v>
                </c:pt>
                <c:pt idx="407">
                  <c:v>155.80000000000001</c:v>
                </c:pt>
                <c:pt idx="408">
                  <c:v>154.57</c:v>
                </c:pt>
                <c:pt idx="409">
                  <c:v>157.13999999999999</c:v>
                </c:pt>
                <c:pt idx="410">
                  <c:v>156.94999999999999</c:v>
                </c:pt>
                <c:pt idx="411">
                  <c:v>152.09</c:v>
                </c:pt>
                <c:pt idx="412">
                  <c:v>155.38999999999999</c:v>
                </c:pt>
                <c:pt idx="413">
                  <c:v>155.87</c:v>
                </c:pt>
                <c:pt idx="414">
                  <c:v>156.36000000000001</c:v>
                </c:pt>
                <c:pt idx="415">
                  <c:v>153.66999999999999</c:v>
                </c:pt>
                <c:pt idx="416">
                  <c:v>151.55000000000001</c:v>
                </c:pt>
                <c:pt idx="417">
                  <c:v>155.47999999999999</c:v>
                </c:pt>
                <c:pt idx="418">
                  <c:v>153.31</c:v>
                </c:pt>
                <c:pt idx="419">
                  <c:v>154.66</c:v>
                </c:pt>
                <c:pt idx="420">
                  <c:v>158.47</c:v>
                </c:pt>
                <c:pt idx="421">
                  <c:v>156.96</c:v>
                </c:pt>
                <c:pt idx="422">
                  <c:v>157.91</c:v>
                </c:pt>
                <c:pt idx="423">
                  <c:v>156.72</c:v>
                </c:pt>
                <c:pt idx="424">
                  <c:v>155.75</c:v>
                </c:pt>
                <c:pt idx="425">
                  <c:v>158.56</c:v>
                </c:pt>
                <c:pt idx="426">
                  <c:v>158.19999999999999</c:v>
                </c:pt>
                <c:pt idx="427">
                  <c:v>158.52000000000001</c:v>
                </c:pt>
                <c:pt idx="428">
                  <c:v>160.4</c:v>
                </c:pt>
                <c:pt idx="429">
                  <c:v>160.96</c:v>
                </c:pt>
                <c:pt idx="430">
                  <c:v>162.19</c:v>
                </c:pt>
                <c:pt idx="431">
                  <c:v>163.89</c:v>
                </c:pt>
                <c:pt idx="432">
                  <c:v>163.65</c:v>
                </c:pt>
                <c:pt idx="433">
                  <c:v>162.91</c:v>
                </c:pt>
                <c:pt idx="434">
                  <c:v>164.83</c:v>
                </c:pt>
                <c:pt idx="435">
                  <c:v>162.81</c:v>
                </c:pt>
                <c:pt idx="436">
                  <c:v>160.87</c:v>
                </c:pt>
                <c:pt idx="437">
                  <c:v>161.94</c:v>
                </c:pt>
                <c:pt idx="438">
                  <c:v>160.47999999999999</c:v>
                </c:pt>
                <c:pt idx="439">
                  <c:v>161.03</c:v>
                </c:pt>
                <c:pt idx="440">
                  <c:v>159.41999999999999</c:v>
                </c:pt>
                <c:pt idx="441">
                  <c:v>161.18</c:v>
                </c:pt>
                <c:pt idx="442">
                  <c:v>158.5</c:v>
                </c:pt>
                <c:pt idx="443">
                  <c:v>160.77000000000001</c:v>
                </c:pt>
                <c:pt idx="444">
                  <c:v>157.81</c:v>
                </c:pt>
                <c:pt idx="445">
                  <c:v>156.80000000000001</c:v>
                </c:pt>
                <c:pt idx="446">
                  <c:v>157.97999999999999</c:v>
                </c:pt>
                <c:pt idx="447">
                  <c:v>154.28</c:v>
                </c:pt>
                <c:pt idx="448">
                  <c:v>157.08000000000001</c:v>
                </c:pt>
                <c:pt idx="449">
                  <c:v>156.96</c:v>
                </c:pt>
                <c:pt idx="450">
                  <c:v>159.81</c:v>
                </c:pt>
                <c:pt idx="451">
                  <c:v>159.81</c:v>
                </c:pt>
                <c:pt idx="452">
                  <c:v>162.88</c:v>
                </c:pt>
                <c:pt idx="453">
                  <c:v>164.63</c:v>
                </c:pt>
                <c:pt idx="454">
                  <c:v>163</c:v>
                </c:pt>
                <c:pt idx="455">
                  <c:v>159.19999999999999</c:v>
                </c:pt>
                <c:pt idx="456">
                  <c:v>160.59</c:v>
                </c:pt>
                <c:pt idx="457">
                  <c:v>160.4</c:v>
                </c:pt>
                <c:pt idx="458">
                  <c:v>162.66999999999999</c:v>
                </c:pt>
                <c:pt idx="459">
                  <c:v>160.5</c:v>
                </c:pt>
                <c:pt idx="460">
                  <c:v>159.18</c:v>
                </c:pt>
                <c:pt idx="461">
                  <c:v>160.44999999999999</c:v>
                </c:pt>
                <c:pt idx="462">
                  <c:v>162.04</c:v>
                </c:pt>
                <c:pt idx="463">
                  <c:v>162.07</c:v>
                </c:pt>
                <c:pt idx="464">
                  <c:v>161.85</c:v>
                </c:pt>
                <c:pt idx="465">
                  <c:v>162.34</c:v>
                </c:pt>
                <c:pt idx="466">
                  <c:v>162.86000000000001</c:v>
                </c:pt>
                <c:pt idx="467">
                  <c:v>162.38</c:v>
                </c:pt>
                <c:pt idx="468">
                  <c:v>162.30000000000001</c:v>
                </c:pt>
                <c:pt idx="469">
                  <c:v>164.13</c:v>
                </c:pt>
                <c:pt idx="470">
                  <c:v>163.13</c:v>
                </c:pt>
                <c:pt idx="471">
                  <c:v>160.66999999999999</c:v>
                </c:pt>
                <c:pt idx="472">
                  <c:v>166.16</c:v>
                </c:pt>
                <c:pt idx="473">
                  <c:v>164.26</c:v>
                </c:pt>
                <c:pt idx="474">
                  <c:v>165.36</c:v>
                </c:pt>
                <c:pt idx="475">
                  <c:v>170.24</c:v>
                </c:pt>
                <c:pt idx="476">
                  <c:v>169.78</c:v>
                </c:pt>
                <c:pt idx="477">
                  <c:v>170.73</c:v>
                </c:pt>
                <c:pt idx="478">
                  <c:v>173.92</c:v>
                </c:pt>
                <c:pt idx="479">
                  <c:v>174.4</c:v>
                </c:pt>
                <c:pt idx="480">
                  <c:v>171.29</c:v>
                </c:pt>
                <c:pt idx="481">
                  <c:v>173.67</c:v>
                </c:pt>
                <c:pt idx="482">
                  <c:v>173.97</c:v>
                </c:pt>
                <c:pt idx="483">
                  <c:v>173.08</c:v>
                </c:pt>
                <c:pt idx="484">
                  <c:v>170.05</c:v>
                </c:pt>
                <c:pt idx="485">
                  <c:v>170.99</c:v>
                </c:pt>
                <c:pt idx="486">
                  <c:v>172.68</c:v>
                </c:pt>
                <c:pt idx="487">
                  <c:v>171.12</c:v>
                </c:pt>
                <c:pt idx="488">
                  <c:v>170.55</c:v>
                </c:pt>
                <c:pt idx="489">
                  <c:v>172.28</c:v>
                </c:pt>
                <c:pt idx="490">
                  <c:v>174.05</c:v>
                </c:pt>
                <c:pt idx="491">
                  <c:v>173.26</c:v>
                </c:pt>
                <c:pt idx="492">
                  <c:v>173.06</c:v>
                </c:pt>
                <c:pt idx="493">
                  <c:v>173.48</c:v>
                </c:pt>
                <c:pt idx="494">
                  <c:v>173.76</c:v>
                </c:pt>
                <c:pt idx="495">
                  <c:v>173.34</c:v>
                </c:pt>
                <c:pt idx="496">
                  <c:v>172.22</c:v>
                </c:pt>
                <c:pt idx="497">
                  <c:v>170.13</c:v>
                </c:pt>
                <c:pt idx="498">
                  <c:v>172</c:v>
                </c:pt>
                <c:pt idx="499">
                  <c:v>171.71</c:v>
                </c:pt>
                <c:pt idx="500">
                  <c:v>169.65</c:v>
                </c:pt>
                <c:pt idx="501">
                  <c:v>170.18</c:v>
                </c:pt>
                <c:pt idx="502">
                  <c:v>169.65</c:v>
                </c:pt>
                <c:pt idx="503">
                  <c:v>169.92</c:v>
                </c:pt>
                <c:pt idx="504">
                  <c:v>168.38</c:v>
                </c:pt>
                <c:pt idx="505">
                  <c:v>167.4</c:v>
                </c:pt>
                <c:pt idx="506">
                  <c:v>165.34</c:v>
                </c:pt>
                <c:pt idx="507">
                  <c:v>165.68</c:v>
                </c:pt>
                <c:pt idx="508">
                  <c:v>168.92</c:v>
                </c:pt>
                <c:pt idx="509">
                  <c:v>168.78</c:v>
                </c:pt>
                <c:pt idx="510">
                  <c:v>166.99</c:v>
                </c:pt>
                <c:pt idx="511">
                  <c:v>166.26</c:v>
                </c:pt>
                <c:pt idx="512">
                  <c:v>166.84</c:v>
                </c:pt>
                <c:pt idx="513">
                  <c:v>167.17</c:v>
                </c:pt>
                <c:pt idx="514">
                  <c:v>168.25</c:v>
                </c:pt>
                <c:pt idx="515">
                  <c:v>166.99</c:v>
                </c:pt>
                <c:pt idx="516">
                  <c:v>167.73</c:v>
                </c:pt>
                <c:pt idx="517">
                  <c:v>168.62</c:v>
                </c:pt>
                <c:pt idx="518">
                  <c:v>166.97</c:v>
                </c:pt>
                <c:pt idx="519">
                  <c:v>166.08</c:v>
                </c:pt>
                <c:pt idx="520">
                  <c:v>165.46</c:v>
                </c:pt>
                <c:pt idx="521">
                  <c:v>162.97</c:v>
                </c:pt>
                <c:pt idx="522">
                  <c:v>162.66</c:v>
                </c:pt>
                <c:pt idx="523">
                  <c:v>164.49</c:v>
                </c:pt>
                <c:pt idx="524">
                  <c:v>165.09</c:v>
                </c:pt>
                <c:pt idx="525">
                  <c:v>164.73</c:v>
                </c:pt>
                <c:pt idx="526">
                  <c:v>165</c:v>
                </c:pt>
                <c:pt idx="527">
                  <c:v>163.16</c:v>
                </c:pt>
                <c:pt idx="528">
                  <c:v>163.85</c:v>
                </c:pt>
                <c:pt idx="529">
                  <c:v>166.95</c:v>
                </c:pt>
                <c:pt idx="530">
                  <c:v>169.38</c:v>
                </c:pt>
                <c:pt idx="531">
                  <c:v>168.61</c:v>
                </c:pt>
                <c:pt idx="532">
                  <c:v>168.53</c:v>
                </c:pt>
                <c:pt idx="533">
                  <c:v>171</c:v>
                </c:pt>
                <c:pt idx="534">
                  <c:v>172.51</c:v>
                </c:pt>
                <c:pt idx="535">
                  <c:v>173.22</c:v>
                </c:pt>
                <c:pt idx="536">
                  <c:v>163.07</c:v>
                </c:pt>
                <c:pt idx="537">
                  <c:v>160.35</c:v>
                </c:pt>
                <c:pt idx="538">
                  <c:v>161.72999999999999</c:v>
                </c:pt>
                <c:pt idx="539">
                  <c:v>159.75</c:v>
                </c:pt>
                <c:pt idx="540">
                  <c:v>159.07</c:v>
                </c:pt>
                <c:pt idx="541">
                  <c:v>160.05000000000001</c:v>
                </c:pt>
                <c:pt idx="542">
                  <c:v>161.09</c:v>
                </c:pt>
                <c:pt idx="543">
                  <c:v>160.96</c:v>
                </c:pt>
                <c:pt idx="544">
                  <c:v>161.99</c:v>
                </c:pt>
                <c:pt idx="545">
                  <c:v>158.71</c:v>
                </c:pt>
                <c:pt idx="546">
                  <c:v>157.6</c:v>
                </c:pt>
                <c:pt idx="547">
                  <c:v>157.9</c:v>
                </c:pt>
                <c:pt idx="548">
                  <c:v>156.32</c:v>
                </c:pt>
                <c:pt idx="549">
                  <c:v>155.12</c:v>
                </c:pt>
                <c:pt idx="550">
                  <c:v>156.75</c:v>
                </c:pt>
                <c:pt idx="551">
                  <c:v>155.51</c:v>
                </c:pt>
                <c:pt idx="552">
                  <c:v>156.16</c:v>
                </c:pt>
                <c:pt idx="553">
                  <c:v>155.07</c:v>
                </c:pt>
                <c:pt idx="554">
                  <c:v>155.75</c:v>
                </c:pt>
                <c:pt idx="555">
                  <c:v>156.31</c:v>
                </c:pt>
                <c:pt idx="556">
                  <c:v>156.01</c:v>
                </c:pt>
                <c:pt idx="557">
                  <c:v>153.94</c:v>
                </c:pt>
                <c:pt idx="558">
                  <c:v>152.66</c:v>
                </c:pt>
                <c:pt idx="559">
                  <c:v>148.85</c:v>
                </c:pt>
                <c:pt idx="560">
                  <c:v>143.47</c:v>
                </c:pt>
                <c:pt idx="561">
                  <c:v>140.96</c:v>
                </c:pt>
                <c:pt idx="562">
                  <c:v>146.69999999999999</c:v>
                </c:pt>
                <c:pt idx="563">
                  <c:v>148.54</c:v>
                </c:pt>
                <c:pt idx="564">
                  <c:v>147.97999999999999</c:v>
                </c:pt>
                <c:pt idx="565">
                  <c:v>147.88999999999999</c:v>
                </c:pt>
                <c:pt idx="566">
                  <c:v>142.68</c:v>
                </c:pt>
                <c:pt idx="567">
                  <c:v>145.05000000000001</c:v>
                </c:pt>
                <c:pt idx="568">
                  <c:v>146.78</c:v>
                </c:pt>
                <c:pt idx="569">
                  <c:v>143.69999999999999</c:v>
                </c:pt>
                <c:pt idx="570">
                  <c:v>147.22999999999999</c:v>
                </c:pt>
                <c:pt idx="571">
                  <c:v>145.05000000000001</c:v>
                </c:pt>
                <c:pt idx="572">
                  <c:v>146.19999999999999</c:v>
                </c:pt>
                <c:pt idx="573">
                  <c:v>147.37</c:v>
                </c:pt>
                <c:pt idx="574">
                  <c:v>145.65</c:v>
                </c:pt>
                <c:pt idx="575">
                  <c:v>147.53</c:v>
                </c:pt>
                <c:pt idx="576">
                  <c:v>148.41</c:v>
                </c:pt>
                <c:pt idx="577">
                  <c:v>148.13999999999999</c:v>
                </c:pt>
                <c:pt idx="578">
                  <c:v>144.51</c:v>
                </c:pt>
                <c:pt idx="579">
                  <c:v>146.47999999999999</c:v>
                </c:pt>
                <c:pt idx="580">
                  <c:v>144.43</c:v>
                </c:pt>
                <c:pt idx="581">
                  <c:v>143.66</c:v>
                </c:pt>
                <c:pt idx="582">
                  <c:v>144.41</c:v>
                </c:pt>
                <c:pt idx="583">
                  <c:v>145.41999999999999</c:v>
                </c:pt>
                <c:pt idx="584">
                  <c:v>142.52000000000001</c:v>
                </c:pt>
                <c:pt idx="585">
                  <c:v>142.47</c:v>
                </c:pt>
                <c:pt idx="586">
                  <c:v>144.97</c:v>
                </c:pt>
                <c:pt idx="587">
                  <c:v>143.59</c:v>
                </c:pt>
                <c:pt idx="588">
                  <c:v>144.58000000000001</c:v>
                </c:pt>
                <c:pt idx="589">
                  <c:v>149.04</c:v>
                </c:pt>
                <c:pt idx="590">
                  <c:v>148.78</c:v>
                </c:pt>
                <c:pt idx="591">
                  <c:v>150.09</c:v>
                </c:pt>
                <c:pt idx="592">
                  <c:v>152.28</c:v>
                </c:pt>
                <c:pt idx="593">
                  <c:v>152.38999999999999</c:v>
                </c:pt>
                <c:pt idx="594">
                  <c:v>151.13999999999999</c:v>
                </c:pt>
                <c:pt idx="595">
                  <c:v>149.62</c:v>
                </c:pt>
                <c:pt idx="596">
                  <c:v>150.01</c:v>
                </c:pt>
                <c:pt idx="597">
                  <c:v>150.09</c:v>
                </c:pt>
                <c:pt idx="598">
                  <c:v>150.38999999999999</c:v>
                </c:pt>
                <c:pt idx="599">
                  <c:v>149.22</c:v>
                </c:pt>
                <c:pt idx="600">
                  <c:v>140.63999999999999</c:v>
                </c:pt>
                <c:pt idx="601">
                  <c:v>140.91999999999999</c:v>
                </c:pt>
                <c:pt idx="602">
                  <c:v>144.09</c:v>
                </c:pt>
                <c:pt idx="603">
                  <c:v>144.68</c:v>
                </c:pt>
                <c:pt idx="604">
                  <c:v>143.66</c:v>
                </c:pt>
                <c:pt idx="605">
                  <c:v>137.86000000000001</c:v>
                </c:pt>
                <c:pt idx="606">
                  <c:v>140.83000000000001</c:v>
                </c:pt>
                <c:pt idx="607">
                  <c:v>140.55000000000001</c:v>
                </c:pt>
                <c:pt idx="608">
                  <c:v>140.08000000000001</c:v>
                </c:pt>
                <c:pt idx="609">
                  <c:v>140.37</c:v>
                </c:pt>
                <c:pt idx="610">
                  <c:v>141.88</c:v>
                </c:pt>
                <c:pt idx="611">
                  <c:v>141.63</c:v>
                </c:pt>
                <c:pt idx="612">
                  <c:v>139.88999999999999</c:v>
                </c:pt>
                <c:pt idx="613">
                  <c:v>138.25</c:v>
                </c:pt>
                <c:pt idx="614">
                  <c:v>135.31</c:v>
                </c:pt>
                <c:pt idx="615">
                  <c:v>135.47</c:v>
                </c:pt>
                <c:pt idx="616">
                  <c:v>135.02000000000001</c:v>
                </c:pt>
                <c:pt idx="617">
                  <c:v>133.04</c:v>
                </c:pt>
                <c:pt idx="618">
                  <c:v>131.75</c:v>
                </c:pt>
                <c:pt idx="619">
                  <c:v>133.71</c:v>
                </c:pt>
                <c:pt idx="620">
                  <c:v>133.82</c:v>
                </c:pt>
                <c:pt idx="621">
                  <c:v>135.82</c:v>
                </c:pt>
                <c:pt idx="622">
                  <c:v>136.74</c:v>
                </c:pt>
                <c:pt idx="623">
                  <c:v>138.5</c:v>
                </c:pt>
                <c:pt idx="624">
                  <c:v>138.46</c:v>
                </c:pt>
                <c:pt idx="625">
                  <c:v>138.6</c:v>
                </c:pt>
                <c:pt idx="626">
                  <c:v>138</c:v>
                </c:pt>
                <c:pt idx="627">
                  <c:v>138.46</c:v>
                </c:pt>
                <c:pt idx="628">
                  <c:v>139.41999999999999</c:v>
                </c:pt>
                <c:pt idx="629">
                  <c:v>141.28</c:v>
                </c:pt>
                <c:pt idx="630">
                  <c:v>139.69999999999999</c:v>
                </c:pt>
                <c:pt idx="631">
                  <c:v>138.91999999999999</c:v>
                </c:pt>
                <c:pt idx="632">
                  <c:v>140.43</c:v>
                </c:pt>
                <c:pt idx="633">
                  <c:v>139.55000000000001</c:v>
                </c:pt>
                <c:pt idx="634">
                  <c:v>138.05000000000001</c:v>
                </c:pt>
                <c:pt idx="635">
                  <c:v>136.61000000000001</c:v>
                </c:pt>
                <c:pt idx="636">
                  <c:v>136.78</c:v>
                </c:pt>
                <c:pt idx="637">
                  <c:v>134.57</c:v>
                </c:pt>
                <c:pt idx="638">
                  <c:v>135.93</c:v>
                </c:pt>
                <c:pt idx="639">
                  <c:v>137.79</c:v>
                </c:pt>
                <c:pt idx="640">
                  <c:v>139.29</c:v>
                </c:pt>
                <c:pt idx="641">
                  <c:v>136.75</c:v>
                </c:pt>
                <c:pt idx="642">
                  <c:v>134.9</c:v>
                </c:pt>
                <c:pt idx="643">
                  <c:v>135.5</c:v>
                </c:pt>
                <c:pt idx="644">
                  <c:v>137.93</c:v>
                </c:pt>
                <c:pt idx="645">
                  <c:v>138.54</c:v>
                </c:pt>
                <c:pt idx="646">
                  <c:v>138.25</c:v>
                </c:pt>
                <c:pt idx="647">
                  <c:v>137.61000000000001</c:v>
                </c:pt>
                <c:pt idx="648">
                  <c:v>139.78</c:v>
                </c:pt>
                <c:pt idx="649">
                  <c:v>139.34</c:v>
                </c:pt>
                <c:pt idx="650">
                  <c:v>137.62</c:v>
                </c:pt>
                <c:pt idx="651">
                  <c:v>135.94999999999999</c:v>
                </c:pt>
                <c:pt idx="652">
                  <c:v>135.85</c:v>
                </c:pt>
                <c:pt idx="653">
                  <c:v>135.16999999999999</c:v>
                </c:pt>
                <c:pt idx="654">
                  <c:v>132.86000000000001</c:v>
                </c:pt>
                <c:pt idx="655">
                  <c:v>131.63</c:v>
                </c:pt>
                <c:pt idx="656">
                  <c:v>133.22999999999999</c:v>
                </c:pt>
                <c:pt idx="657">
                  <c:v>132.9</c:v>
                </c:pt>
                <c:pt idx="658">
                  <c:v>131.16999999999999</c:v>
                </c:pt>
                <c:pt idx="659">
                  <c:v>132.91</c:v>
                </c:pt>
                <c:pt idx="660">
                  <c:v>130.03</c:v>
                </c:pt>
                <c:pt idx="661">
                  <c:v>128.11000000000001</c:v>
                </c:pt>
                <c:pt idx="662">
                  <c:v>121.86</c:v>
                </c:pt>
                <c:pt idx="663">
                  <c:v>122.91</c:v>
                </c:pt>
                <c:pt idx="664">
                  <c:v>122.5</c:v>
                </c:pt>
                <c:pt idx="665">
                  <c:v>122.08</c:v>
                </c:pt>
                <c:pt idx="666">
                  <c:v>122.59</c:v>
                </c:pt>
                <c:pt idx="667">
                  <c:v>120.96</c:v>
                </c:pt>
                <c:pt idx="668">
                  <c:v>122.22</c:v>
                </c:pt>
                <c:pt idx="669">
                  <c:v>124.79</c:v>
                </c:pt>
                <c:pt idx="670">
                  <c:v>124.83</c:v>
                </c:pt>
                <c:pt idx="671">
                  <c:v>122.94</c:v>
                </c:pt>
                <c:pt idx="672">
                  <c:v>124.72</c:v>
                </c:pt>
                <c:pt idx="673">
                  <c:v>127.65</c:v>
                </c:pt>
                <c:pt idx="674">
                  <c:v>128.57</c:v>
                </c:pt>
                <c:pt idx="675">
                  <c:v>126.98</c:v>
                </c:pt>
                <c:pt idx="676">
                  <c:v>124.07</c:v>
                </c:pt>
                <c:pt idx="677">
                  <c:v>120.19</c:v>
                </c:pt>
                <c:pt idx="678">
                  <c:v>117.85</c:v>
                </c:pt>
                <c:pt idx="679">
                  <c:v>121.04</c:v>
                </c:pt>
                <c:pt idx="680">
                  <c:v>122.74</c:v>
                </c:pt>
                <c:pt idx="681">
                  <c:v>126.1</c:v>
                </c:pt>
                <c:pt idx="682">
                  <c:v>132.44999999999999</c:v>
                </c:pt>
                <c:pt idx="683">
                  <c:v>133.08000000000001</c:v>
                </c:pt>
                <c:pt idx="684">
                  <c:v>133.77000000000001</c:v>
                </c:pt>
                <c:pt idx="685">
                  <c:v>132.4</c:v>
                </c:pt>
                <c:pt idx="686">
                  <c:v>132.80000000000001</c:v>
                </c:pt>
                <c:pt idx="687">
                  <c:v>134.5</c:v>
                </c:pt>
                <c:pt idx="688">
                  <c:v>132.03</c:v>
                </c:pt>
                <c:pt idx="689">
                  <c:v>131.03</c:v>
                </c:pt>
                <c:pt idx="690">
                  <c:v>134.37</c:v>
                </c:pt>
                <c:pt idx="691">
                  <c:v>136.30000000000001</c:v>
                </c:pt>
                <c:pt idx="692">
                  <c:v>137.80000000000001</c:v>
                </c:pt>
                <c:pt idx="693">
                  <c:v>137.80000000000001</c:v>
                </c:pt>
                <c:pt idx="694">
                  <c:v>140.15</c:v>
                </c:pt>
                <c:pt idx="695">
                  <c:v>139.07</c:v>
                </c:pt>
                <c:pt idx="696">
                  <c:v>140.41</c:v>
                </c:pt>
                <c:pt idx="697">
                  <c:v>140.19</c:v>
                </c:pt>
                <c:pt idx="698">
                  <c:v>142.36000000000001</c:v>
                </c:pt>
                <c:pt idx="699">
                  <c:v>142.78</c:v>
                </c:pt>
                <c:pt idx="700">
                  <c:v>142.96</c:v>
                </c:pt>
                <c:pt idx="701">
                  <c:v>144.79</c:v>
                </c:pt>
                <c:pt idx="702">
                  <c:v>147.04</c:v>
                </c:pt>
                <c:pt idx="703">
                  <c:v>147.09</c:v>
                </c:pt>
                <c:pt idx="704">
                  <c:v>148.63</c:v>
                </c:pt>
                <c:pt idx="705">
                  <c:v>148.1</c:v>
                </c:pt>
                <c:pt idx="706">
                  <c:v>145.4</c:v>
                </c:pt>
                <c:pt idx="707">
                  <c:v>147.94999999999999</c:v>
                </c:pt>
                <c:pt idx="708">
                  <c:v>148.4</c:v>
                </c:pt>
                <c:pt idx="709">
                  <c:v>149.33000000000001</c:v>
                </c:pt>
                <c:pt idx="710">
                  <c:v>148.41</c:v>
                </c:pt>
                <c:pt idx="711">
                  <c:v>151.44999999999999</c:v>
                </c:pt>
                <c:pt idx="712">
                  <c:v>152.52000000000001</c:v>
                </c:pt>
                <c:pt idx="713">
                  <c:v>152.07</c:v>
                </c:pt>
                <c:pt idx="714">
                  <c:v>150</c:v>
                </c:pt>
                <c:pt idx="715">
                  <c:v>150.02000000000001</c:v>
                </c:pt>
                <c:pt idx="716">
                  <c:v>148.25</c:v>
                </c:pt>
                <c:pt idx="717">
                  <c:v>149.35</c:v>
                </c:pt>
                <c:pt idx="718">
                  <c:v>149.25</c:v>
                </c:pt>
                <c:pt idx="719">
                  <c:v>149.63</c:v>
                </c:pt>
                <c:pt idx="720">
                  <c:v>151.22999999999999</c:v>
                </c:pt>
                <c:pt idx="721">
                  <c:v>151.16</c:v>
                </c:pt>
                <c:pt idx="722">
                  <c:v>151.72</c:v>
                </c:pt>
                <c:pt idx="723">
                  <c:v>152.53</c:v>
                </c:pt>
                <c:pt idx="724">
                  <c:v>144</c:v>
                </c:pt>
                <c:pt idx="725">
                  <c:v>146.11000000000001</c:v>
                </c:pt>
                <c:pt idx="726">
                  <c:v>149.30000000000001</c:v>
                </c:pt>
                <c:pt idx="727">
                  <c:v>148.5</c:v>
                </c:pt>
                <c:pt idx="728">
                  <c:v>148.81</c:v>
                </c:pt>
                <c:pt idx="729">
                  <c:v>149.08000000000001</c:v>
                </c:pt>
                <c:pt idx="730">
                  <c:v>150.47</c:v>
                </c:pt>
                <c:pt idx="731">
                  <c:v>147.07</c:v>
                </c:pt>
                <c:pt idx="732">
                  <c:v>145.94</c:v>
                </c:pt>
                <c:pt idx="733">
                  <c:v>145.27000000000001</c:v>
                </c:pt>
                <c:pt idx="734">
                  <c:v>144.13</c:v>
                </c:pt>
                <c:pt idx="735">
                  <c:v>144.25</c:v>
                </c:pt>
                <c:pt idx="736">
                  <c:v>146.47</c:v>
                </c:pt>
                <c:pt idx="737">
                  <c:v>147.29</c:v>
                </c:pt>
                <c:pt idx="738">
                  <c:v>147.34</c:v>
                </c:pt>
                <c:pt idx="739">
                  <c:v>149.97</c:v>
                </c:pt>
                <c:pt idx="740">
                  <c:v>148.94999999999999</c:v>
                </c:pt>
                <c:pt idx="741">
                  <c:v>148.84</c:v>
                </c:pt>
                <c:pt idx="742">
                  <c:v>147.72</c:v>
                </c:pt>
                <c:pt idx="743">
                  <c:v>149.46</c:v>
                </c:pt>
                <c:pt idx="744">
                  <c:v>148</c:v>
                </c:pt>
                <c:pt idx="745">
                  <c:v>147.34</c:v>
                </c:pt>
                <c:pt idx="746">
                  <c:v>144.93</c:v>
                </c:pt>
                <c:pt idx="747">
                  <c:v>147.25</c:v>
                </c:pt>
                <c:pt idx="748">
                  <c:v>146.77000000000001</c:v>
                </c:pt>
                <c:pt idx="749">
                  <c:v>148.31</c:v>
                </c:pt>
                <c:pt idx="750">
                  <c:v>151.69</c:v>
                </c:pt>
                <c:pt idx="751">
                  <c:v>152.44</c:v>
                </c:pt>
                <c:pt idx="752">
                  <c:v>152.84</c:v>
                </c:pt>
                <c:pt idx="753">
                  <c:v>153.74</c:v>
                </c:pt>
                <c:pt idx="754">
                  <c:v>152.51</c:v>
                </c:pt>
                <c:pt idx="755">
                  <c:v>153.5</c:v>
                </c:pt>
                <c:pt idx="756">
                  <c:v>152.88999999999999</c:v>
                </c:pt>
                <c:pt idx="757">
                  <c:v>152.72999999999999</c:v>
                </c:pt>
                <c:pt idx="758">
                  <c:v>153.33000000000001</c:v>
                </c:pt>
                <c:pt idx="759">
                  <c:v>154</c:v>
                </c:pt>
                <c:pt idx="760">
                  <c:v>153.41999999999999</c:v>
                </c:pt>
                <c:pt idx="761">
                  <c:v>152.37</c:v>
                </c:pt>
                <c:pt idx="762">
                  <c:v>151.28</c:v>
                </c:pt>
                <c:pt idx="763">
                  <c:v>151.06</c:v>
                </c:pt>
                <c:pt idx="764">
                  <c:v>150.68</c:v>
                </c:pt>
                <c:pt idx="765">
                  <c:v>151.06</c:v>
                </c:pt>
                <c:pt idx="766">
                  <c:v>151.99</c:v>
                </c:pt>
                <c:pt idx="767">
                  <c:v>153.61000000000001</c:v>
                </c:pt>
                <c:pt idx="768">
                  <c:v>154.05000000000001</c:v>
                </c:pt>
                <c:pt idx="769">
                  <c:v>152.91999999999999</c:v>
                </c:pt>
                <c:pt idx="770">
                  <c:v>155.35</c:v>
                </c:pt>
                <c:pt idx="771">
                  <c:v>146.59</c:v>
                </c:pt>
                <c:pt idx="772">
                  <c:v>143.5</c:v>
                </c:pt>
                <c:pt idx="773">
                  <c:v>145.69999999999999</c:v>
                </c:pt>
                <c:pt idx="774">
                  <c:v>148.46</c:v>
                </c:pt>
                <c:pt idx="775">
                  <c:v>151.78</c:v>
                </c:pt>
                <c:pt idx="776">
                  <c:v>152.35</c:v>
                </c:pt>
                <c:pt idx="777">
                  <c:v>151.68</c:v>
                </c:pt>
                <c:pt idx="778">
                  <c:v>152.37</c:v>
                </c:pt>
                <c:pt idx="779">
                  <c:v>152.6</c:v>
                </c:pt>
                <c:pt idx="780">
                  <c:v>154.46</c:v>
                </c:pt>
                <c:pt idx="781">
                  <c:v>155.33000000000001</c:v>
                </c:pt>
                <c:pt idx="782">
                  <c:v>157.04</c:v>
                </c:pt>
                <c:pt idx="783">
                  <c:v>158.02000000000001</c:v>
                </c:pt>
                <c:pt idx="784">
                  <c:v>160.28</c:v>
                </c:pt>
                <c:pt idx="785">
                  <c:v>159.78</c:v>
                </c:pt>
                <c:pt idx="786">
                  <c:v>159.86000000000001</c:v>
                </c:pt>
                <c:pt idx="787">
                  <c:v>159.58000000000001</c:v>
                </c:pt>
                <c:pt idx="788">
                  <c:v>161.36000000000001</c:v>
                </c:pt>
                <c:pt idx="789">
                  <c:v>160.44999999999999</c:v>
                </c:pt>
                <c:pt idx="790">
                  <c:v>162.07</c:v>
                </c:pt>
                <c:pt idx="791">
                  <c:v>162.65</c:v>
                </c:pt>
                <c:pt idx="792">
                  <c:v>162.12</c:v>
                </c:pt>
                <c:pt idx="793">
                  <c:v>161.83000000000001</c:v>
                </c:pt>
                <c:pt idx="794">
                  <c:v>161.37</c:v>
                </c:pt>
                <c:pt idx="795">
                  <c:v>160.62</c:v>
                </c:pt>
                <c:pt idx="796">
                  <c:v>161.44999999999999</c:v>
                </c:pt>
                <c:pt idx="797">
                  <c:v>160.58000000000001</c:v>
                </c:pt>
                <c:pt idx="798">
                  <c:v>160.66999999999999</c:v>
                </c:pt>
                <c:pt idx="799">
                  <c:v>161.55000000000001</c:v>
                </c:pt>
                <c:pt idx="800">
                  <c:v>163.5</c:v>
                </c:pt>
                <c:pt idx="801">
                  <c:v>162.04</c:v>
                </c:pt>
                <c:pt idx="802">
                  <c:v>161.77000000000001</c:v>
                </c:pt>
                <c:pt idx="803">
                  <c:v>162.08000000000001</c:v>
                </c:pt>
                <c:pt idx="804">
                  <c:v>163.53</c:v>
                </c:pt>
                <c:pt idx="805">
                  <c:v>161.94999999999999</c:v>
                </c:pt>
                <c:pt idx="806">
                  <c:v>161.88</c:v>
                </c:pt>
                <c:pt idx="807">
                  <c:v>160.69999999999999</c:v>
                </c:pt>
                <c:pt idx="808">
                  <c:v>160.44</c:v>
                </c:pt>
                <c:pt idx="809">
                  <c:v>161.36000000000001</c:v>
                </c:pt>
                <c:pt idx="810">
                  <c:v>160.04</c:v>
                </c:pt>
                <c:pt idx="811">
                  <c:v>160</c:v>
                </c:pt>
                <c:pt idx="812">
                  <c:v>160.26</c:v>
                </c:pt>
                <c:pt idx="813">
                  <c:v>159.05000000000001</c:v>
                </c:pt>
                <c:pt idx="814">
                  <c:v>158.63</c:v>
                </c:pt>
                <c:pt idx="815">
                  <c:v>158.32</c:v>
                </c:pt>
                <c:pt idx="816">
                  <c:v>159.72</c:v>
                </c:pt>
                <c:pt idx="817">
                  <c:v>159.4</c:v>
                </c:pt>
                <c:pt idx="818">
                  <c:v>158.88</c:v>
                </c:pt>
                <c:pt idx="819">
                  <c:v>159.54</c:v>
                </c:pt>
                <c:pt idx="820">
                  <c:v>159.55000000000001</c:v>
                </c:pt>
                <c:pt idx="821">
                  <c:v>160.35</c:v>
                </c:pt>
                <c:pt idx="822">
                  <c:v>161.63999999999999</c:v>
                </c:pt>
                <c:pt idx="823">
                  <c:v>159</c:v>
                </c:pt>
                <c:pt idx="824">
                  <c:v>155.69</c:v>
                </c:pt>
                <c:pt idx="825">
                  <c:v>158.29</c:v>
                </c:pt>
                <c:pt idx="826">
                  <c:v>155.81</c:v>
                </c:pt>
                <c:pt idx="827">
                  <c:v>154.05000000000001</c:v>
                </c:pt>
                <c:pt idx="828">
                  <c:v>155.66</c:v>
                </c:pt>
                <c:pt idx="829">
                  <c:v>153.84</c:v>
                </c:pt>
                <c:pt idx="830">
                  <c:v>154.87</c:v>
                </c:pt>
                <c:pt idx="831">
                  <c:v>154.44999999999999</c:v>
                </c:pt>
                <c:pt idx="832">
                  <c:v>155.53</c:v>
                </c:pt>
                <c:pt idx="833">
                  <c:v>156.11000000000001</c:v>
                </c:pt>
                <c:pt idx="834">
                  <c:v>154.97999999999999</c:v>
                </c:pt>
                <c:pt idx="835">
                  <c:v>153.97999999999999</c:v>
                </c:pt>
                <c:pt idx="836">
                  <c:v>156.77000000000001</c:v>
                </c:pt>
                <c:pt idx="837">
                  <c:v>158.29</c:v>
                </c:pt>
                <c:pt idx="838">
                  <c:v>158.11000000000001</c:v>
                </c:pt>
                <c:pt idx="839">
                  <c:v>158.85</c:v>
                </c:pt>
                <c:pt idx="840">
                  <c:v>157.61000000000001</c:v>
                </c:pt>
                <c:pt idx="841">
                  <c:v>156.46</c:v>
                </c:pt>
                <c:pt idx="842">
                  <c:v>157.08000000000001</c:v>
                </c:pt>
                <c:pt idx="843">
                  <c:v>156.88</c:v>
                </c:pt>
                <c:pt idx="844">
                  <c:v>155.66999999999999</c:v>
                </c:pt>
                <c:pt idx="845">
                  <c:v>157.02000000000001</c:v>
                </c:pt>
                <c:pt idx="846">
                  <c:v>154.79</c:v>
                </c:pt>
                <c:pt idx="847">
                  <c:v>154.29</c:v>
                </c:pt>
                <c:pt idx="848">
                  <c:v>153.72</c:v>
                </c:pt>
                <c:pt idx="849">
                  <c:v>154.44999999999999</c:v>
                </c:pt>
                <c:pt idx="850">
                  <c:v>154.77000000000001</c:v>
                </c:pt>
                <c:pt idx="851">
                  <c:v>150.72</c:v>
                </c:pt>
                <c:pt idx="852">
                  <c:v>151.26</c:v>
                </c:pt>
                <c:pt idx="853">
                  <c:v>151.52000000000001</c:v>
                </c:pt>
                <c:pt idx="854">
                  <c:v>149.63</c:v>
                </c:pt>
                <c:pt idx="855">
                  <c:v>150.57</c:v>
                </c:pt>
                <c:pt idx="856">
                  <c:v>150.88</c:v>
                </c:pt>
                <c:pt idx="857">
                  <c:v>151.81</c:v>
                </c:pt>
                <c:pt idx="858">
                  <c:v>153.35</c:v>
                </c:pt>
                <c:pt idx="859">
                  <c:v>152.61000000000001</c:v>
                </c:pt>
                <c:pt idx="860">
                  <c:v>153.69</c:v>
                </c:pt>
                <c:pt idx="861">
                  <c:v>152.79</c:v>
                </c:pt>
                <c:pt idx="862">
                  <c:v>151.94999999999999</c:v>
                </c:pt>
                <c:pt idx="863">
                  <c:v>152.37</c:v>
                </c:pt>
                <c:pt idx="864">
                  <c:v>152.43</c:v>
                </c:pt>
                <c:pt idx="865">
                  <c:v>155.72</c:v>
                </c:pt>
                <c:pt idx="866">
                  <c:v>155.16999999999999</c:v>
                </c:pt>
                <c:pt idx="867">
                  <c:v>154.81</c:v>
                </c:pt>
                <c:pt idx="868">
                  <c:v>160.22</c:v>
                </c:pt>
                <c:pt idx="869">
                  <c:v>161.27000000000001</c:v>
                </c:pt>
                <c:pt idx="870">
                  <c:v>158.21</c:v>
                </c:pt>
                <c:pt idx="871">
                  <c:v>158.66999999999999</c:v>
                </c:pt>
                <c:pt idx="872">
                  <c:v>159.29</c:v>
                </c:pt>
                <c:pt idx="873">
                  <c:v>159.80000000000001</c:v>
                </c:pt>
                <c:pt idx="874">
                  <c:v>160.38999999999999</c:v>
                </c:pt>
                <c:pt idx="875">
                  <c:v>162.77000000000001</c:v>
                </c:pt>
                <c:pt idx="876">
                  <c:v>162.66999999999999</c:v>
                </c:pt>
                <c:pt idx="877">
                  <c:v>161.97999999999999</c:v>
                </c:pt>
                <c:pt idx="878">
                  <c:v>163.13999999999999</c:v>
                </c:pt>
                <c:pt idx="879">
                  <c:v>164.52</c:v>
                </c:pt>
                <c:pt idx="880">
                  <c:v>163.53</c:v>
                </c:pt>
                <c:pt idx="881">
                  <c:v>162.22</c:v>
                </c:pt>
                <c:pt idx="882">
                  <c:v>159.82</c:v>
                </c:pt>
                <c:pt idx="883">
                  <c:v>160.02000000000001</c:v>
                </c:pt>
                <c:pt idx="884">
                  <c:v>159.84</c:v>
                </c:pt>
                <c:pt idx="885">
                  <c:v>160.35</c:v>
                </c:pt>
                <c:pt idx="886">
                  <c:v>164.79</c:v>
                </c:pt>
                <c:pt idx="887">
                  <c:v>165.36</c:v>
                </c:pt>
                <c:pt idx="888">
                  <c:v>166.52</c:v>
                </c:pt>
                <c:pt idx="889">
                  <c:v>165.5</c:v>
                </c:pt>
                <c:pt idx="890">
                  <c:v>168.29</c:v>
                </c:pt>
                <c:pt idx="891">
                  <c:v>168.51</c:v>
                </c:pt>
                <c:pt idx="892">
                  <c:v>168.02</c:v>
                </c:pt>
                <c:pt idx="893">
                  <c:v>166.73</c:v>
                </c:pt>
                <c:pt idx="894">
                  <c:v>166.68</c:v>
                </c:pt>
                <c:pt idx="895">
                  <c:v>167.6</c:v>
                </c:pt>
                <c:pt idx="896">
                  <c:v>167.33</c:v>
                </c:pt>
                <c:pt idx="897">
                  <c:v>167.06</c:v>
                </c:pt>
                <c:pt idx="898">
                  <c:v>166.71</c:v>
                </c:pt>
                <c:pt idx="899">
                  <c:v>167.14</c:v>
                </c:pt>
                <c:pt idx="900">
                  <c:v>166.19</c:v>
                </c:pt>
                <c:pt idx="901">
                  <c:v>166.6</c:v>
                </c:pt>
                <c:pt idx="902">
                  <c:v>165.99</c:v>
                </c:pt>
                <c:pt idx="903">
                  <c:v>167.19</c:v>
                </c:pt>
                <c:pt idx="904">
                  <c:v>169.26</c:v>
                </c:pt>
                <c:pt idx="905">
                  <c:v>168.7</c:v>
                </c:pt>
                <c:pt idx="906">
                  <c:v>169.53</c:v>
                </c:pt>
                <c:pt idx="907">
                  <c:v>167.65</c:v>
                </c:pt>
                <c:pt idx="908">
                  <c:v>165.52</c:v>
                </c:pt>
                <c:pt idx="909">
                  <c:v>167.75</c:v>
                </c:pt>
                <c:pt idx="910">
                  <c:v>167.95</c:v>
                </c:pt>
                <c:pt idx="911">
                  <c:v>167.34</c:v>
                </c:pt>
                <c:pt idx="912">
                  <c:v>167.89</c:v>
                </c:pt>
                <c:pt idx="913">
                  <c:v>166.8</c:v>
                </c:pt>
                <c:pt idx="914">
                  <c:v>166.81</c:v>
                </c:pt>
                <c:pt idx="915">
                  <c:v>170.55</c:v>
                </c:pt>
                <c:pt idx="916">
                  <c:v>171.03</c:v>
                </c:pt>
                <c:pt idx="917">
                  <c:v>175.9</c:v>
                </c:pt>
                <c:pt idx="918">
                  <c:v>178.29</c:v>
                </c:pt>
                <c:pt idx="919">
                  <c:v>178.66</c:v>
                </c:pt>
                <c:pt idx="920">
                  <c:v>177.3</c:v>
                </c:pt>
                <c:pt idx="921">
                  <c:v>175.8</c:v>
                </c:pt>
                <c:pt idx="922">
                  <c:v>174.52</c:v>
                </c:pt>
                <c:pt idx="923">
                  <c:v>174.29</c:v>
                </c:pt>
                <c:pt idx="924">
                  <c:v>174.58</c:v>
                </c:pt>
                <c:pt idx="925">
                  <c:v>175.82</c:v>
                </c:pt>
                <c:pt idx="926">
                  <c:v>175.86</c:v>
                </c:pt>
                <c:pt idx="927">
                  <c:v>178.46</c:v>
                </c:pt>
                <c:pt idx="928">
                  <c:v>176.17</c:v>
                </c:pt>
                <c:pt idx="929">
                  <c:v>177.21</c:v>
                </c:pt>
                <c:pt idx="930">
                  <c:v>178.68</c:v>
                </c:pt>
                <c:pt idx="931">
                  <c:v>179.36</c:v>
                </c:pt>
                <c:pt idx="932">
                  <c:v>180.13</c:v>
                </c:pt>
                <c:pt idx="933">
                  <c:v>181.68</c:v>
                </c:pt>
                <c:pt idx="934">
                  <c:v>181.43</c:v>
                </c:pt>
                <c:pt idx="935">
                  <c:v>180.67</c:v>
                </c:pt>
                <c:pt idx="936">
                  <c:v>180.26</c:v>
                </c:pt>
                <c:pt idx="937">
                  <c:v>181.15</c:v>
                </c:pt>
                <c:pt idx="938">
                  <c:v>181.65</c:v>
                </c:pt>
                <c:pt idx="939">
                  <c:v>181.35</c:v>
                </c:pt>
                <c:pt idx="940">
                  <c:v>179.4</c:v>
                </c:pt>
                <c:pt idx="941">
                  <c:v>179.82</c:v>
                </c:pt>
                <c:pt idx="942">
                  <c:v>181.95</c:v>
                </c:pt>
                <c:pt idx="943">
                  <c:v>180.53</c:v>
                </c:pt>
                <c:pt idx="944">
                  <c:v>180.05</c:v>
                </c:pt>
                <c:pt idx="945">
                  <c:v>180.47</c:v>
                </c:pt>
                <c:pt idx="946">
                  <c:v>180.38</c:v>
                </c:pt>
                <c:pt idx="947">
                  <c:v>179.45</c:v>
                </c:pt>
                <c:pt idx="948">
                  <c:v>177.18</c:v>
                </c:pt>
                <c:pt idx="949">
                  <c:v>177.83</c:v>
                </c:pt>
                <c:pt idx="950">
                  <c:v>176.46</c:v>
                </c:pt>
                <c:pt idx="951">
                  <c:v>175.72</c:v>
                </c:pt>
                <c:pt idx="952">
                  <c:v>175.81</c:v>
                </c:pt>
                <c:pt idx="953">
                  <c:v>177.24</c:v>
                </c:pt>
                <c:pt idx="954">
                  <c:v>175.65</c:v>
                </c:pt>
                <c:pt idx="955">
                  <c:v>175.7</c:v>
                </c:pt>
                <c:pt idx="956">
                  <c:v>173.88</c:v>
                </c:pt>
                <c:pt idx="957">
                  <c:v>174.78</c:v>
                </c:pt>
                <c:pt idx="958">
                  <c:v>174.82</c:v>
                </c:pt>
                <c:pt idx="959">
                  <c:v>173.83</c:v>
                </c:pt>
                <c:pt idx="960">
                  <c:v>173.77</c:v>
                </c:pt>
                <c:pt idx="961">
                  <c:v>174.51</c:v>
                </c:pt>
                <c:pt idx="962">
                  <c:v>173.94</c:v>
                </c:pt>
                <c:pt idx="963">
                  <c:v>173.86</c:v>
                </c:pt>
                <c:pt idx="964">
                  <c:v>174.14</c:v>
                </c:pt>
                <c:pt idx="965">
                  <c:v>174.5</c:v>
                </c:pt>
                <c:pt idx="966">
                  <c:v>174.52</c:v>
                </c:pt>
                <c:pt idx="967">
                  <c:v>172.88</c:v>
                </c:pt>
                <c:pt idx="968">
                  <c:v>172.45</c:v>
                </c:pt>
                <c:pt idx="969">
                  <c:v>172.14</c:v>
                </c:pt>
                <c:pt idx="970">
                  <c:v>171.2</c:v>
                </c:pt>
                <c:pt idx="971">
                  <c:v>170.58</c:v>
                </c:pt>
                <c:pt idx="972">
                  <c:v>170.66</c:v>
                </c:pt>
                <c:pt idx="973">
                  <c:v>169.53</c:v>
                </c:pt>
                <c:pt idx="974">
                  <c:v>171.1</c:v>
                </c:pt>
                <c:pt idx="975">
                  <c:v>170.05</c:v>
                </c:pt>
                <c:pt idx="976">
                  <c:v>161.69</c:v>
                </c:pt>
                <c:pt idx="977">
                  <c:v>162.30000000000001</c:v>
                </c:pt>
                <c:pt idx="978">
                  <c:v>160.38</c:v>
                </c:pt>
                <c:pt idx="979">
                  <c:v>160.75</c:v>
                </c:pt>
                <c:pt idx="980">
                  <c:v>160.38999999999999</c:v>
                </c:pt>
                <c:pt idx="981">
                  <c:v>160.06</c:v>
                </c:pt>
                <c:pt idx="982">
                  <c:v>160.32</c:v>
                </c:pt>
                <c:pt idx="983">
                  <c:v>160.29</c:v>
                </c:pt>
                <c:pt idx="984">
                  <c:v>158.84</c:v>
                </c:pt>
                <c:pt idx="985">
                  <c:v>159.1</c:v>
                </c:pt>
                <c:pt idx="986">
                  <c:v>158.63</c:v>
                </c:pt>
                <c:pt idx="987">
                  <c:v>159.05000000000001</c:v>
                </c:pt>
                <c:pt idx="988">
                  <c:v>155.05000000000001</c:v>
                </c:pt>
                <c:pt idx="989">
                  <c:v>153.03</c:v>
                </c:pt>
                <c:pt idx="990">
                  <c:v>152.11000000000001</c:v>
                </c:pt>
                <c:pt idx="991">
                  <c:v>151.25</c:v>
                </c:pt>
                <c:pt idx="992">
                  <c:v>150.65</c:v>
                </c:pt>
                <c:pt idx="993">
                  <c:v>150.37</c:v>
                </c:pt>
                <c:pt idx="994">
                  <c:v>151.51</c:v>
                </c:pt>
                <c:pt idx="995">
                  <c:v>153.68</c:v>
                </c:pt>
                <c:pt idx="996">
                  <c:v>150.93</c:v>
                </c:pt>
                <c:pt idx="997">
                  <c:v>150.78</c:v>
                </c:pt>
                <c:pt idx="998">
                  <c:v>151.97999999999999</c:v>
                </c:pt>
                <c:pt idx="999">
                  <c:v>152.63999999999999</c:v>
                </c:pt>
                <c:pt idx="1000">
                  <c:v>152.03</c:v>
                </c:pt>
                <c:pt idx="1001">
                  <c:v>152.51</c:v>
                </c:pt>
                <c:pt idx="1002">
                  <c:v>153.19999999999999</c:v>
                </c:pt>
                <c:pt idx="1003">
                  <c:v>152.49</c:v>
                </c:pt>
                <c:pt idx="1004">
                  <c:v>151.72999999999999</c:v>
                </c:pt>
                <c:pt idx="1005">
                  <c:v>152.63</c:v>
                </c:pt>
                <c:pt idx="1006">
                  <c:v>152.66999999999999</c:v>
                </c:pt>
                <c:pt idx="1007">
                  <c:v>152.05000000000001</c:v>
                </c:pt>
                <c:pt idx="1008">
                  <c:v>152.41</c:v>
                </c:pt>
                <c:pt idx="1009">
                  <c:v>152.37</c:v>
                </c:pt>
                <c:pt idx="1010">
                  <c:v>150.97999999999999</c:v>
                </c:pt>
                <c:pt idx="1011">
                  <c:v>152.1</c:v>
                </c:pt>
                <c:pt idx="1012">
                  <c:v>154.1</c:v>
                </c:pt>
                <c:pt idx="1013">
                  <c:v>155.18</c:v>
                </c:pt>
                <c:pt idx="1014">
                  <c:v>154.25</c:v>
                </c:pt>
                <c:pt idx="1015">
                  <c:v>153.81</c:v>
                </c:pt>
                <c:pt idx="1016">
                  <c:v>154.22</c:v>
                </c:pt>
                <c:pt idx="1017">
                  <c:v>155.38</c:v>
                </c:pt>
                <c:pt idx="1018">
                  <c:v>154.84</c:v>
                </c:pt>
                <c:pt idx="1019">
                  <c:v>154.94999999999999</c:v>
                </c:pt>
                <c:pt idx="1020">
                  <c:v>153.79</c:v>
                </c:pt>
                <c:pt idx="1021">
                  <c:v>154.4</c:v>
                </c:pt>
                <c:pt idx="1022">
                  <c:v>154.11000000000001</c:v>
                </c:pt>
                <c:pt idx="1023">
                  <c:v>155.22999999999999</c:v>
                </c:pt>
                <c:pt idx="1024">
                  <c:v>154.75</c:v>
                </c:pt>
                <c:pt idx="1025">
                  <c:v>155.32</c:v>
                </c:pt>
                <c:pt idx="1026">
                  <c:v>154.13</c:v>
                </c:pt>
                <c:pt idx="1027">
                  <c:v>153.83000000000001</c:v>
                </c:pt>
                <c:pt idx="1028">
                  <c:v>155.58000000000001</c:v>
                </c:pt>
                <c:pt idx="1029">
                  <c:v>153.66999999999999</c:v>
                </c:pt>
                <c:pt idx="1030">
                  <c:v>152.36000000000001</c:v>
                </c:pt>
                <c:pt idx="1031">
                  <c:v>152.94</c:v>
                </c:pt>
                <c:pt idx="1032">
                  <c:v>153.41999999999999</c:v>
                </c:pt>
                <c:pt idx="1033">
                  <c:v>153.19</c:v>
                </c:pt>
                <c:pt idx="1034">
                  <c:v>153.69999999999999</c:v>
                </c:pt>
                <c:pt idx="1035">
                  <c:v>153.63</c:v>
                </c:pt>
                <c:pt idx="1036">
                  <c:v>154.24</c:v>
                </c:pt>
                <c:pt idx="1037">
                  <c:v>153.01</c:v>
                </c:pt>
                <c:pt idx="1038">
                  <c:v>154</c:v>
                </c:pt>
                <c:pt idx="1039">
                  <c:v>147.53</c:v>
                </c:pt>
                <c:pt idx="1040">
                  <c:v>147.66</c:v>
                </c:pt>
                <c:pt idx="1041">
                  <c:v>147.08000000000001</c:v>
                </c:pt>
                <c:pt idx="1042">
                  <c:v>145.99</c:v>
                </c:pt>
                <c:pt idx="1043">
                  <c:v>146.19</c:v>
                </c:pt>
                <c:pt idx="1044">
                  <c:v>145.36000000000001</c:v>
                </c:pt>
                <c:pt idx="1045">
                  <c:v>145.07</c:v>
                </c:pt>
                <c:pt idx="1046">
                  <c:v>144.29</c:v>
                </c:pt>
                <c:pt idx="1047">
                  <c:v>144.66999999999999</c:v>
                </c:pt>
                <c:pt idx="1048">
                  <c:v>145.30000000000001</c:v>
                </c:pt>
                <c:pt idx="1049">
                  <c:v>144.44999999999999</c:v>
                </c:pt>
                <c:pt idx="1050">
                  <c:v>144.94</c:v>
                </c:pt>
                <c:pt idx="1051">
                  <c:v>145.16</c:v>
                </c:pt>
                <c:pt idx="1052">
                  <c:v>143.47</c:v>
                </c:pt>
                <c:pt idx="1053">
                  <c:v>142.11000000000001</c:v>
                </c:pt>
                <c:pt idx="1054">
                  <c:v>141.77000000000001</c:v>
                </c:pt>
                <c:pt idx="1055">
                  <c:v>141.84</c:v>
                </c:pt>
                <c:pt idx="1056">
                  <c:v>141.84</c:v>
                </c:pt>
                <c:pt idx="1057">
                  <c:v>142.32</c:v>
                </c:pt>
                <c:pt idx="1058">
                  <c:v>142.07</c:v>
                </c:pt>
                <c:pt idx="1059">
                  <c:v>142.5</c:v>
                </c:pt>
                <c:pt idx="1060">
                  <c:v>140.69999999999999</c:v>
                </c:pt>
                <c:pt idx="1061">
                  <c:v>139.69999999999999</c:v>
                </c:pt>
                <c:pt idx="1062">
                  <c:v>140.33000000000001</c:v>
                </c:pt>
                <c:pt idx="1063">
                  <c:v>141.01</c:v>
                </c:pt>
                <c:pt idx="1064">
                  <c:v>142.13999999999999</c:v>
                </c:pt>
                <c:pt idx="1065">
                  <c:v>142.94</c:v>
                </c:pt>
                <c:pt idx="1066">
                  <c:v>143.74</c:v>
                </c:pt>
                <c:pt idx="1067">
                  <c:v>142.51</c:v>
                </c:pt>
                <c:pt idx="1068">
                  <c:v>143.13999999999999</c:v>
                </c:pt>
                <c:pt idx="1069">
                  <c:v>142.56</c:v>
                </c:pt>
                <c:pt idx="1070">
                  <c:v>143.03</c:v>
                </c:pt>
                <c:pt idx="1071">
                  <c:v>144.08000000000001</c:v>
                </c:pt>
                <c:pt idx="1072">
                  <c:v>143.04</c:v>
                </c:pt>
                <c:pt idx="1073">
                  <c:v>143.82</c:v>
                </c:pt>
                <c:pt idx="1074">
                  <c:v>142.9</c:v>
                </c:pt>
                <c:pt idx="1075">
                  <c:v>142.44999999999999</c:v>
                </c:pt>
                <c:pt idx="1076">
                  <c:v>144.86000000000001</c:v>
                </c:pt>
                <c:pt idx="1077">
                  <c:v>145.76</c:v>
                </c:pt>
                <c:pt idx="1078">
                  <c:v>145.99</c:v>
                </c:pt>
                <c:pt idx="1079">
                  <c:v>145.54</c:v>
                </c:pt>
                <c:pt idx="1080">
                  <c:v>144.82</c:v>
                </c:pt>
                <c:pt idx="1081">
                  <c:v>144.55000000000001</c:v>
                </c:pt>
                <c:pt idx="1082">
                  <c:v>144.38999999999999</c:v>
                </c:pt>
                <c:pt idx="1083">
                  <c:v>145.88</c:v>
                </c:pt>
                <c:pt idx="1084">
                  <c:v>145.26</c:v>
                </c:pt>
                <c:pt idx="1085">
                  <c:v>145.13</c:v>
                </c:pt>
                <c:pt idx="1086">
                  <c:v>145.87</c:v>
                </c:pt>
                <c:pt idx="1087">
                  <c:v>146.56</c:v>
                </c:pt>
                <c:pt idx="1088">
                  <c:v>145.66</c:v>
                </c:pt>
                <c:pt idx="1089">
                  <c:v>145.66</c:v>
                </c:pt>
                <c:pt idx="1090">
                  <c:v>145.08000000000001</c:v>
                </c:pt>
                <c:pt idx="1091">
                  <c:v>146.66</c:v>
                </c:pt>
                <c:pt idx="1092">
                  <c:v>146.78</c:v>
                </c:pt>
                <c:pt idx="1093">
                  <c:v>146.47999999999999</c:v>
                </c:pt>
                <c:pt idx="1094">
                  <c:v>146.72</c:v>
                </c:pt>
                <c:pt idx="1095">
                  <c:v>146.47999999999999</c:v>
                </c:pt>
                <c:pt idx="1096">
                  <c:v>147.38999999999999</c:v>
                </c:pt>
                <c:pt idx="1097">
                  <c:v>148.5</c:v>
                </c:pt>
                <c:pt idx="1098">
                  <c:v>147.62</c:v>
                </c:pt>
                <c:pt idx="1099">
                  <c:v>147.03</c:v>
                </c:pt>
                <c:pt idx="1100">
                  <c:v>147.1</c:v>
                </c:pt>
                <c:pt idx="1101">
                  <c:v>146.83000000000001</c:v>
                </c:pt>
                <c:pt idx="1102">
                  <c:v>146.54</c:v>
                </c:pt>
                <c:pt idx="1103">
                  <c:v>159.53</c:v>
                </c:pt>
                <c:pt idx="1104">
                  <c:v>160.9</c:v>
                </c:pt>
                <c:pt idx="1105">
                  <c:v>162.07</c:v>
                </c:pt>
                <c:pt idx="1106">
                  <c:v>159.55000000000001</c:v>
                </c:pt>
                <c:pt idx="1107">
                  <c:v>155.88</c:v>
                </c:pt>
                <c:pt idx="1108">
                  <c:v>153.5</c:v>
                </c:pt>
                <c:pt idx="1109">
                  <c:v>153.6</c:v>
                </c:pt>
                <c:pt idx="1110">
                  <c:v>153.68</c:v>
                </c:pt>
                <c:pt idx="1111">
                  <c:v>154.36000000000001</c:v>
                </c:pt>
                <c:pt idx="1112">
                  <c:v>154.06</c:v>
                </c:pt>
                <c:pt idx="1113">
                  <c:v>154.03</c:v>
                </c:pt>
                <c:pt idx="1114">
                  <c:v>153.35</c:v>
                </c:pt>
                <c:pt idx="1115">
                  <c:v>151.58000000000001</c:v>
                </c:pt>
                <c:pt idx="1116">
                  <c:v>150.84</c:v>
                </c:pt>
                <c:pt idx="1117">
                  <c:v>151.35</c:v>
                </c:pt>
                <c:pt idx="1118">
                  <c:v>151.57</c:v>
                </c:pt>
                <c:pt idx="1119">
                  <c:v>150.30000000000001</c:v>
                </c:pt>
                <c:pt idx="1120">
                  <c:v>149.16</c:v>
                </c:pt>
                <c:pt idx="1121">
                  <c:v>148.4</c:v>
                </c:pt>
                <c:pt idx="1122">
                  <c:v>148.88999999999999</c:v>
                </c:pt>
                <c:pt idx="1123">
                  <c:v>147.1</c:v>
                </c:pt>
                <c:pt idx="1124">
                  <c:v>149.12</c:v>
                </c:pt>
                <c:pt idx="1125">
                  <c:v>148.97</c:v>
                </c:pt>
                <c:pt idx="1126">
                  <c:v>150.51</c:v>
                </c:pt>
                <c:pt idx="1127">
                  <c:v>151.94999999999999</c:v>
                </c:pt>
                <c:pt idx="1128">
                  <c:v>151.77000000000001</c:v>
                </c:pt>
                <c:pt idx="1129">
                  <c:v>151.84</c:v>
                </c:pt>
                <c:pt idx="1130">
                  <c:v>151.97999999999999</c:v>
                </c:pt>
                <c:pt idx="1131">
                  <c:v>152.47</c:v>
                </c:pt>
                <c:pt idx="1132">
                  <c:v>153.55000000000001</c:v>
                </c:pt>
                <c:pt idx="1133">
                  <c:v>153.97</c:v>
                </c:pt>
                <c:pt idx="1134">
                  <c:v>154.76</c:v>
                </c:pt>
                <c:pt idx="1135">
                  <c:v>156.46</c:v>
                </c:pt>
                <c:pt idx="1136">
                  <c:v>155.35</c:v>
                </c:pt>
                <c:pt idx="1137">
                  <c:v>154.1</c:v>
                </c:pt>
                <c:pt idx="1138">
                  <c:v>153.57</c:v>
                </c:pt>
                <c:pt idx="1139">
                  <c:v>154.81</c:v>
                </c:pt>
                <c:pt idx="1140">
                  <c:v>155.41</c:v>
                </c:pt>
                <c:pt idx="1141">
                  <c:v>156.74</c:v>
                </c:pt>
                <c:pt idx="1142">
                  <c:v>153.91</c:v>
                </c:pt>
                <c:pt idx="1143">
                  <c:v>154</c:v>
                </c:pt>
                <c:pt idx="1144">
                  <c:v>152.5</c:v>
                </c:pt>
                <c:pt idx="1145">
                  <c:v>153.33000000000001</c:v>
                </c:pt>
                <c:pt idx="1146">
                  <c:v>153.22999999999999</c:v>
                </c:pt>
                <c:pt idx="1147">
                  <c:v>152.94999999999999</c:v>
                </c:pt>
                <c:pt idx="1148">
                  <c:v>151.5</c:v>
                </c:pt>
                <c:pt idx="1149">
                  <c:v>152.5</c:v>
                </c:pt>
                <c:pt idx="1150">
                  <c:v>152.83000000000001</c:v>
                </c:pt>
                <c:pt idx="1151">
                  <c:v>153.13</c:v>
                </c:pt>
                <c:pt idx="1152">
                  <c:v>154.04</c:v>
                </c:pt>
                <c:pt idx="1153">
                  <c:v>153.41999999999999</c:v>
                </c:pt>
                <c:pt idx="1154">
                  <c:v>154.25</c:v>
                </c:pt>
                <c:pt idx="1155">
                  <c:v>158.49</c:v>
                </c:pt>
                <c:pt idx="1156">
                  <c:v>161.69999999999999</c:v>
                </c:pt>
                <c:pt idx="1157">
                  <c:v>162.49</c:v>
                </c:pt>
                <c:pt idx="1158">
                  <c:v>163.47</c:v>
                </c:pt>
                <c:pt idx="1159">
                  <c:v>163.83000000000001</c:v>
                </c:pt>
                <c:pt idx="1160">
                  <c:v>164.18</c:v>
                </c:pt>
                <c:pt idx="1161">
                  <c:v>164.2</c:v>
                </c:pt>
                <c:pt idx="1162">
                  <c:v>163.13999999999999</c:v>
                </c:pt>
                <c:pt idx="1163">
                  <c:v>163.85</c:v>
                </c:pt>
                <c:pt idx="1164">
                  <c:v>168.65</c:v>
                </c:pt>
                <c:pt idx="1165">
                  <c:v>169.12</c:v>
                </c:pt>
                <c:pt idx="1166">
                  <c:v>162.37</c:v>
                </c:pt>
                <c:pt idx="1167">
                  <c:v>162.6</c:v>
                </c:pt>
                <c:pt idx="1168">
                  <c:v>166.25</c:v>
                </c:pt>
                <c:pt idx="1169">
                  <c:v>165.37</c:v>
                </c:pt>
                <c:pt idx="1170">
                  <c:v>165.47</c:v>
                </c:pt>
                <c:pt idx="1171">
                  <c:v>167.34</c:v>
                </c:pt>
                <c:pt idx="1172">
                  <c:v>166.8</c:v>
                </c:pt>
                <c:pt idx="1173">
                  <c:v>163.62</c:v>
                </c:pt>
                <c:pt idx="1174">
                  <c:v>163.69999999999999</c:v>
                </c:pt>
                <c:pt idx="1175">
                  <c:v>162.4</c:v>
                </c:pt>
                <c:pt idx="1176">
                  <c:v>159.03</c:v>
                </c:pt>
                <c:pt idx="1177">
                  <c:v>152.53</c:v>
                </c:pt>
                <c:pt idx="1178">
                  <c:v>155.34</c:v>
                </c:pt>
                <c:pt idx="1179">
                  <c:v>153.85</c:v>
                </c:pt>
                <c:pt idx="1180">
                  <c:v>147.59</c:v>
                </c:pt>
                <c:pt idx="1181">
                  <c:v>149.51</c:v>
                </c:pt>
                <c:pt idx="1182">
                  <c:v>151.4</c:v>
                </c:pt>
                <c:pt idx="1183">
                  <c:v>150.75</c:v>
                </c:pt>
                <c:pt idx="1184">
                  <c:v>154.76</c:v>
                </c:pt>
                <c:pt idx="1185">
                  <c:v>156.01</c:v>
                </c:pt>
                <c:pt idx="1186">
                  <c:v>156.18</c:v>
                </c:pt>
                <c:pt idx="1187">
                  <c:v>155.16</c:v>
                </c:pt>
                <c:pt idx="1188">
                  <c:v>153.96</c:v>
                </c:pt>
                <c:pt idx="1189">
                  <c:v>153.18</c:v>
                </c:pt>
                <c:pt idx="1190">
                  <c:v>155.52000000000001</c:v>
                </c:pt>
                <c:pt idx="1191">
                  <c:v>158.58000000000001</c:v>
                </c:pt>
                <c:pt idx="1192">
                  <c:v>156.55000000000001</c:v>
                </c:pt>
                <c:pt idx="1193">
                  <c:v>155.83000000000001</c:v>
                </c:pt>
                <c:pt idx="1194">
                  <c:v>153.81</c:v>
                </c:pt>
                <c:pt idx="1195">
                  <c:v>154.49</c:v>
                </c:pt>
                <c:pt idx="1196">
                  <c:v>156.94999999999999</c:v>
                </c:pt>
                <c:pt idx="1197">
                  <c:v>155.72</c:v>
                </c:pt>
                <c:pt idx="1198">
                  <c:v>158.32</c:v>
                </c:pt>
                <c:pt idx="1199">
                  <c:v>156.21</c:v>
                </c:pt>
                <c:pt idx="1200">
                  <c:v>159.31</c:v>
                </c:pt>
                <c:pt idx="1201">
                  <c:v>160.26</c:v>
                </c:pt>
                <c:pt idx="1202">
                  <c:v>159.32</c:v>
                </c:pt>
                <c:pt idx="1203">
                  <c:v>158.12</c:v>
                </c:pt>
                <c:pt idx="1204">
                  <c:v>159.61000000000001</c:v>
                </c:pt>
                <c:pt idx="1205">
                  <c:v>160.26</c:v>
                </c:pt>
                <c:pt idx="1206">
                  <c:v>157.35</c:v>
                </c:pt>
                <c:pt idx="1207">
                  <c:v>156.19999999999999</c:v>
                </c:pt>
                <c:pt idx="1208">
                  <c:v>156.69</c:v>
                </c:pt>
                <c:pt idx="1209">
                  <c:v>152.09</c:v>
                </c:pt>
                <c:pt idx="1210">
                  <c:v>148.88999999999999</c:v>
                </c:pt>
                <c:pt idx="1211">
                  <c:v>153.37</c:v>
                </c:pt>
                <c:pt idx="1212">
                  <c:v>151.91</c:v>
                </c:pt>
                <c:pt idx="1213">
                  <c:v>152.52000000000001</c:v>
                </c:pt>
                <c:pt idx="1214">
                  <c:v>153.43</c:v>
                </c:pt>
                <c:pt idx="1215">
                  <c:v>150.07</c:v>
                </c:pt>
                <c:pt idx="1216">
                  <c:v>149.85</c:v>
                </c:pt>
                <c:pt idx="1217">
                  <c:v>154.12</c:v>
                </c:pt>
                <c:pt idx="1218">
                  <c:v>154.03</c:v>
                </c:pt>
                <c:pt idx="1219">
                  <c:v>150.57</c:v>
                </c:pt>
                <c:pt idx="1220">
                  <c:v>152.69</c:v>
                </c:pt>
                <c:pt idx="1221">
                  <c:v>155.38999999999999</c:v>
                </c:pt>
                <c:pt idx="1222">
                  <c:v>155.36000000000001</c:v>
                </c:pt>
                <c:pt idx="1223">
                  <c:v>158.07</c:v>
                </c:pt>
                <c:pt idx="1224">
                  <c:v>156.71</c:v>
                </c:pt>
                <c:pt idx="1225">
                  <c:v>157.88999999999999</c:v>
                </c:pt>
                <c:pt idx="1226">
                  <c:v>160.91</c:v>
                </c:pt>
                <c:pt idx="1227">
                  <c:v>148.79</c:v>
                </c:pt>
                <c:pt idx="1228">
                  <c:v>147.69999999999999</c:v>
                </c:pt>
                <c:pt idx="1229">
                  <c:v>144.9</c:v>
                </c:pt>
                <c:pt idx="1230">
                  <c:v>145.86000000000001</c:v>
                </c:pt>
                <c:pt idx="1231">
                  <c:v>145.56</c:v>
                </c:pt>
                <c:pt idx="1232">
                  <c:v>145.94</c:v>
                </c:pt>
                <c:pt idx="1233">
                  <c:v>146.72</c:v>
                </c:pt>
                <c:pt idx="1234">
                  <c:v>146.47999999999999</c:v>
                </c:pt>
                <c:pt idx="1235">
                  <c:v>144.96</c:v>
                </c:pt>
                <c:pt idx="1236">
                  <c:v>145</c:v>
                </c:pt>
                <c:pt idx="1237">
                  <c:v>142.44999999999999</c:v>
                </c:pt>
                <c:pt idx="1238">
                  <c:v>141.99</c:v>
                </c:pt>
                <c:pt idx="1239">
                  <c:v>143.91</c:v>
                </c:pt>
                <c:pt idx="1240">
                  <c:v>143.22</c:v>
                </c:pt>
                <c:pt idx="1241">
                  <c:v>143</c:v>
                </c:pt>
                <c:pt idx="1242">
                  <c:v>142.61000000000001</c:v>
                </c:pt>
                <c:pt idx="1243">
                  <c:v>144.24</c:v>
                </c:pt>
                <c:pt idx="1244">
                  <c:v>144.13999999999999</c:v>
                </c:pt>
                <c:pt idx="1245">
                  <c:v>144.30000000000001</c:v>
                </c:pt>
                <c:pt idx="1246">
                  <c:v>143.74</c:v>
                </c:pt>
                <c:pt idx="1247">
                  <c:v>144.63</c:v>
                </c:pt>
                <c:pt idx="1248">
                  <c:v>144.5</c:v>
                </c:pt>
                <c:pt idx="1249">
                  <c:v>144.08000000000001</c:v>
                </c:pt>
                <c:pt idx="1250">
                  <c:v>145.49</c:v>
                </c:pt>
                <c:pt idx="1251">
                  <c:v>145.09</c:v>
                </c:pt>
                <c:pt idx="1252">
                  <c:v>144.66999999999999</c:v>
                </c:pt>
                <c:pt idx="1253">
                  <c:v>144.07</c:v>
                </c:pt>
                <c:pt idx="1254">
                  <c:v>143.63999999999999</c:v>
                </c:pt>
                <c:pt idx="1255">
                  <c:v>141.22</c:v>
                </c:pt>
                <c:pt idx="1256">
                  <c:v>142.62</c:v>
                </c:pt>
                <c:pt idx="1257">
                  <c:v>141.31</c:v>
                </c:pt>
                <c:pt idx="1258">
                  <c:v>141.94999999999999</c:v>
                </c:pt>
                <c:pt idx="1259">
                  <c:v>143.04</c:v>
                </c:pt>
                <c:pt idx="1260">
                  <c:v>143.69999999999999</c:v>
                </c:pt>
                <c:pt idx="1261">
                  <c:v>144.71</c:v>
                </c:pt>
                <c:pt idx="1262">
                  <c:v>145.36000000000001</c:v>
                </c:pt>
                <c:pt idx="1263">
                  <c:v>146.13999999999999</c:v>
                </c:pt>
                <c:pt idx="1264">
                  <c:v>146.58000000000001</c:v>
                </c:pt>
                <c:pt idx="1265">
                  <c:v>146.87</c:v>
                </c:pt>
                <c:pt idx="1266">
                  <c:v>146.35</c:v>
                </c:pt>
                <c:pt idx="1267">
                  <c:v>145.19999999999999</c:v>
                </c:pt>
                <c:pt idx="1268">
                  <c:v>145.38999999999999</c:v>
                </c:pt>
                <c:pt idx="1269">
                  <c:v>144.47999999999999</c:v>
                </c:pt>
                <c:pt idx="1270">
                  <c:v>143.9</c:v>
                </c:pt>
                <c:pt idx="1271">
                  <c:v>142.63</c:v>
                </c:pt>
                <c:pt idx="1272">
                  <c:v>141.25</c:v>
                </c:pt>
                <c:pt idx="1273">
                  <c:v>141.28</c:v>
                </c:pt>
                <c:pt idx="1274">
                  <c:v>138.79</c:v>
                </c:pt>
                <c:pt idx="1275">
                  <c:v>139.08000000000001</c:v>
                </c:pt>
                <c:pt idx="1276">
                  <c:v>137.47999999999999</c:v>
                </c:pt>
                <c:pt idx="1277">
                  <c:v>140.04</c:v>
                </c:pt>
                <c:pt idx="1278">
                  <c:v>139.69999999999999</c:v>
                </c:pt>
                <c:pt idx="1279">
                  <c:v>139.86000000000001</c:v>
                </c:pt>
                <c:pt idx="1280">
                  <c:v>139.57</c:v>
                </c:pt>
                <c:pt idx="1281">
                  <c:v>141.43</c:v>
                </c:pt>
                <c:pt idx="1282">
                  <c:v>142.47999999999999</c:v>
                </c:pt>
                <c:pt idx="1283">
                  <c:v>144.38999999999999</c:v>
                </c:pt>
                <c:pt idx="1284">
                  <c:v>144.71</c:v>
                </c:pt>
                <c:pt idx="1285">
                  <c:v>144.94</c:v>
                </c:pt>
                <c:pt idx="1286">
                  <c:v>146.44999999999999</c:v>
                </c:pt>
                <c:pt idx="1287">
                  <c:v>145.9</c:v>
                </c:pt>
                <c:pt idx="1288">
                  <c:v>145.46</c:v>
                </c:pt>
                <c:pt idx="1289">
                  <c:v>143.49</c:v>
                </c:pt>
                <c:pt idx="1290">
                  <c:v>144.52000000000001</c:v>
                </c:pt>
                <c:pt idx="1291">
                  <c:v>149.24</c:v>
                </c:pt>
                <c:pt idx="1292">
                  <c:v>146.35</c:v>
                </c:pt>
                <c:pt idx="1293">
                  <c:v>145.69999999999999</c:v>
                </c:pt>
                <c:pt idx="1294">
                  <c:v>146.38</c:v>
                </c:pt>
                <c:pt idx="1295">
                  <c:v>146.62</c:v>
                </c:pt>
                <c:pt idx="1296">
                  <c:v>146.71</c:v>
                </c:pt>
                <c:pt idx="1297">
                  <c:v>145.15</c:v>
                </c:pt>
                <c:pt idx="1298">
                  <c:v>145.49</c:v>
                </c:pt>
                <c:pt idx="1299">
                  <c:v>144.93</c:v>
                </c:pt>
                <c:pt idx="1300">
                  <c:v>143.5</c:v>
                </c:pt>
                <c:pt idx="1301">
                  <c:v>142.96</c:v>
                </c:pt>
                <c:pt idx="1302">
                  <c:v>147.69999999999999</c:v>
                </c:pt>
                <c:pt idx="1303">
                  <c:v>146.03</c:v>
                </c:pt>
                <c:pt idx="1304">
                  <c:v>147.01</c:v>
                </c:pt>
                <c:pt idx="1305">
                  <c:v>146.88999999999999</c:v>
                </c:pt>
                <c:pt idx="1306">
                  <c:v>144.77000000000001</c:v>
                </c:pt>
                <c:pt idx="1307">
                  <c:v>144.47999999999999</c:v>
                </c:pt>
                <c:pt idx="1308">
                  <c:v>142.71</c:v>
                </c:pt>
                <c:pt idx="1309">
                  <c:v>143.36000000000001</c:v>
                </c:pt>
                <c:pt idx="1310">
                  <c:v>143.91</c:v>
                </c:pt>
                <c:pt idx="1311">
                  <c:v>145.34</c:v>
                </c:pt>
                <c:pt idx="1312">
                  <c:v>146.06</c:v>
                </c:pt>
                <c:pt idx="1313">
                  <c:v>146.51</c:v>
                </c:pt>
                <c:pt idx="1314">
                  <c:v>145.97</c:v>
                </c:pt>
                <c:pt idx="1315">
                  <c:v>145.24</c:v>
                </c:pt>
                <c:pt idx="1316">
                  <c:v>145.37</c:v>
                </c:pt>
                <c:pt idx="1317">
                  <c:v>146.04</c:v>
                </c:pt>
                <c:pt idx="1318">
                  <c:v>146.69</c:v>
                </c:pt>
                <c:pt idx="1319">
                  <c:v>146.59</c:v>
                </c:pt>
                <c:pt idx="1320">
                  <c:v>147.54</c:v>
                </c:pt>
                <c:pt idx="1321">
                  <c:v>145.93</c:v>
                </c:pt>
                <c:pt idx="1322">
                  <c:v>146.47999999999999</c:v>
                </c:pt>
                <c:pt idx="1323">
                  <c:v>145.68</c:v>
                </c:pt>
                <c:pt idx="1324">
                  <c:v>146.66</c:v>
                </c:pt>
                <c:pt idx="1325">
                  <c:v>146.38999999999999</c:v>
                </c:pt>
                <c:pt idx="1326">
                  <c:v>145.44999999999999</c:v>
                </c:pt>
                <c:pt idx="1327">
                  <c:v>145.65</c:v>
                </c:pt>
                <c:pt idx="1328">
                  <c:v>146.49</c:v>
                </c:pt>
                <c:pt idx="1329">
                  <c:v>146.57</c:v>
                </c:pt>
                <c:pt idx="1330">
                  <c:v>148.94999999999999</c:v>
                </c:pt>
                <c:pt idx="1331">
                  <c:v>148.33000000000001</c:v>
                </c:pt>
                <c:pt idx="1332">
                  <c:v>147.94</c:v>
                </c:pt>
                <c:pt idx="1333">
                  <c:v>148.56</c:v>
                </c:pt>
                <c:pt idx="1334">
                  <c:v>149.06</c:v>
                </c:pt>
                <c:pt idx="1335">
                  <c:v>151.15</c:v>
                </c:pt>
                <c:pt idx="1336">
                  <c:v>151.35</c:v>
                </c:pt>
                <c:pt idx="1337">
                  <c:v>150.03</c:v>
                </c:pt>
                <c:pt idx="1338">
                  <c:v>148.91</c:v>
                </c:pt>
                <c:pt idx="1339">
                  <c:v>151.61000000000001</c:v>
                </c:pt>
                <c:pt idx="1340">
                  <c:v>151.5</c:v>
                </c:pt>
                <c:pt idx="1341">
                  <c:v>151.21</c:v>
                </c:pt>
                <c:pt idx="1342">
                  <c:v>153</c:v>
                </c:pt>
                <c:pt idx="1343">
                  <c:v>153.75</c:v>
                </c:pt>
                <c:pt idx="1344">
                  <c:v>153.22</c:v>
                </c:pt>
                <c:pt idx="1345">
                  <c:v>151.31</c:v>
                </c:pt>
                <c:pt idx="1346">
                  <c:v>149.03</c:v>
                </c:pt>
                <c:pt idx="1347">
                  <c:v>148.38999999999999</c:v>
                </c:pt>
                <c:pt idx="1348">
                  <c:v>147.24</c:v>
                </c:pt>
                <c:pt idx="1349">
                  <c:v>142.69</c:v>
                </c:pt>
                <c:pt idx="1350">
                  <c:v>139.02000000000001</c:v>
                </c:pt>
                <c:pt idx="1351">
                  <c:v>140.85</c:v>
                </c:pt>
                <c:pt idx="1352">
                  <c:v>141.13</c:v>
                </c:pt>
                <c:pt idx="1353">
                  <c:v>145.12</c:v>
                </c:pt>
                <c:pt idx="1354">
                  <c:v>134.05000000000001</c:v>
                </c:pt>
                <c:pt idx="1355">
                  <c:v>130.55000000000001</c:v>
                </c:pt>
                <c:pt idx="1356">
                  <c:v>129.1</c:v>
                </c:pt>
                <c:pt idx="1357">
                  <c:v>130.02000000000001</c:v>
                </c:pt>
                <c:pt idx="1358">
                  <c:v>131.21</c:v>
                </c:pt>
                <c:pt idx="1359">
                  <c:v>127.21</c:v>
                </c:pt>
                <c:pt idx="1360">
                  <c:v>126.45</c:v>
                </c:pt>
                <c:pt idx="1361">
                  <c:v>124.79</c:v>
                </c:pt>
                <c:pt idx="1362">
                  <c:v>119.64</c:v>
                </c:pt>
                <c:pt idx="1363">
                  <c:v>115.4</c:v>
                </c:pt>
                <c:pt idx="1364">
                  <c:v>115.43</c:v>
                </c:pt>
                <c:pt idx="1365">
                  <c:v>116.83</c:v>
                </c:pt>
                <c:pt idx="1366">
                  <c:v>115.67</c:v>
                </c:pt>
                <c:pt idx="1367">
                  <c:v>120.06</c:v>
                </c:pt>
                <c:pt idx="1368">
                  <c:v>123.12</c:v>
                </c:pt>
                <c:pt idx="1369">
                  <c:v>124.84</c:v>
                </c:pt>
                <c:pt idx="1370">
                  <c:v>123.38</c:v>
                </c:pt>
                <c:pt idx="1371">
                  <c:v>123.54</c:v>
                </c:pt>
                <c:pt idx="1372">
                  <c:v>120.9</c:v>
                </c:pt>
                <c:pt idx="1373">
                  <c:v>120.84</c:v>
                </c:pt>
                <c:pt idx="1374">
                  <c:v>120.2</c:v>
                </c:pt>
                <c:pt idx="1375">
                  <c:v>121.44</c:v>
                </c:pt>
                <c:pt idx="1376">
                  <c:v>121.57</c:v>
                </c:pt>
                <c:pt idx="1377">
                  <c:v>120.31</c:v>
                </c:pt>
                <c:pt idx="1378">
                  <c:v>117.2</c:v>
                </c:pt>
                <c:pt idx="1379">
                  <c:v>118.57</c:v>
                </c:pt>
                <c:pt idx="1380">
                  <c:v>117.19</c:v>
                </c:pt>
                <c:pt idx="1381">
                  <c:v>119.56</c:v>
                </c:pt>
                <c:pt idx="1382">
                  <c:v>120.03</c:v>
                </c:pt>
                <c:pt idx="1383">
                  <c:v>123</c:v>
                </c:pt>
                <c:pt idx="1384">
                  <c:v>121.48</c:v>
                </c:pt>
                <c:pt idx="1385">
                  <c:v>124.27</c:v>
                </c:pt>
                <c:pt idx="1386">
                  <c:v>125.31</c:v>
                </c:pt>
                <c:pt idx="1387">
                  <c:v>121.6</c:v>
                </c:pt>
                <c:pt idx="1388">
                  <c:v>123.91</c:v>
                </c:pt>
                <c:pt idx="1389">
                  <c:v>119.34</c:v>
                </c:pt>
                <c:pt idx="1390">
                  <c:v>121.13</c:v>
                </c:pt>
                <c:pt idx="1391">
                  <c:v>120.89</c:v>
                </c:pt>
                <c:pt idx="1392">
                  <c:v>121.16</c:v>
                </c:pt>
                <c:pt idx="1393">
                  <c:v>120.73</c:v>
                </c:pt>
                <c:pt idx="1394">
                  <c:v>119.9</c:v>
                </c:pt>
                <c:pt idx="1395">
                  <c:v>116.1</c:v>
                </c:pt>
                <c:pt idx="1396">
                  <c:v>116.65</c:v>
                </c:pt>
                <c:pt idx="1397">
                  <c:v>116.43</c:v>
                </c:pt>
                <c:pt idx="1398">
                  <c:v>113.02</c:v>
                </c:pt>
                <c:pt idx="1399">
                  <c:v>110.94</c:v>
                </c:pt>
                <c:pt idx="1400">
                  <c:v>107.57</c:v>
                </c:pt>
                <c:pt idx="1401">
                  <c:v>111.39</c:v>
                </c:pt>
                <c:pt idx="1402">
                  <c:v>113.78</c:v>
                </c:pt>
                <c:pt idx="1403">
                  <c:v>113.03</c:v>
                </c:pt>
                <c:pt idx="1404">
                  <c:v>113.67</c:v>
                </c:pt>
                <c:pt idx="1405">
                  <c:v>115.21</c:v>
                </c:pt>
                <c:pt idx="1406">
                  <c:v>112.91</c:v>
                </c:pt>
                <c:pt idx="1407">
                  <c:v>117.32</c:v>
                </c:pt>
                <c:pt idx="1408">
                  <c:v>118.15</c:v>
                </c:pt>
                <c:pt idx="1409">
                  <c:v>119.83</c:v>
                </c:pt>
                <c:pt idx="1410">
                  <c:v>120.69</c:v>
                </c:pt>
                <c:pt idx="1411">
                  <c:v>121.79</c:v>
                </c:pt>
                <c:pt idx="1412">
                  <c:v>121.46</c:v>
                </c:pt>
                <c:pt idx="1413">
                  <c:v>120.39</c:v>
                </c:pt>
                <c:pt idx="1414">
                  <c:v>121.73</c:v>
                </c:pt>
                <c:pt idx="1415">
                  <c:v>121.62</c:v>
                </c:pt>
                <c:pt idx="1416">
                  <c:v>122.19</c:v>
                </c:pt>
                <c:pt idx="1417">
                  <c:v>123.82</c:v>
                </c:pt>
                <c:pt idx="1418">
                  <c:v>122.52</c:v>
                </c:pt>
                <c:pt idx="1419">
                  <c:v>132.88999999999999</c:v>
                </c:pt>
                <c:pt idx="1420">
                  <c:v>132.53</c:v>
                </c:pt>
                <c:pt idx="1421">
                  <c:v>133.97</c:v>
                </c:pt>
                <c:pt idx="1422">
                  <c:v>134.27000000000001</c:v>
                </c:pt>
                <c:pt idx="1423">
                  <c:v>134.33000000000001</c:v>
                </c:pt>
                <c:pt idx="1424">
                  <c:v>134.38</c:v>
                </c:pt>
                <c:pt idx="1425">
                  <c:v>134.41999999999999</c:v>
                </c:pt>
                <c:pt idx="1426">
                  <c:v>134.1</c:v>
                </c:pt>
                <c:pt idx="1427">
                  <c:v>135.19</c:v>
                </c:pt>
                <c:pt idx="1428">
                  <c:v>135.55000000000001</c:v>
                </c:pt>
                <c:pt idx="1429">
                  <c:v>136.32</c:v>
                </c:pt>
                <c:pt idx="1430">
                  <c:v>133.19</c:v>
                </c:pt>
                <c:pt idx="1431">
                  <c:v>133.71</c:v>
                </c:pt>
                <c:pt idx="1432">
                  <c:v>133.99</c:v>
                </c:pt>
                <c:pt idx="1433">
                  <c:v>136.05000000000001</c:v>
                </c:pt>
                <c:pt idx="1434">
                  <c:v>137.52000000000001</c:v>
                </c:pt>
                <c:pt idx="1435">
                  <c:v>136.47999999999999</c:v>
                </c:pt>
                <c:pt idx="1436">
                  <c:v>138.03</c:v>
                </c:pt>
                <c:pt idx="1437">
                  <c:v>138.69999999999999</c:v>
                </c:pt>
                <c:pt idx="1438">
                  <c:v>138</c:v>
                </c:pt>
                <c:pt idx="1439">
                  <c:v>137.84</c:v>
                </c:pt>
                <c:pt idx="1440">
                  <c:v>139.25</c:v>
                </c:pt>
                <c:pt idx="1441">
                  <c:v>139.46</c:v>
                </c:pt>
                <c:pt idx="1442">
                  <c:v>139.72</c:v>
                </c:pt>
                <c:pt idx="1443">
                  <c:v>139.16999999999999</c:v>
                </c:pt>
                <c:pt idx="1444">
                  <c:v>138.13</c:v>
                </c:pt>
                <c:pt idx="1445">
                  <c:v>139.19999999999999</c:v>
                </c:pt>
                <c:pt idx="1446">
                  <c:v>138.43</c:v>
                </c:pt>
                <c:pt idx="1447">
                  <c:v>137.88</c:v>
                </c:pt>
                <c:pt idx="1448">
                  <c:v>136.97999999999999</c:v>
                </c:pt>
                <c:pt idx="1449">
                  <c:v>135.36000000000001</c:v>
                </c:pt>
                <c:pt idx="1450">
                  <c:v>135.09</c:v>
                </c:pt>
                <c:pt idx="1451">
                  <c:v>137.71</c:v>
                </c:pt>
                <c:pt idx="1452">
                  <c:v>138.28</c:v>
                </c:pt>
                <c:pt idx="1453">
                  <c:v>138.56</c:v>
                </c:pt>
                <c:pt idx="1454">
                  <c:v>138.79</c:v>
                </c:pt>
                <c:pt idx="1455">
                  <c:v>139.43</c:v>
                </c:pt>
                <c:pt idx="1456">
                  <c:v>140.21</c:v>
                </c:pt>
                <c:pt idx="1457">
                  <c:v>140.49</c:v>
                </c:pt>
                <c:pt idx="1458">
                  <c:v>139.6</c:v>
                </c:pt>
                <c:pt idx="1459">
                  <c:v>141.44</c:v>
                </c:pt>
                <c:pt idx="1460">
                  <c:v>139.44999999999999</c:v>
                </c:pt>
                <c:pt idx="1461">
                  <c:v>139.18</c:v>
                </c:pt>
                <c:pt idx="1462">
                  <c:v>140.22</c:v>
                </c:pt>
                <c:pt idx="1463">
                  <c:v>139.24</c:v>
                </c:pt>
                <c:pt idx="1464">
                  <c:v>139.91999999999999</c:v>
                </c:pt>
                <c:pt idx="1465">
                  <c:v>141.1</c:v>
                </c:pt>
                <c:pt idx="1466">
                  <c:v>143.30000000000001</c:v>
                </c:pt>
                <c:pt idx="1467">
                  <c:v>143</c:v>
                </c:pt>
                <c:pt idx="1468">
                  <c:v>143.63</c:v>
                </c:pt>
                <c:pt idx="1469">
                  <c:v>142.78</c:v>
                </c:pt>
                <c:pt idx="1470">
                  <c:v>143.28</c:v>
                </c:pt>
                <c:pt idx="1471">
                  <c:v>143.38999999999999</c:v>
                </c:pt>
                <c:pt idx="1472">
                  <c:v>142.11000000000001</c:v>
                </c:pt>
                <c:pt idx="1473">
                  <c:v>143.02000000000001</c:v>
                </c:pt>
                <c:pt idx="1474">
                  <c:v>143.78</c:v>
                </c:pt>
                <c:pt idx="1475">
                  <c:v>144.35</c:v>
                </c:pt>
                <c:pt idx="1476">
                  <c:v>143.9</c:v>
                </c:pt>
                <c:pt idx="1477">
                  <c:v>145.13999999999999</c:v>
                </c:pt>
                <c:pt idx="1478">
                  <c:v>139.11000000000001</c:v>
                </c:pt>
                <c:pt idx="1479">
                  <c:v>140.33000000000001</c:v>
                </c:pt>
                <c:pt idx="1480">
                  <c:v>138.88999999999999</c:v>
                </c:pt>
                <c:pt idx="1481">
                  <c:v>140.44</c:v>
                </c:pt>
                <c:pt idx="1482">
                  <c:v>139.94999999999999</c:v>
                </c:pt>
                <c:pt idx="1483">
                  <c:v>138.63</c:v>
                </c:pt>
                <c:pt idx="1484">
                  <c:v>139.44</c:v>
                </c:pt>
                <c:pt idx="1485">
                  <c:v>139.05000000000001</c:v>
                </c:pt>
                <c:pt idx="1486">
                  <c:v>140.27000000000001</c:v>
                </c:pt>
                <c:pt idx="1487">
                  <c:v>140.56</c:v>
                </c:pt>
                <c:pt idx="1488">
                  <c:v>139.59</c:v>
                </c:pt>
                <c:pt idx="1489">
                  <c:v>140.25</c:v>
                </c:pt>
                <c:pt idx="1490">
                  <c:v>140.38</c:v>
                </c:pt>
                <c:pt idx="1491">
                  <c:v>137.63999999999999</c:v>
                </c:pt>
                <c:pt idx="1492">
                  <c:v>138</c:v>
                </c:pt>
                <c:pt idx="1493">
                  <c:v>135.34</c:v>
                </c:pt>
                <c:pt idx="1494">
                  <c:v>135.32</c:v>
                </c:pt>
                <c:pt idx="1495">
                  <c:v>131.41999999999999</c:v>
                </c:pt>
                <c:pt idx="1496">
                  <c:v>133.31</c:v>
                </c:pt>
                <c:pt idx="1497">
                  <c:v>134.4</c:v>
                </c:pt>
                <c:pt idx="1498">
                  <c:v>135.88</c:v>
                </c:pt>
                <c:pt idx="1499">
                  <c:v>134.32</c:v>
                </c:pt>
                <c:pt idx="1500">
                  <c:v>135.12</c:v>
                </c:pt>
                <c:pt idx="1501">
                  <c:v>136.44999999999999</c:v>
                </c:pt>
                <c:pt idx="1502">
                  <c:v>136.35</c:v>
                </c:pt>
                <c:pt idx="1503">
                  <c:v>132.38999999999999</c:v>
                </c:pt>
                <c:pt idx="1504">
                  <c:v>132.28</c:v>
                </c:pt>
                <c:pt idx="1505">
                  <c:v>130.46</c:v>
                </c:pt>
                <c:pt idx="1506">
                  <c:v>129.69</c:v>
                </c:pt>
                <c:pt idx="1507">
                  <c:v>129.57</c:v>
                </c:pt>
                <c:pt idx="1508">
                  <c:v>126.99</c:v>
                </c:pt>
                <c:pt idx="1509">
                  <c:v>128.27000000000001</c:v>
                </c:pt>
                <c:pt idx="1510">
                  <c:v>132.69</c:v>
                </c:pt>
                <c:pt idx="1511">
                  <c:v>131.49</c:v>
                </c:pt>
                <c:pt idx="1512">
                  <c:v>132.22</c:v>
                </c:pt>
                <c:pt idx="1513">
                  <c:v>133.31</c:v>
                </c:pt>
                <c:pt idx="1514">
                  <c:v>134.74</c:v>
                </c:pt>
                <c:pt idx="1515">
                  <c:v>135.94999999999999</c:v>
                </c:pt>
                <c:pt idx="1516">
                  <c:v>134.87</c:v>
                </c:pt>
                <c:pt idx="1517">
                  <c:v>135.76</c:v>
                </c:pt>
                <c:pt idx="1518">
                  <c:v>135.15</c:v>
                </c:pt>
                <c:pt idx="1519">
                  <c:v>134.94999999999999</c:v>
                </c:pt>
                <c:pt idx="1520">
                  <c:v>136.38</c:v>
                </c:pt>
                <c:pt idx="1521">
                  <c:v>137.08000000000001</c:v>
                </c:pt>
                <c:pt idx="1522">
                  <c:v>138.85</c:v>
                </c:pt>
                <c:pt idx="1523">
                  <c:v>139.19999999999999</c:v>
                </c:pt>
                <c:pt idx="1524">
                  <c:v>139.35</c:v>
                </c:pt>
                <c:pt idx="1525">
                  <c:v>138.36000000000001</c:v>
                </c:pt>
                <c:pt idx="1526">
                  <c:v>138.52000000000001</c:v>
                </c:pt>
                <c:pt idx="1527">
                  <c:v>138.52000000000001</c:v>
                </c:pt>
                <c:pt idx="1528">
                  <c:v>137.9</c:v>
                </c:pt>
                <c:pt idx="1529">
                  <c:v>139.88</c:v>
                </c:pt>
                <c:pt idx="1530">
                  <c:v>140.22</c:v>
                </c:pt>
                <c:pt idx="1531">
                  <c:v>141.54</c:v>
                </c:pt>
                <c:pt idx="1532">
                  <c:v>141.38</c:v>
                </c:pt>
                <c:pt idx="1533">
                  <c:v>140.57</c:v>
                </c:pt>
                <c:pt idx="1534">
                  <c:v>139.33000000000001</c:v>
                </c:pt>
                <c:pt idx="1535">
                  <c:v>140.47</c:v>
                </c:pt>
                <c:pt idx="1536">
                  <c:v>141.24</c:v>
                </c:pt>
                <c:pt idx="1537">
                  <c:v>142.74</c:v>
                </c:pt>
                <c:pt idx="1538">
                  <c:v>143.32</c:v>
                </c:pt>
                <c:pt idx="1539">
                  <c:v>143.53</c:v>
                </c:pt>
                <c:pt idx="1540">
                  <c:v>143.07</c:v>
                </c:pt>
                <c:pt idx="1541">
                  <c:v>149.63</c:v>
                </c:pt>
                <c:pt idx="1542">
                  <c:v>149.68</c:v>
                </c:pt>
                <c:pt idx="1543">
                  <c:v>149.74</c:v>
                </c:pt>
                <c:pt idx="1544">
                  <c:v>150.38</c:v>
                </c:pt>
                <c:pt idx="1545">
                  <c:v>150.03</c:v>
                </c:pt>
                <c:pt idx="1546">
                  <c:v>150.38999999999999</c:v>
                </c:pt>
                <c:pt idx="1547">
                  <c:v>151.36000000000001</c:v>
                </c:pt>
                <c:pt idx="1548">
                  <c:v>150.88</c:v>
                </c:pt>
                <c:pt idx="1549">
                  <c:v>149.77000000000001</c:v>
                </c:pt>
                <c:pt idx="1550">
                  <c:v>148.24</c:v>
                </c:pt>
                <c:pt idx="1551">
                  <c:v>150.32</c:v>
                </c:pt>
                <c:pt idx="1552">
                  <c:v>147.25</c:v>
                </c:pt>
                <c:pt idx="1553">
                  <c:v>140.76</c:v>
                </c:pt>
                <c:pt idx="1554">
                  <c:v>140.72999999999999</c:v>
                </c:pt>
                <c:pt idx="1555">
                  <c:v>139.11000000000001</c:v>
                </c:pt>
                <c:pt idx="1556">
                  <c:v>140.1</c:v>
                </c:pt>
                <c:pt idx="1557">
                  <c:v>136.13</c:v>
                </c:pt>
                <c:pt idx="1558">
                  <c:v>133.66999999999999</c:v>
                </c:pt>
                <c:pt idx="1559">
                  <c:v>135.79</c:v>
                </c:pt>
                <c:pt idx="1560">
                  <c:v>131.25</c:v>
                </c:pt>
                <c:pt idx="1561">
                  <c:v>131.91999999999999</c:v>
                </c:pt>
                <c:pt idx="1562">
                  <c:v>133.76</c:v>
                </c:pt>
                <c:pt idx="1563">
                  <c:v>135.04</c:v>
                </c:pt>
                <c:pt idx="1564">
                  <c:v>133</c:v>
                </c:pt>
                <c:pt idx="1565">
                  <c:v>134.25</c:v>
                </c:pt>
                <c:pt idx="1566">
                  <c:v>134.32</c:v>
                </c:pt>
                <c:pt idx="1567">
                  <c:v>129.57</c:v>
                </c:pt>
                <c:pt idx="1568">
                  <c:v>129.99</c:v>
                </c:pt>
                <c:pt idx="1569">
                  <c:v>131.16999999999999</c:v>
                </c:pt>
                <c:pt idx="1570">
                  <c:v>132.76</c:v>
                </c:pt>
                <c:pt idx="1571">
                  <c:v>134.88</c:v>
                </c:pt>
                <c:pt idx="1572">
                  <c:v>135.53</c:v>
                </c:pt>
                <c:pt idx="1573">
                  <c:v>134.1</c:v>
                </c:pt>
                <c:pt idx="1574">
                  <c:v>136.32</c:v>
                </c:pt>
                <c:pt idx="1575">
                  <c:v>140.97</c:v>
                </c:pt>
                <c:pt idx="1576">
                  <c:v>140.57</c:v>
                </c:pt>
                <c:pt idx="1577">
                  <c:v>142.6</c:v>
                </c:pt>
                <c:pt idx="1578">
                  <c:v>145.05000000000001</c:v>
                </c:pt>
                <c:pt idx="1579">
                  <c:v>143.6</c:v>
                </c:pt>
                <c:pt idx="1580">
                  <c:v>143.62</c:v>
                </c:pt>
                <c:pt idx="1581">
                  <c:v>143.66999999999999</c:v>
                </c:pt>
                <c:pt idx="1582">
                  <c:v>142.47999999999999</c:v>
                </c:pt>
                <c:pt idx="1583">
                  <c:v>142.19999999999999</c:v>
                </c:pt>
                <c:pt idx="1584">
                  <c:v>142.22</c:v>
                </c:pt>
                <c:pt idx="1585">
                  <c:v>142.97</c:v>
                </c:pt>
                <c:pt idx="1586">
                  <c:v>141.88</c:v>
                </c:pt>
                <c:pt idx="1587">
                  <c:v>142.07</c:v>
                </c:pt>
                <c:pt idx="1588">
                  <c:v>141.68</c:v>
                </c:pt>
                <c:pt idx="1589">
                  <c:v>143.16</c:v>
                </c:pt>
                <c:pt idx="1590">
                  <c:v>143.55000000000001</c:v>
                </c:pt>
                <c:pt idx="1591">
                  <c:v>143.24</c:v>
                </c:pt>
                <c:pt idx="1592">
                  <c:v>145.41999999999999</c:v>
                </c:pt>
                <c:pt idx="1593">
                  <c:v>143.66</c:v>
                </c:pt>
                <c:pt idx="1594">
                  <c:v>141.69</c:v>
                </c:pt>
                <c:pt idx="1595">
                  <c:v>142.02000000000001</c:v>
                </c:pt>
                <c:pt idx="1596">
                  <c:v>142.99</c:v>
                </c:pt>
                <c:pt idx="1597">
                  <c:v>141.28</c:v>
                </c:pt>
                <c:pt idx="1598">
                  <c:v>138.38</c:v>
                </c:pt>
                <c:pt idx="1599">
                  <c:v>139.66999999999999</c:v>
                </c:pt>
                <c:pt idx="1600">
                  <c:v>141.13</c:v>
                </c:pt>
                <c:pt idx="1601">
                  <c:v>142.76</c:v>
                </c:pt>
                <c:pt idx="1602">
                  <c:v>142.04</c:v>
                </c:pt>
                <c:pt idx="1603">
                  <c:v>143</c:v>
                </c:pt>
                <c:pt idx="1604">
                  <c:v>142.11000000000001</c:v>
                </c:pt>
                <c:pt idx="1605">
                  <c:v>134.26</c:v>
                </c:pt>
                <c:pt idx="1606">
                  <c:v>134.09</c:v>
                </c:pt>
                <c:pt idx="1607">
                  <c:v>132.58000000000001</c:v>
                </c:pt>
                <c:pt idx="1608">
                  <c:v>133.96</c:v>
                </c:pt>
                <c:pt idx="1609">
                  <c:v>134.38</c:v>
                </c:pt>
                <c:pt idx="1610">
                  <c:v>134.07</c:v>
                </c:pt>
                <c:pt idx="1611">
                  <c:v>135.44</c:v>
                </c:pt>
                <c:pt idx="1612">
                  <c:v>135.97</c:v>
                </c:pt>
                <c:pt idx="1613">
                  <c:v>133.82</c:v>
                </c:pt>
                <c:pt idx="1614">
                  <c:v>135.25</c:v>
                </c:pt>
                <c:pt idx="1615">
                  <c:v>133.72999999999999</c:v>
                </c:pt>
                <c:pt idx="1616">
                  <c:v>135.53</c:v>
                </c:pt>
                <c:pt idx="1617">
                  <c:v>137.66999999999999</c:v>
                </c:pt>
                <c:pt idx="1618">
                  <c:v>137.88999999999999</c:v>
                </c:pt>
                <c:pt idx="1619">
                  <c:v>138.78</c:v>
                </c:pt>
                <c:pt idx="1620">
                  <c:v>137.69</c:v>
                </c:pt>
                <c:pt idx="1621">
                  <c:v>137.61000000000001</c:v>
                </c:pt>
                <c:pt idx="1622">
                  <c:v>135.47</c:v>
                </c:pt>
                <c:pt idx="1623">
                  <c:v>135.59</c:v>
                </c:pt>
                <c:pt idx="1624">
                  <c:v>134.47999999999999</c:v>
                </c:pt>
                <c:pt idx="1625">
                  <c:v>134</c:v>
                </c:pt>
                <c:pt idx="1626">
                  <c:v>134.4</c:v>
                </c:pt>
                <c:pt idx="1627">
                  <c:v>134.31</c:v>
                </c:pt>
                <c:pt idx="1628">
                  <c:v>134.52000000000001</c:v>
                </c:pt>
                <c:pt idx="1629">
                  <c:v>133.19999999999999</c:v>
                </c:pt>
                <c:pt idx="1630">
                  <c:v>133.84</c:v>
                </c:pt>
                <c:pt idx="1631">
                  <c:v>134.34</c:v>
                </c:pt>
                <c:pt idx="1632">
                  <c:v>135.97</c:v>
                </c:pt>
                <c:pt idx="1633">
                  <c:v>135.09</c:v>
                </c:pt>
                <c:pt idx="1634">
                  <c:v>133.77000000000001</c:v>
                </c:pt>
                <c:pt idx="1635">
                  <c:v>134.44999999999999</c:v>
                </c:pt>
                <c:pt idx="1636">
                  <c:v>132.91</c:v>
                </c:pt>
                <c:pt idx="1637">
                  <c:v>132.12</c:v>
                </c:pt>
                <c:pt idx="1638">
                  <c:v>131.99</c:v>
                </c:pt>
                <c:pt idx="1639">
                  <c:v>131.91</c:v>
                </c:pt>
                <c:pt idx="1640">
                  <c:v>133.22</c:v>
                </c:pt>
                <c:pt idx="1641">
                  <c:v>133.91999999999999</c:v>
                </c:pt>
                <c:pt idx="1642">
                  <c:v>133.91</c:v>
                </c:pt>
                <c:pt idx="1643">
                  <c:v>133.76</c:v>
                </c:pt>
                <c:pt idx="1644">
                  <c:v>135.32</c:v>
                </c:pt>
                <c:pt idx="1645">
                  <c:v>134.21</c:v>
                </c:pt>
                <c:pt idx="1646">
                  <c:v>134.13</c:v>
                </c:pt>
                <c:pt idx="1647">
                  <c:v>134.22</c:v>
                </c:pt>
                <c:pt idx="1648">
                  <c:v>134.41</c:v>
                </c:pt>
                <c:pt idx="1649">
                  <c:v>134.56</c:v>
                </c:pt>
                <c:pt idx="1650">
                  <c:v>135.59</c:v>
                </c:pt>
                <c:pt idx="1651">
                  <c:v>135.55000000000001</c:v>
                </c:pt>
                <c:pt idx="1652">
                  <c:v>134.97999999999999</c:v>
                </c:pt>
                <c:pt idx="1653">
                  <c:v>134.91</c:v>
                </c:pt>
                <c:pt idx="1654">
                  <c:v>135.27000000000001</c:v>
                </c:pt>
                <c:pt idx="1655">
                  <c:v>132.81</c:v>
                </c:pt>
                <c:pt idx="1656">
                  <c:v>134.04</c:v>
                </c:pt>
                <c:pt idx="1657">
                  <c:v>135.41999999999999</c:v>
                </c:pt>
                <c:pt idx="1658">
                  <c:v>134.34</c:v>
                </c:pt>
                <c:pt idx="1659">
                  <c:v>134.1</c:v>
                </c:pt>
                <c:pt idx="1660">
                  <c:v>134.19</c:v>
                </c:pt>
                <c:pt idx="1661">
                  <c:v>135.31</c:v>
                </c:pt>
                <c:pt idx="1662">
                  <c:v>136.74</c:v>
                </c:pt>
                <c:pt idx="1663">
                  <c:v>136.69</c:v>
                </c:pt>
                <c:pt idx="1664">
                  <c:v>136.6</c:v>
                </c:pt>
                <c:pt idx="1665">
                  <c:v>135.82</c:v>
                </c:pt>
                <c:pt idx="1666">
                  <c:v>136.62</c:v>
                </c:pt>
                <c:pt idx="1667">
                  <c:v>137.97999999999999</c:v>
                </c:pt>
                <c:pt idx="1668">
                  <c:v>138.31</c:v>
                </c:pt>
                <c:pt idx="1669">
                  <c:v>139.16999999999999</c:v>
                </c:pt>
                <c:pt idx="1670">
                  <c:v>143.88999999999999</c:v>
                </c:pt>
                <c:pt idx="1671">
                  <c:v>142.87</c:v>
                </c:pt>
                <c:pt idx="1672">
                  <c:v>140.56</c:v>
                </c:pt>
                <c:pt idx="1673">
                  <c:v>138.62</c:v>
                </c:pt>
                <c:pt idx="1674">
                  <c:v>139.55000000000001</c:v>
                </c:pt>
                <c:pt idx="1675">
                  <c:v>137.69</c:v>
                </c:pt>
                <c:pt idx="1676">
                  <c:v>136.77000000000001</c:v>
                </c:pt>
                <c:pt idx="1677">
                  <c:v>143.72999999999999</c:v>
                </c:pt>
                <c:pt idx="1678">
                  <c:v>146.27000000000001</c:v>
                </c:pt>
                <c:pt idx="1679">
                  <c:v>149.11000000000001</c:v>
                </c:pt>
                <c:pt idx="1680">
                  <c:v>156.33000000000001</c:v>
                </c:pt>
                <c:pt idx="1681">
                  <c:v>156.76</c:v>
                </c:pt>
                <c:pt idx="1682">
                  <c:v>153.41</c:v>
                </c:pt>
                <c:pt idx="1683">
                  <c:v>154.43</c:v>
                </c:pt>
                <c:pt idx="1684">
                  <c:v>153.47999999999999</c:v>
                </c:pt>
                <c:pt idx="1685">
                  <c:v>155.31</c:v>
                </c:pt>
                <c:pt idx="1686">
                  <c:v>154.31</c:v>
                </c:pt>
                <c:pt idx="1687">
                  <c:v>150.69999999999999</c:v>
                </c:pt>
                <c:pt idx="1688">
                  <c:v>151.1</c:v>
                </c:pt>
                <c:pt idx="1689">
                  <c:v>150.86000000000001</c:v>
                </c:pt>
                <c:pt idx="1690">
                  <c:v>151.22</c:v>
                </c:pt>
                <c:pt idx="1691">
                  <c:v>149.84</c:v>
                </c:pt>
                <c:pt idx="1692">
                  <c:v>146.43</c:v>
                </c:pt>
                <c:pt idx="1693">
                  <c:v>141.71</c:v>
                </c:pt>
                <c:pt idx="1694">
                  <c:v>139.75</c:v>
                </c:pt>
                <c:pt idx="1695">
                  <c:v>133.11000000000001</c:v>
                </c:pt>
                <c:pt idx="1696">
                  <c:v>130.15</c:v>
                </c:pt>
                <c:pt idx="1697">
                  <c:v>134.30000000000001</c:v>
                </c:pt>
                <c:pt idx="1698">
                  <c:v>128.9</c:v>
                </c:pt>
                <c:pt idx="1699">
                  <c:v>134.22</c:v>
                </c:pt>
                <c:pt idx="1700">
                  <c:v>129.55000000000001</c:v>
                </c:pt>
                <c:pt idx="1701">
                  <c:v>127.73</c:v>
                </c:pt>
                <c:pt idx="1702">
                  <c:v>117.81</c:v>
                </c:pt>
                <c:pt idx="1703">
                  <c:v>124.77</c:v>
                </c:pt>
                <c:pt idx="1704">
                  <c:v>117.97</c:v>
                </c:pt>
                <c:pt idx="1705">
                  <c:v>102.81</c:v>
                </c:pt>
                <c:pt idx="1706">
                  <c:v>107.95</c:v>
                </c:pt>
                <c:pt idx="1707">
                  <c:v>99.08</c:v>
                </c:pt>
                <c:pt idx="1708">
                  <c:v>106.65</c:v>
                </c:pt>
                <c:pt idx="1709">
                  <c:v>103.55</c:v>
                </c:pt>
                <c:pt idx="1710">
                  <c:v>100.34</c:v>
                </c:pt>
                <c:pt idx="1711">
                  <c:v>95.39</c:v>
                </c:pt>
                <c:pt idx="1712">
                  <c:v>94.77</c:v>
                </c:pt>
                <c:pt idx="1713">
                  <c:v>105.48</c:v>
                </c:pt>
                <c:pt idx="1714">
                  <c:v>105.85</c:v>
                </c:pt>
                <c:pt idx="1715">
                  <c:v>112.89</c:v>
                </c:pt>
                <c:pt idx="1716">
                  <c:v>108.03</c:v>
                </c:pt>
                <c:pt idx="1717">
                  <c:v>112.93</c:v>
                </c:pt>
                <c:pt idx="1718">
                  <c:v>110.93</c:v>
                </c:pt>
                <c:pt idx="1719">
                  <c:v>105.14</c:v>
                </c:pt>
                <c:pt idx="1720">
                  <c:v>110</c:v>
                </c:pt>
                <c:pt idx="1721">
                  <c:v>106.34</c:v>
                </c:pt>
                <c:pt idx="1722">
                  <c:v>114.82</c:v>
                </c:pt>
                <c:pt idx="1723">
                  <c:v>114.94</c:v>
                </c:pt>
                <c:pt idx="1724">
                  <c:v>119.29</c:v>
                </c:pt>
                <c:pt idx="1725">
                  <c:v>121.5</c:v>
                </c:pt>
                <c:pt idx="1726">
                  <c:v>121.15</c:v>
                </c:pt>
                <c:pt idx="1727">
                  <c:v>123.91</c:v>
                </c:pt>
                <c:pt idx="1728">
                  <c:v>118.69</c:v>
                </c:pt>
                <c:pt idx="1729">
                  <c:v>115.73</c:v>
                </c:pt>
                <c:pt idx="1730">
                  <c:v>120.12</c:v>
                </c:pt>
                <c:pt idx="1731">
                  <c:v>120.41</c:v>
                </c:pt>
                <c:pt idx="1732">
                  <c:v>116.76</c:v>
                </c:pt>
                <c:pt idx="1733">
                  <c:v>119.31</c:v>
                </c:pt>
                <c:pt idx="1734">
                  <c:v>121.35</c:v>
                </c:pt>
                <c:pt idx="1735">
                  <c:v>124.72</c:v>
                </c:pt>
                <c:pt idx="1736">
                  <c:v>125.92</c:v>
                </c:pt>
                <c:pt idx="1737">
                  <c:v>126.27</c:v>
                </c:pt>
                <c:pt idx="1738">
                  <c:v>128.69</c:v>
                </c:pt>
                <c:pt idx="1739">
                  <c:v>125.56</c:v>
                </c:pt>
                <c:pt idx="1740">
                  <c:v>121.87</c:v>
                </c:pt>
                <c:pt idx="1741">
                  <c:v>121.68</c:v>
                </c:pt>
                <c:pt idx="1742">
                  <c:v>122.58</c:v>
                </c:pt>
                <c:pt idx="1743">
                  <c:v>123.17</c:v>
                </c:pt>
                <c:pt idx="1744">
                  <c:v>121.23</c:v>
                </c:pt>
                <c:pt idx="1745">
                  <c:v>122.99</c:v>
                </c:pt>
                <c:pt idx="1746">
                  <c:v>122.59</c:v>
                </c:pt>
                <c:pt idx="1747">
                  <c:v>120.26</c:v>
                </c:pt>
                <c:pt idx="1748">
                  <c:v>115.73</c:v>
                </c:pt>
                <c:pt idx="1749">
                  <c:v>116.95</c:v>
                </c:pt>
                <c:pt idx="1750">
                  <c:v>116.98</c:v>
                </c:pt>
                <c:pt idx="1751">
                  <c:v>121.56</c:v>
                </c:pt>
                <c:pt idx="1752">
                  <c:v>120.29</c:v>
                </c:pt>
                <c:pt idx="1753">
                  <c:v>121.38</c:v>
                </c:pt>
                <c:pt idx="1754">
                  <c:v>119.12</c:v>
                </c:pt>
                <c:pt idx="1755">
                  <c:v>118.39</c:v>
                </c:pt>
                <c:pt idx="1756">
                  <c:v>121.76</c:v>
                </c:pt>
                <c:pt idx="1757">
                  <c:v>125.54</c:v>
                </c:pt>
                <c:pt idx="1758">
                  <c:v>124.53</c:v>
                </c:pt>
                <c:pt idx="1759">
                  <c:v>124.9</c:v>
                </c:pt>
                <c:pt idx="1760">
                  <c:v>124.89</c:v>
                </c:pt>
                <c:pt idx="1761">
                  <c:v>126</c:v>
                </c:pt>
                <c:pt idx="1762">
                  <c:v>129.05000000000001</c:v>
                </c:pt>
                <c:pt idx="1763">
                  <c:v>128.88999999999999</c:v>
                </c:pt>
                <c:pt idx="1764">
                  <c:v>132.06</c:v>
                </c:pt>
                <c:pt idx="1765">
                  <c:v>135.75</c:v>
                </c:pt>
                <c:pt idx="1766">
                  <c:v>131.87</c:v>
                </c:pt>
                <c:pt idx="1767">
                  <c:v>129.87</c:v>
                </c:pt>
                <c:pt idx="1768">
                  <c:v>118.01</c:v>
                </c:pt>
                <c:pt idx="1769">
                  <c:v>121.91</c:v>
                </c:pt>
                <c:pt idx="1770">
                  <c:v>121.65</c:v>
                </c:pt>
                <c:pt idx="1771">
                  <c:v>125.15</c:v>
                </c:pt>
                <c:pt idx="1772">
                  <c:v>124.15</c:v>
                </c:pt>
                <c:pt idx="1773">
                  <c:v>124.16</c:v>
                </c:pt>
                <c:pt idx="1774">
                  <c:v>122.47</c:v>
                </c:pt>
                <c:pt idx="1775">
                  <c:v>121.07</c:v>
                </c:pt>
                <c:pt idx="1776">
                  <c:v>119.41</c:v>
                </c:pt>
                <c:pt idx="1777">
                  <c:v>116.42</c:v>
                </c:pt>
                <c:pt idx="1778">
                  <c:v>119.03</c:v>
                </c:pt>
                <c:pt idx="1779">
                  <c:v>117.19</c:v>
                </c:pt>
                <c:pt idx="1780">
                  <c:v>119.75</c:v>
                </c:pt>
                <c:pt idx="1781">
                  <c:v>120.77</c:v>
                </c:pt>
                <c:pt idx="1782">
                  <c:v>118.54</c:v>
                </c:pt>
                <c:pt idx="1783">
                  <c:v>119.7</c:v>
                </c:pt>
                <c:pt idx="1784">
                  <c:v>120.19</c:v>
                </c:pt>
                <c:pt idx="1785">
                  <c:v>117.58</c:v>
                </c:pt>
                <c:pt idx="1786">
                  <c:v>117.71</c:v>
                </c:pt>
                <c:pt idx="1787">
                  <c:v>115.71</c:v>
                </c:pt>
                <c:pt idx="1788">
                  <c:v>118.35</c:v>
                </c:pt>
                <c:pt idx="1789">
                  <c:v>119.2</c:v>
                </c:pt>
                <c:pt idx="1790">
                  <c:v>120.6</c:v>
                </c:pt>
                <c:pt idx="1791">
                  <c:v>123</c:v>
                </c:pt>
                <c:pt idx="1792">
                  <c:v>124.01</c:v>
                </c:pt>
                <c:pt idx="1793">
                  <c:v>125.11</c:v>
                </c:pt>
                <c:pt idx="1794">
                  <c:v>126.37</c:v>
                </c:pt>
                <c:pt idx="1795">
                  <c:v>126.06</c:v>
                </c:pt>
                <c:pt idx="1796">
                  <c:v>128.66999999999999</c:v>
                </c:pt>
                <c:pt idx="1797">
                  <c:v>127.33</c:v>
                </c:pt>
                <c:pt idx="1798">
                  <c:v>125.79</c:v>
                </c:pt>
                <c:pt idx="1799">
                  <c:v>126.21</c:v>
                </c:pt>
                <c:pt idx="1800">
                  <c:v>124.47</c:v>
                </c:pt>
                <c:pt idx="1801">
                  <c:v>125.32</c:v>
                </c:pt>
                <c:pt idx="1802">
                  <c:v>122.9</c:v>
                </c:pt>
                <c:pt idx="1803">
                  <c:v>122.94</c:v>
                </c:pt>
                <c:pt idx="1804">
                  <c:v>124.31</c:v>
                </c:pt>
                <c:pt idx="1805">
                  <c:v>125.84</c:v>
                </c:pt>
                <c:pt idx="1806">
                  <c:v>125.45</c:v>
                </c:pt>
                <c:pt idx="1807">
                  <c:v>126.12</c:v>
                </c:pt>
                <c:pt idx="1808">
                  <c:v>124.96</c:v>
                </c:pt>
                <c:pt idx="1809">
                  <c:v>127.11</c:v>
                </c:pt>
                <c:pt idx="1810">
                  <c:v>126.75</c:v>
                </c:pt>
                <c:pt idx="1811">
                  <c:v>126.7</c:v>
                </c:pt>
                <c:pt idx="1812">
                  <c:v>125.03</c:v>
                </c:pt>
                <c:pt idx="1813">
                  <c:v>125.27</c:v>
                </c:pt>
                <c:pt idx="1814">
                  <c:v>124.44</c:v>
                </c:pt>
                <c:pt idx="1815">
                  <c:v>124.92</c:v>
                </c:pt>
                <c:pt idx="1816">
                  <c:v>123.84</c:v>
                </c:pt>
                <c:pt idx="1817">
                  <c:v>123.15</c:v>
                </c:pt>
                <c:pt idx="1818">
                  <c:v>123.16</c:v>
                </c:pt>
                <c:pt idx="1819">
                  <c:v>125.68</c:v>
                </c:pt>
                <c:pt idx="1820">
                  <c:v>124.64</c:v>
                </c:pt>
                <c:pt idx="1821">
                  <c:v>124.17</c:v>
                </c:pt>
                <c:pt idx="1822">
                  <c:v>124.65</c:v>
                </c:pt>
                <c:pt idx="1823">
                  <c:v>125.07</c:v>
                </c:pt>
                <c:pt idx="1824">
                  <c:v>123.31</c:v>
                </c:pt>
                <c:pt idx="1825">
                  <c:v>123.4</c:v>
                </c:pt>
                <c:pt idx="1826">
                  <c:v>128.18</c:v>
                </c:pt>
                <c:pt idx="1827">
                  <c:v>124.45</c:v>
                </c:pt>
                <c:pt idx="1828">
                  <c:v>122.3</c:v>
                </c:pt>
                <c:pt idx="1829">
                  <c:v>121.21</c:v>
                </c:pt>
                <c:pt idx="1830">
                  <c:v>122.26</c:v>
                </c:pt>
                <c:pt idx="1831">
                  <c:v>120.56</c:v>
                </c:pt>
                <c:pt idx="1832">
                  <c:v>121.46</c:v>
                </c:pt>
                <c:pt idx="1833">
                  <c:v>122.09</c:v>
                </c:pt>
                <c:pt idx="1834">
                  <c:v>122.44</c:v>
                </c:pt>
                <c:pt idx="1835">
                  <c:v>124.22</c:v>
                </c:pt>
                <c:pt idx="1836">
                  <c:v>124.92</c:v>
                </c:pt>
                <c:pt idx="1837">
                  <c:v>122.76</c:v>
                </c:pt>
                <c:pt idx="1838">
                  <c:v>120.25</c:v>
                </c:pt>
                <c:pt idx="1839">
                  <c:v>120.51</c:v>
                </c:pt>
                <c:pt idx="1840">
                  <c:v>118.83</c:v>
                </c:pt>
                <c:pt idx="1841">
                  <c:v>118.09</c:v>
                </c:pt>
                <c:pt idx="1842">
                  <c:v>118.95</c:v>
                </c:pt>
                <c:pt idx="1843">
                  <c:v>121.73</c:v>
                </c:pt>
                <c:pt idx="1844">
                  <c:v>120.94</c:v>
                </c:pt>
                <c:pt idx="1845">
                  <c:v>121.67</c:v>
                </c:pt>
                <c:pt idx="1846">
                  <c:v>121.09</c:v>
                </c:pt>
                <c:pt idx="1847">
                  <c:v>120.57</c:v>
                </c:pt>
                <c:pt idx="1848">
                  <c:v>122.01</c:v>
                </c:pt>
                <c:pt idx="1849">
                  <c:v>121.97</c:v>
                </c:pt>
                <c:pt idx="1850">
                  <c:v>124.07</c:v>
                </c:pt>
                <c:pt idx="1851">
                  <c:v>131.49</c:v>
                </c:pt>
                <c:pt idx="1852">
                  <c:v>127.79</c:v>
                </c:pt>
                <c:pt idx="1853">
                  <c:v>127.21</c:v>
                </c:pt>
                <c:pt idx="1854">
                  <c:v>125.1</c:v>
                </c:pt>
                <c:pt idx="1855">
                  <c:v>125.94</c:v>
                </c:pt>
                <c:pt idx="1856">
                  <c:v>124.89</c:v>
                </c:pt>
                <c:pt idx="1857">
                  <c:v>125.93</c:v>
                </c:pt>
                <c:pt idx="1858">
                  <c:v>125.52</c:v>
                </c:pt>
                <c:pt idx="1859">
                  <c:v>117.37</c:v>
                </c:pt>
                <c:pt idx="1860">
                  <c:v>115.06</c:v>
                </c:pt>
                <c:pt idx="1861">
                  <c:v>115.76</c:v>
                </c:pt>
                <c:pt idx="1862">
                  <c:v>116</c:v>
                </c:pt>
                <c:pt idx="1863">
                  <c:v>112.22</c:v>
                </c:pt>
                <c:pt idx="1864">
                  <c:v>110.56</c:v>
                </c:pt>
                <c:pt idx="1865">
                  <c:v>106.65</c:v>
                </c:pt>
                <c:pt idx="1866">
                  <c:v>108.91</c:v>
                </c:pt>
                <c:pt idx="1867">
                  <c:v>111.66</c:v>
                </c:pt>
                <c:pt idx="1868">
                  <c:v>112.91</c:v>
                </c:pt>
                <c:pt idx="1869">
                  <c:v>114.16</c:v>
                </c:pt>
                <c:pt idx="1870">
                  <c:v>111.9</c:v>
                </c:pt>
                <c:pt idx="1871">
                  <c:v>114.77</c:v>
                </c:pt>
                <c:pt idx="1872">
                  <c:v>114.04</c:v>
                </c:pt>
                <c:pt idx="1873">
                  <c:v>115.53</c:v>
                </c:pt>
                <c:pt idx="1874">
                  <c:v>117.91</c:v>
                </c:pt>
                <c:pt idx="1875">
                  <c:v>117.2</c:v>
                </c:pt>
                <c:pt idx="1876">
                  <c:v>114.5</c:v>
                </c:pt>
                <c:pt idx="1877">
                  <c:v>116.85</c:v>
                </c:pt>
                <c:pt idx="1878">
                  <c:v>118.36</c:v>
                </c:pt>
                <c:pt idx="1879">
                  <c:v>117.7</c:v>
                </c:pt>
                <c:pt idx="1880">
                  <c:v>116.77</c:v>
                </c:pt>
                <c:pt idx="1881">
                  <c:v>117.18</c:v>
                </c:pt>
                <c:pt idx="1882">
                  <c:v>116.94</c:v>
                </c:pt>
                <c:pt idx="1883">
                  <c:v>120.09</c:v>
                </c:pt>
                <c:pt idx="1884">
                  <c:v>124.42</c:v>
                </c:pt>
                <c:pt idx="1885">
                  <c:v>124.2</c:v>
                </c:pt>
                <c:pt idx="1886">
                  <c:v>124.35</c:v>
                </c:pt>
                <c:pt idx="1887">
                  <c:v>123.52</c:v>
                </c:pt>
                <c:pt idx="1888">
                  <c:v>123.16</c:v>
                </c:pt>
                <c:pt idx="1889">
                  <c:v>124.62</c:v>
                </c:pt>
                <c:pt idx="1890">
                  <c:v>123.61</c:v>
                </c:pt>
                <c:pt idx="1891">
                  <c:v>127.2</c:v>
                </c:pt>
                <c:pt idx="1892">
                  <c:v>124.7</c:v>
                </c:pt>
                <c:pt idx="1893">
                  <c:v>125.71</c:v>
                </c:pt>
                <c:pt idx="1894">
                  <c:v>126.79</c:v>
                </c:pt>
                <c:pt idx="1895">
                  <c:v>124.96</c:v>
                </c:pt>
                <c:pt idx="1896">
                  <c:v>124.27</c:v>
                </c:pt>
                <c:pt idx="1897">
                  <c:v>123.53</c:v>
                </c:pt>
                <c:pt idx="1898">
                  <c:v>125.93</c:v>
                </c:pt>
                <c:pt idx="1899">
                  <c:v>125.55</c:v>
                </c:pt>
                <c:pt idx="1900">
                  <c:v>125.55</c:v>
                </c:pt>
                <c:pt idx="1901">
                  <c:v>125.85</c:v>
                </c:pt>
                <c:pt idx="1902">
                  <c:v>123.39</c:v>
                </c:pt>
                <c:pt idx="1903">
                  <c:v>123.61</c:v>
                </c:pt>
                <c:pt idx="1904">
                  <c:v>123.9</c:v>
                </c:pt>
                <c:pt idx="1905">
                  <c:v>124.69</c:v>
                </c:pt>
                <c:pt idx="1906">
                  <c:v>124.82</c:v>
                </c:pt>
                <c:pt idx="1907">
                  <c:v>123.8</c:v>
                </c:pt>
                <c:pt idx="1908">
                  <c:v>124.34</c:v>
                </c:pt>
                <c:pt idx="1909">
                  <c:v>125.88</c:v>
                </c:pt>
                <c:pt idx="1910">
                  <c:v>123.94</c:v>
                </c:pt>
                <c:pt idx="1911">
                  <c:v>126.14</c:v>
                </c:pt>
                <c:pt idx="1912">
                  <c:v>129.29</c:v>
                </c:pt>
                <c:pt idx="1913">
                  <c:v>128.99</c:v>
                </c:pt>
                <c:pt idx="1914">
                  <c:v>128.53</c:v>
                </c:pt>
                <c:pt idx="1915">
                  <c:v>128.58000000000001</c:v>
                </c:pt>
                <c:pt idx="1916">
                  <c:v>129.21</c:v>
                </c:pt>
                <c:pt idx="1917">
                  <c:v>126.92</c:v>
                </c:pt>
                <c:pt idx="1918">
                  <c:v>128.97</c:v>
                </c:pt>
                <c:pt idx="1919">
                  <c:v>128.38999999999999</c:v>
                </c:pt>
                <c:pt idx="1920">
                  <c:v>129.02000000000001</c:v>
                </c:pt>
                <c:pt idx="1921">
                  <c:v>130.08000000000001</c:v>
                </c:pt>
                <c:pt idx="1922">
                  <c:v>131.65</c:v>
                </c:pt>
                <c:pt idx="1923">
                  <c:v>118.61</c:v>
                </c:pt>
                <c:pt idx="1924">
                  <c:v>118.58</c:v>
                </c:pt>
                <c:pt idx="1925">
                  <c:v>122.49</c:v>
                </c:pt>
                <c:pt idx="1926">
                  <c:v>122.47</c:v>
                </c:pt>
                <c:pt idx="1927">
                  <c:v>120.08</c:v>
                </c:pt>
                <c:pt idx="1928">
                  <c:v>119.11</c:v>
                </c:pt>
                <c:pt idx="1929">
                  <c:v>120.54</c:v>
                </c:pt>
                <c:pt idx="1930">
                  <c:v>119.44</c:v>
                </c:pt>
                <c:pt idx="1931">
                  <c:v>119.12</c:v>
                </c:pt>
                <c:pt idx="1932">
                  <c:v>121.02</c:v>
                </c:pt>
                <c:pt idx="1933">
                  <c:v>121.79</c:v>
                </c:pt>
                <c:pt idx="1934">
                  <c:v>123.61</c:v>
                </c:pt>
                <c:pt idx="1935">
                  <c:v>122.1</c:v>
                </c:pt>
                <c:pt idx="1936">
                  <c:v>122.24</c:v>
                </c:pt>
                <c:pt idx="1937">
                  <c:v>120.91</c:v>
                </c:pt>
                <c:pt idx="1938">
                  <c:v>120.8</c:v>
                </c:pt>
                <c:pt idx="1939">
                  <c:v>120.07</c:v>
                </c:pt>
                <c:pt idx="1940">
                  <c:v>119.97</c:v>
                </c:pt>
                <c:pt idx="1941">
                  <c:v>120.73</c:v>
                </c:pt>
                <c:pt idx="1942">
                  <c:v>118.99</c:v>
                </c:pt>
                <c:pt idx="1943">
                  <c:v>120.86</c:v>
                </c:pt>
                <c:pt idx="1944">
                  <c:v>120.71</c:v>
                </c:pt>
                <c:pt idx="1945">
                  <c:v>123.21</c:v>
                </c:pt>
                <c:pt idx="1946">
                  <c:v>122.47</c:v>
                </c:pt>
                <c:pt idx="1947">
                  <c:v>118.93</c:v>
                </c:pt>
                <c:pt idx="1948">
                  <c:v>120.74</c:v>
                </c:pt>
                <c:pt idx="1949">
                  <c:v>120.33</c:v>
                </c:pt>
                <c:pt idx="1950">
                  <c:v>122.36</c:v>
                </c:pt>
                <c:pt idx="1951">
                  <c:v>120.11</c:v>
                </c:pt>
                <c:pt idx="1952">
                  <c:v>122.83</c:v>
                </c:pt>
                <c:pt idx="1953">
                  <c:v>124.81</c:v>
                </c:pt>
                <c:pt idx="1954">
                  <c:v>124.18</c:v>
                </c:pt>
                <c:pt idx="1955">
                  <c:v>127.87</c:v>
                </c:pt>
                <c:pt idx="1956">
                  <c:v>127.14</c:v>
                </c:pt>
                <c:pt idx="1957">
                  <c:v>127.61</c:v>
                </c:pt>
                <c:pt idx="1958">
                  <c:v>128.58000000000001</c:v>
                </c:pt>
                <c:pt idx="1959">
                  <c:v>128.24</c:v>
                </c:pt>
                <c:pt idx="1960">
                  <c:v>129.03</c:v>
                </c:pt>
                <c:pt idx="1961">
                  <c:v>130.06</c:v>
                </c:pt>
                <c:pt idx="1962">
                  <c:v>128.9</c:v>
                </c:pt>
                <c:pt idx="1963">
                  <c:v>130.55000000000001</c:v>
                </c:pt>
                <c:pt idx="1964">
                  <c:v>130.46</c:v>
                </c:pt>
                <c:pt idx="1965">
                  <c:v>130.62</c:v>
                </c:pt>
                <c:pt idx="1966">
                  <c:v>133.07</c:v>
                </c:pt>
                <c:pt idx="1967">
                  <c:v>136.38</c:v>
                </c:pt>
                <c:pt idx="1968">
                  <c:v>135.86000000000001</c:v>
                </c:pt>
                <c:pt idx="1969">
                  <c:v>134.72</c:v>
                </c:pt>
                <c:pt idx="1970">
                  <c:v>133.26</c:v>
                </c:pt>
                <c:pt idx="1971">
                  <c:v>133.22999999999999</c:v>
                </c:pt>
                <c:pt idx="1972">
                  <c:v>135.93</c:v>
                </c:pt>
                <c:pt idx="1973">
                  <c:v>134.22</c:v>
                </c:pt>
                <c:pt idx="1974">
                  <c:v>134.93</c:v>
                </c:pt>
                <c:pt idx="1975">
                  <c:v>135.12</c:v>
                </c:pt>
                <c:pt idx="1976">
                  <c:v>135.72999999999999</c:v>
                </c:pt>
                <c:pt idx="1977">
                  <c:v>134.59</c:v>
                </c:pt>
                <c:pt idx="1978">
                  <c:v>131.18</c:v>
                </c:pt>
                <c:pt idx="1979">
                  <c:v>132.63</c:v>
                </c:pt>
                <c:pt idx="1980">
                  <c:v>132.58000000000001</c:v>
                </c:pt>
                <c:pt idx="1981">
                  <c:v>133.59</c:v>
                </c:pt>
                <c:pt idx="1982">
                  <c:v>133.12</c:v>
                </c:pt>
                <c:pt idx="1983">
                  <c:v>138.16</c:v>
                </c:pt>
                <c:pt idx="1984">
                  <c:v>143.55000000000001</c:v>
                </c:pt>
                <c:pt idx="1985">
                  <c:v>141.28</c:v>
                </c:pt>
                <c:pt idx="1986">
                  <c:v>142.43</c:v>
                </c:pt>
              </c:numCache>
            </c:numRef>
          </c:val>
          <c:smooth val="0"/>
          <c:extLst>
            <c:ext xmlns:c16="http://schemas.microsoft.com/office/drawing/2014/chart" uri="{C3380CC4-5D6E-409C-BE32-E72D297353CC}">
              <c16:uniqueId val="{00000001-F255-48B1-B2C2-22B5EF8D5436}"/>
            </c:ext>
          </c:extLst>
        </c:ser>
        <c:dLbls>
          <c:showLegendKey val="0"/>
          <c:showVal val="0"/>
          <c:showCatName val="0"/>
          <c:showSerName val="0"/>
          <c:showPercent val="0"/>
          <c:showBubbleSize val="0"/>
        </c:dLbls>
        <c:marker val="1"/>
        <c:smooth val="0"/>
        <c:axId val="363205408"/>
        <c:axId val="36320624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1"/>
        <c:lblOffset val="100"/>
        <c:baseTimeUnit val="day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80943728"/>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0956624"/>
        <c:crosses val="max"/>
        <c:crossBetween val="between"/>
      </c:valAx>
      <c:dateAx>
        <c:axId val="580956624"/>
        <c:scaling>
          <c:orientation val="minMax"/>
        </c:scaling>
        <c:delete val="1"/>
        <c:axPos val="b"/>
        <c:numFmt formatCode="m/d/yyyy" sourceLinked="1"/>
        <c:majorTickMark val="out"/>
        <c:minorTickMark val="none"/>
        <c:tickLblPos val="nextTo"/>
        <c:crossAx val="58094372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Valuation &amp; Yield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75556758798214E-2"/>
          <c:y val="9.9050450851692118E-2"/>
          <c:w val="0.82058059058269639"/>
          <c:h val="0.66648944750248873"/>
        </c:manualLayout>
      </c:layout>
      <c:lineChart>
        <c:grouping val="standard"/>
        <c:varyColors val="0"/>
        <c:ser>
          <c:idx val="0"/>
          <c:order val="0"/>
          <c:tx>
            <c:strRef>
              <c:f>'Financial Statements and Ratios'!$C$180</c:f>
              <c:strCache>
                <c:ptCount val="1"/>
                <c:pt idx="0">
                  <c:v> EV/Sales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Ratios'!$F$11:$I$11</c:f>
              <c:numCache>
                <c:formatCode>mmm\-yyyy</c:formatCode>
                <c:ptCount val="4"/>
                <c:pt idx="0">
                  <c:v>43100</c:v>
                </c:pt>
                <c:pt idx="1">
                  <c:v>43465</c:v>
                </c:pt>
                <c:pt idx="2">
                  <c:v>43830</c:v>
                </c:pt>
                <c:pt idx="3">
                  <c:v>44196</c:v>
                </c:pt>
              </c:numCache>
            </c:numRef>
          </c:cat>
          <c:val>
            <c:numRef>
              <c:f>'Financial Statements and Ratios'!$F$180:$I$180</c:f>
              <c:numCache>
                <c:formatCode>_(* #,##0.0_);_(* \(#,##0.0\);_(* "-"??_);_(@_)</c:formatCode>
                <c:ptCount val="4"/>
                <c:pt idx="0">
                  <c:v>2.0837958151973108</c:v>
                </c:pt>
                <c:pt idx="1">
                  <c:v>1.5783955816590025</c:v>
                </c:pt>
                <c:pt idx="2">
                  <c:v>2.128818923278935</c:v>
                </c:pt>
                <c:pt idx="3">
                  <c:v>1.9847610289526085</c:v>
                </c:pt>
              </c:numCache>
            </c:numRef>
          </c:val>
          <c:smooth val="0"/>
          <c:extLst>
            <c:ext xmlns:c16="http://schemas.microsoft.com/office/drawing/2014/chart" uri="{C3380CC4-5D6E-409C-BE32-E72D297353CC}">
              <c16:uniqueId val="{00000000-970C-4D2D-B85C-1E933CC0AEA5}"/>
            </c:ext>
          </c:extLst>
        </c:ser>
        <c:ser>
          <c:idx val="1"/>
          <c:order val="1"/>
          <c:tx>
            <c:strRef>
              <c:f>'Financial Statements and Ratios'!$C$181</c:f>
              <c:strCache>
                <c:ptCount val="1"/>
                <c:pt idx="0">
                  <c:v> EV/EBIT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Ratios'!$F$11:$I$11</c:f>
              <c:numCache>
                <c:formatCode>mmm\-yyyy</c:formatCode>
                <c:ptCount val="4"/>
                <c:pt idx="0">
                  <c:v>43100</c:v>
                </c:pt>
                <c:pt idx="1">
                  <c:v>43465</c:v>
                </c:pt>
                <c:pt idx="2">
                  <c:v>43830</c:v>
                </c:pt>
                <c:pt idx="3">
                  <c:v>44196</c:v>
                </c:pt>
              </c:numCache>
            </c:numRef>
          </c:cat>
          <c:val>
            <c:numRef>
              <c:f>'Financial Statements and Ratios'!$F$181:$I$181</c:f>
              <c:numCache>
                <c:formatCode>_(* #,##0.0_);_(* \(#,##0.0\);_(* "-"??_);_(@_)</c:formatCode>
                <c:ptCount val="4"/>
                <c:pt idx="0">
                  <c:v>13.977751908704864</c:v>
                </c:pt>
                <c:pt idx="1">
                  <c:v>9.5054861035290568</c:v>
                </c:pt>
                <c:pt idx="2">
                  <c:v>15.57587191523141</c:v>
                </c:pt>
                <c:pt idx="3">
                  <c:v>21.53258056476864</c:v>
                </c:pt>
              </c:numCache>
            </c:numRef>
          </c:val>
          <c:smooth val="0"/>
          <c:extLst>
            <c:ext xmlns:c16="http://schemas.microsoft.com/office/drawing/2014/chart" uri="{C3380CC4-5D6E-409C-BE32-E72D297353CC}">
              <c16:uniqueId val="{00000001-970C-4D2D-B85C-1E933CC0AEA5}"/>
            </c:ext>
          </c:extLst>
        </c:ser>
        <c:ser>
          <c:idx val="2"/>
          <c:order val="2"/>
          <c:tx>
            <c:strRef>
              <c:f>'Financial Statements and Ratios'!$C$182</c:f>
              <c:strCache>
                <c:ptCount val="1"/>
                <c:pt idx="0">
                  <c:v> EV/EBITDA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Ratios'!$F$11:$I$11</c:f>
              <c:numCache>
                <c:formatCode>mmm\-yyyy</c:formatCode>
                <c:ptCount val="4"/>
                <c:pt idx="0">
                  <c:v>43100</c:v>
                </c:pt>
                <c:pt idx="1">
                  <c:v>43465</c:v>
                </c:pt>
                <c:pt idx="2">
                  <c:v>43830</c:v>
                </c:pt>
                <c:pt idx="3">
                  <c:v>44196</c:v>
                </c:pt>
              </c:numCache>
            </c:numRef>
          </c:cat>
          <c:val>
            <c:numRef>
              <c:f>'Financial Statements and Ratios'!$F$182:$I$182</c:f>
              <c:numCache>
                <c:formatCode>_(* #,##0.0_);_(* \(#,##0.0\);_(* "-"??_);_(@_)</c:formatCode>
                <c:ptCount val="4"/>
                <c:pt idx="0">
                  <c:v>10.092999389124181</c:v>
                </c:pt>
                <c:pt idx="1">
                  <c:v>7.099033925420434</c:v>
                </c:pt>
                <c:pt idx="2">
                  <c:v>9.8917059250858266</c:v>
                </c:pt>
                <c:pt idx="3">
                  <c:v>10.838965337328091</c:v>
                </c:pt>
              </c:numCache>
            </c:numRef>
          </c:val>
          <c:smooth val="0"/>
          <c:extLst>
            <c:ext xmlns:c16="http://schemas.microsoft.com/office/drawing/2014/chart" uri="{C3380CC4-5D6E-409C-BE32-E72D297353CC}">
              <c16:uniqueId val="{00000002-970C-4D2D-B85C-1E933CC0AEA5}"/>
            </c:ext>
          </c:extLst>
        </c:ser>
        <c:ser>
          <c:idx val="3"/>
          <c:order val="3"/>
          <c:tx>
            <c:strRef>
              <c:f>'Financial Statements and Ratios'!$C$183</c:f>
              <c:strCache>
                <c:ptCount val="1"/>
                <c:pt idx="0">
                  <c:v> P/E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Ratios'!$F$11:$I$11</c:f>
              <c:numCache>
                <c:formatCode>mmm\-yyyy</c:formatCode>
                <c:ptCount val="4"/>
                <c:pt idx="0">
                  <c:v>43100</c:v>
                </c:pt>
                <c:pt idx="1">
                  <c:v>43465</c:v>
                </c:pt>
                <c:pt idx="2">
                  <c:v>43830</c:v>
                </c:pt>
                <c:pt idx="3">
                  <c:v>44196</c:v>
                </c:pt>
              </c:numCache>
            </c:numRef>
          </c:cat>
          <c:val>
            <c:numRef>
              <c:f>'Financial Statements and Ratios'!$F$183:$I$183</c:f>
              <c:numCache>
                <c:formatCode>_(* #,##0.0_);_(* \(#,##0.0\);_(* "-"??_);_(@_)</c:formatCode>
                <c:ptCount val="4"/>
                <c:pt idx="0">
                  <c:v>24.880827019975658</c:v>
                </c:pt>
                <c:pt idx="1">
                  <c:v>11.879512357538674</c:v>
                </c:pt>
                <c:pt idx="2">
                  <c:v>12.608671912022899</c:v>
                </c:pt>
                <c:pt idx="3">
                  <c:v>20.049569179341681</c:v>
                </c:pt>
              </c:numCache>
            </c:numRef>
          </c:val>
          <c:smooth val="0"/>
          <c:extLst>
            <c:ext xmlns:c16="http://schemas.microsoft.com/office/drawing/2014/chart" uri="{C3380CC4-5D6E-409C-BE32-E72D297353CC}">
              <c16:uniqueId val="{00000003-970C-4D2D-B85C-1E933CC0AEA5}"/>
            </c:ext>
          </c:extLst>
        </c:ser>
        <c:dLbls>
          <c:showLegendKey val="0"/>
          <c:showVal val="0"/>
          <c:showCatName val="0"/>
          <c:showSerName val="0"/>
          <c:showPercent val="0"/>
          <c:showBubbleSize val="0"/>
        </c:dLbls>
        <c:marker val="1"/>
        <c:smooth val="0"/>
        <c:axId val="707978863"/>
        <c:axId val="707971375"/>
      </c:lineChart>
      <c:lineChart>
        <c:grouping val="standard"/>
        <c:varyColors val="0"/>
        <c:ser>
          <c:idx val="4"/>
          <c:order val="4"/>
          <c:tx>
            <c:strRef>
              <c:f>'Financial Statements and Ratios'!$C$185</c:f>
              <c:strCache>
                <c:ptCount val="1"/>
                <c:pt idx="0">
                  <c:v> Free Cashflow Yield (%)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Ratios'!$F$185:$I$185</c:f>
              <c:numCache>
                <c:formatCode>0.0%</c:formatCode>
                <c:ptCount val="4"/>
                <c:pt idx="0">
                  <c:v>1.2318806203057477E-2</c:v>
                </c:pt>
                <c:pt idx="1">
                  <c:v>0.10318068486588383</c:v>
                </c:pt>
                <c:pt idx="2">
                  <c:v>0.19679631098804598</c:v>
                </c:pt>
                <c:pt idx="3">
                  <c:v>9.3489221034359832E-2</c:v>
                </c:pt>
              </c:numCache>
            </c:numRef>
          </c:val>
          <c:smooth val="0"/>
          <c:extLst>
            <c:ext xmlns:c16="http://schemas.microsoft.com/office/drawing/2014/chart" uri="{C3380CC4-5D6E-409C-BE32-E72D297353CC}">
              <c16:uniqueId val="{00000004-970C-4D2D-B85C-1E933CC0AEA5}"/>
            </c:ext>
          </c:extLst>
        </c:ser>
        <c:ser>
          <c:idx val="5"/>
          <c:order val="5"/>
          <c:tx>
            <c:strRef>
              <c:f>'Financial Statements and Ratios'!$C$186</c:f>
              <c:strCache>
                <c:ptCount val="1"/>
                <c:pt idx="0">
                  <c:v> Dividend Yield (%)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'Financial Statements and Ratios'!$E$11:$I$11</c:f>
              <c:numCache>
                <c:formatCode>mmm\-yyyy</c:formatCode>
                <c:ptCount val="5"/>
                <c:pt idx="0">
                  <c:v>42735</c:v>
                </c:pt>
                <c:pt idx="1">
                  <c:v>43100</c:v>
                </c:pt>
                <c:pt idx="2">
                  <c:v>43465</c:v>
                </c:pt>
                <c:pt idx="3">
                  <c:v>43830</c:v>
                </c:pt>
                <c:pt idx="4">
                  <c:v>44196</c:v>
                </c:pt>
              </c:numCache>
            </c:numRef>
          </c:cat>
          <c:val>
            <c:numRef>
              <c:f>'Financial Statements and Ratios'!$F$186:$I$186</c:f>
              <c:numCache>
                <c:formatCode>0.0%</c:formatCode>
                <c:ptCount val="4"/>
                <c:pt idx="0">
                  <c:v>3.8456524573067405E-2</c:v>
                </c:pt>
                <c:pt idx="1">
                  <c:v>5.4631828978622329E-2</c:v>
                </c:pt>
                <c:pt idx="2">
                  <c:v>4.7970754998507913E-2</c:v>
                </c:pt>
                <c:pt idx="3">
                  <c:v>5.1715919923736892E-2</c:v>
                </c:pt>
              </c:numCache>
            </c:numRef>
          </c:val>
          <c:smooth val="0"/>
          <c:extLst>
            <c:ext xmlns:c16="http://schemas.microsoft.com/office/drawing/2014/chart" uri="{C3380CC4-5D6E-409C-BE32-E72D297353CC}">
              <c16:uniqueId val="{00000005-970C-4D2D-B85C-1E933CC0AEA5}"/>
            </c:ext>
          </c:extLst>
        </c:ser>
        <c:dLbls>
          <c:showLegendKey val="0"/>
          <c:showVal val="0"/>
          <c:showCatName val="0"/>
          <c:showSerName val="0"/>
          <c:showPercent val="0"/>
          <c:showBubbleSize val="0"/>
        </c:dLbls>
        <c:marker val="1"/>
        <c:smooth val="0"/>
        <c:axId val="707972623"/>
        <c:axId val="707976783"/>
      </c:lineChart>
      <c:catAx>
        <c:axId val="707978863"/>
        <c:scaling>
          <c:orientation val="minMax"/>
        </c:scaling>
        <c:delete val="0"/>
        <c:axPos val="b"/>
        <c:numFmt formatCode="mmm\-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1375"/>
        <c:crosses val="autoZero"/>
        <c:auto val="0"/>
        <c:lblAlgn val="ctr"/>
        <c:lblOffset val="100"/>
        <c:noMultiLvlLbl val="1"/>
      </c:catAx>
      <c:valAx>
        <c:axId val="70797137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8863"/>
        <c:crosses val="autoZero"/>
        <c:crossBetween val="between"/>
      </c:valAx>
      <c:valAx>
        <c:axId val="70797678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2623"/>
        <c:crosses val="max"/>
        <c:crossBetween val="between"/>
      </c:valAx>
      <c:dateAx>
        <c:axId val="707972623"/>
        <c:scaling>
          <c:orientation val="minMax"/>
        </c:scaling>
        <c:delete val="1"/>
        <c:axPos val="b"/>
        <c:numFmt formatCode="mmm\-yyyy" sourceLinked="1"/>
        <c:majorTickMark val="out"/>
        <c:minorTickMark val="none"/>
        <c:tickLblPos val="nextTo"/>
        <c:crossAx val="707976783"/>
        <c:crosses val="autoZero"/>
        <c:auto val="1"/>
        <c:lblOffset val="100"/>
        <c:baseTimeUnit val="years"/>
      </c:dateAx>
      <c:spPr>
        <a:noFill/>
        <a:ln>
          <a:noFill/>
        </a:ln>
        <a:effectLst/>
      </c:spPr>
    </c:plotArea>
    <c:legend>
      <c:legendPos val="b"/>
      <c:layout>
        <c:manualLayout>
          <c:xMode val="edge"/>
          <c:yMode val="edge"/>
          <c:x val="4.3408516958745952E-2"/>
          <c:y val="0.88520512123598261"/>
          <c:w val="0.92783169483979167"/>
          <c:h val="9.313981091545009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 Price vs Dividends</a:t>
            </a:r>
          </a:p>
        </c:rich>
      </c:tx>
      <c:layout>
        <c:manualLayout>
          <c:xMode val="edge"/>
          <c:yMode val="edge"/>
          <c:x val="0.3317774555267532"/>
          <c:y val="1.1985061244109949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150880367436557E-2"/>
          <c:y val="9.1365971598330029E-2"/>
          <c:w val="0.83795331416609908"/>
          <c:h val="0.74629628231551892"/>
        </c:manualLayout>
      </c:layout>
      <c:lineChart>
        <c:grouping val="standard"/>
        <c:varyColors val="0"/>
        <c:ser>
          <c:idx val="0"/>
          <c:order val="0"/>
          <c:tx>
            <c:strRef>
              <c:f>Price_Dividend!$C$1</c:f>
              <c:strCache>
                <c:ptCount val="1"/>
                <c:pt idx="0">
                  <c:v>Price</c:v>
                </c:pt>
              </c:strCache>
            </c:strRef>
          </c:tx>
          <c:spPr>
            <a:ln w="28575" cap="rnd">
              <a:solidFill>
                <a:schemeClr val="accent1"/>
              </a:solidFill>
              <a:round/>
            </a:ln>
            <a:effectLst/>
          </c:spPr>
          <c:marker>
            <c:symbol val="none"/>
          </c:marker>
          <c:cat>
            <c:numRef>
              <c:f>Price_Dividend!$B$2:$B$1096</c:f>
              <c:numCache>
                <c:formatCode>m/d/yyyy</c:formatCode>
                <c:ptCount val="1095"/>
                <c:pt idx="0">
                  <c:v>42719</c:v>
                </c:pt>
                <c:pt idx="1">
                  <c:v>42720</c:v>
                </c:pt>
                <c:pt idx="2">
                  <c:v>42723</c:v>
                </c:pt>
                <c:pt idx="3">
                  <c:v>42724</c:v>
                </c:pt>
                <c:pt idx="4">
                  <c:v>42725</c:v>
                </c:pt>
                <c:pt idx="5">
                  <c:v>42726</c:v>
                </c:pt>
                <c:pt idx="6">
                  <c:v>42727</c:v>
                </c:pt>
                <c:pt idx="7">
                  <c:v>42731</c:v>
                </c:pt>
                <c:pt idx="8">
                  <c:v>42732</c:v>
                </c:pt>
                <c:pt idx="9">
                  <c:v>42733</c:v>
                </c:pt>
                <c:pt idx="10">
                  <c:v>42734</c:v>
                </c:pt>
                <c:pt idx="11">
                  <c:v>42738</c:v>
                </c:pt>
                <c:pt idx="12">
                  <c:v>42739</c:v>
                </c:pt>
                <c:pt idx="13">
                  <c:v>42740</c:v>
                </c:pt>
                <c:pt idx="14">
                  <c:v>42741</c:v>
                </c:pt>
                <c:pt idx="15">
                  <c:v>42744</c:v>
                </c:pt>
                <c:pt idx="16">
                  <c:v>42745</c:v>
                </c:pt>
                <c:pt idx="17">
                  <c:v>42746</c:v>
                </c:pt>
                <c:pt idx="18">
                  <c:v>42747</c:v>
                </c:pt>
                <c:pt idx="19">
                  <c:v>42748</c:v>
                </c:pt>
                <c:pt idx="20">
                  <c:v>42752</c:v>
                </c:pt>
                <c:pt idx="21">
                  <c:v>42753</c:v>
                </c:pt>
                <c:pt idx="22">
                  <c:v>42754</c:v>
                </c:pt>
                <c:pt idx="23">
                  <c:v>42755</c:v>
                </c:pt>
                <c:pt idx="24">
                  <c:v>42758</c:v>
                </c:pt>
                <c:pt idx="25">
                  <c:v>42759</c:v>
                </c:pt>
                <c:pt idx="26">
                  <c:v>42760</c:v>
                </c:pt>
                <c:pt idx="27">
                  <c:v>42761</c:v>
                </c:pt>
                <c:pt idx="28">
                  <c:v>42762</c:v>
                </c:pt>
                <c:pt idx="29">
                  <c:v>42765</c:v>
                </c:pt>
                <c:pt idx="30">
                  <c:v>42766</c:v>
                </c:pt>
                <c:pt idx="31">
                  <c:v>42767</c:v>
                </c:pt>
                <c:pt idx="32">
                  <c:v>42768</c:v>
                </c:pt>
                <c:pt idx="33">
                  <c:v>42769</c:v>
                </c:pt>
                <c:pt idx="34">
                  <c:v>42772</c:v>
                </c:pt>
                <c:pt idx="35">
                  <c:v>42773</c:v>
                </c:pt>
                <c:pt idx="36">
                  <c:v>42774</c:v>
                </c:pt>
                <c:pt idx="37">
                  <c:v>42775</c:v>
                </c:pt>
                <c:pt idx="38">
                  <c:v>42776</c:v>
                </c:pt>
                <c:pt idx="39">
                  <c:v>42779</c:v>
                </c:pt>
                <c:pt idx="40">
                  <c:v>42780</c:v>
                </c:pt>
                <c:pt idx="41">
                  <c:v>42781</c:v>
                </c:pt>
                <c:pt idx="42">
                  <c:v>42782</c:v>
                </c:pt>
                <c:pt idx="43">
                  <c:v>42783</c:v>
                </c:pt>
                <c:pt idx="44">
                  <c:v>42787</c:v>
                </c:pt>
                <c:pt idx="45">
                  <c:v>42788</c:v>
                </c:pt>
                <c:pt idx="46">
                  <c:v>42789</c:v>
                </c:pt>
                <c:pt idx="47">
                  <c:v>42790</c:v>
                </c:pt>
                <c:pt idx="48">
                  <c:v>42793</c:v>
                </c:pt>
                <c:pt idx="49">
                  <c:v>42794</c:v>
                </c:pt>
                <c:pt idx="50">
                  <c:v>42795</c:v>
                </c:pt>
                <c:pt idx="51">
                  <c:v>42796</c:v>
                </c:pt>
                <c:pt idx="52">
                  <c:v>42797</c:v>
                </c:pt>
                <c:pt idx="53">
                  <c:v>42800</c:v>
                </c:pt>
                <c:pt idx="54">
                  <c:v>42801</c:v>
                </c:pt>
                <c:pt idx="55">
                  <c:v>42802</c:v>
                </c:pt>
                <c:pt idx="56">
                  <c:v>42803</c:v>
                </c:pt>
                <c:pt idx="57">
                  <c:v>42804</c:v>
                </c:pt>
                <c:pt idx="58">
                  <c:v>42807</c:v>
                </c:pt>
                <c:pt idx="59">
                  <c:v>42808</c:v>
                </c:pt>
                <c:pt idx="60">
                  <c:v>42809</c:v>
                </c:pt>
                <c:pt idx="61">
                  <c:v>42810</c:v>
                </c:pt>
                <c:pt idx="62">
                  <c:v>42811</c:v>
                </c:pt>
                <c:pt idx="63">
                  <c:v>42814</c:v>
                </c:pt>
                <c:pt idx="64">
                  <c:v>42815</c:v>
                </c:pt>
                <c:pt idx="65">
                  <c:v>42816</c:v>
                </c:pt>
                <c:pt idx="66">
                  <c:v>42817</c:v>
                </c:pt>
                <c:pt idx="67">
                  <c:v>42818</c:v>
                </c:pt>
                <c:pt idx="68">
                  <c:v>42821</c:v>
                </c:pt>
                <c:pt idx="69">
                  <c:v>42822</c:v>
                </c:pt>
                <c:pt idx="70">
                  <c:v>42823</c:v>
                </c:pt>
                <c:pt idx="71">
                  <c:v>42824</c:v>
                </c:pt>
                <c:pt idx="72">
                  <c:v>42825</c:v>
                </c:pt>
                <c:pt idx="73">
                  <c:v>42828</c:v>
                </c:pt>
                <c:pt idx="74">
                  <c:v>42829</c:v>
                </c:pt>
                <c:pt idx="75">
                  <c:v>42830</c:v>
                </c:pt>
                <c:pt idx="76">
                  <c:v>42831</c:v>
                </c:pt>
                <c:pt idx="77">
                  <c:v>42832</c:v>
                </c:pt>
                <c:pt idx="78">
                  <c:v>42835</c:v>
                </c:pt>
                <c:pt idx="79">
                  <c:v>42836</c:v>
                </c:pt>
                <c:pt idx="80">
                  <c:v>42837</c:v>
                </c:pt>
                <c:pt idx="81">
                  <c:v>42838</c:v>
                </c:pt>
                <c:pt idx="82">
                  <c:v>42842</c:v>
                </c:pt>
                <c:pt idx="83">
                  <c:v>42843</c:v>
                </c:pt>
                <c:pt idx="84">
                  <c:v>42844</c:v>
                </c:pt>
                <c:pt idx="85">
                  <c:v>42845</c:v>
                </c:pt>
                <c:pt idx="86">
                  <c:v>42846</c:v>
                </c:pt>
                <c:pt idx="87">
                  <c:v>42849</c:v>
                </c:pt>
                <c:pt idx="88">
                  <c:v>42850</c:v>
                </c:pt>
                <c:pt idx="89">
                  <c:v>42851</c:v>
                </c:pt>
                <c:pt idx="90">
                  <c:v>42852</c:v>
                </c:pt>
                <c:pt idx="91">
                  <c:v>42853</c:v>
                </c:pt>
                <c:pt idx="92">
                  <c:v>42856</c:v>
                </c:pt>
                <c:pt idx="93">
                  <c:v>42857</c:v>
                </c:pt>
                <c:pt idx="94">
                  <c:v>42858</c:v>
                </c:pt>
                <c:pt idx="95">
                  <c:v>42859</c:v>
                </c:pt>
                <c:pt idx="96">
                  <c:v>42860</c:v>
                </c:pt>
                <c:pt idx="97">
                  <c:v>42863</c:v>
                </c:pt>
                <c:pt idx="98">
                  <c:v>42864</c:v>
                </c:pt>
                <c:pt idx="99">
                  <c:v>42865</c:v>
                </c:pt>
                <c:pt idx="100">
                  <c:v>42866</c:v>
                </c:pt>
                <c:pt idx="101">
                  <c:v>42867</c:v>
                </c:pt>
                <c:pt idx="102">
                  <c:v>42870</c:v>
                </c:pt>
                <c:pt idx="103">
                  <c:v>42871</c:v>
                </c:pt>
                <c:pt idx="104">
                  <c:v>42872</c:v>
                </c:pt>
                <c:pt idx="105">
                  <c:v>42873</c:v>
                </c:pt>
                <c:pt idx="106">
                  <c:v>42874</c:v>
                </c:pt>
                <c:pt idx="107">
                  <c:v>42877</c:v>
                </c:pt>
                <c:pt idx="108">
                  <c:v>42878</c:v>
                </c:pt>
                <c:pt idx="109">
                  <c:v>42879</c:v>
                </c:pt>
                <c:pt idx="110">
                  <c:v>42880</c:v>
                </c:pt>
                <c:pt idx="111">
                  <c:v>42881</c:v>
                </c:pt>
                <c:pt idx="112">
                  <c:v>42885</c:v>
                </c:pt>
                <c:pt idx="113">
                  <c:v>42886</c:v>
                </c:pt>
                <c:pt idx="114">
                  <c:v>42887</c:v>
                </c:pt>
                <c:pt idx="115">
                  <c:v>42888</c:v>
                </c:pt>
                <c:pt idx="116">
                  <c:v>42891</c:v>
                </c:pt>
                <c:pt idx="117">
                  <c:v>42892</c:v>
                </c:pt>
                <c:pt idx="118">
                  <c:v>42893</c:v>
                </c:pt>
                <c:pt idx="119">
                  <c:v>42894</c:v>
                </c:pt>
                <c:pt idx="120">
                  <c:v>42895</c:v>
                </c:pt>
                <c:pt idx="121">
                  <c:v>42898</c:v>
                </c:pt>
                <c:pt idx="122">
                  <c:v>42899</c:v>
                </c:pt>
                <c:pt idx="123">
                  <c:v>42900</c:v>
                </c:pt>
                <c:pt idx="124">
                  <c:v>42901</c:v>
                </c:pt>
                <c:pt idx="125">
                  <c:v>42902</c:v>
                </c:pt>
                <c:pt idx="126">
                  <c:v>42905</c:v>
                </c:pt>
                <c:pt idx="127">
                  <c:v>42906</c:v>
                </c:pt>
                <c:pt idx="128">
                  <c:v>42907</c:v>
                </c:pt>
                <c:pt idx="129">
                  <c:v>42908</c:v>
                </c:pt>
                <c:pt idx="130">
                  <c:v>42909</c:v>
                </c:pt>
                <c:pt idx="131">
                  <c:v>42912</c:v>
                </c:pt>
                <c:pt idx="132">
                  <c:v>42913</c:v>
                </c:pt>
                <c:pt idx="133">
                  <c:v>42914</c:v>
                </c:pt>
                <c:pt idx="134">
                  <c:v>42915</c:v>
                </c:pt>
                <c:pt idx="135">
                  <c:v>42916</c:v>
                </c:pt>
                <c:pt idx="136">
                  <c:v>42919</c:v>
                </c:pt>
                <c:pt idx="137">
                  <c:v>42921</c:v>
                </c:pt>
                <c:pt idx="138">
                  <c:v>42922</c:v>
                </c:pt>
                <c:pt idx="139">
                  <c:v>42923</c:v>
                </c:pt>
                <c:pt idx="140">
                  <c:v>42926</c:v>
                </c:pt>
                <c:pt idx="141">
                  <c:v>42927</c:v>
                </c:pt>
                <c:pt idx="142">
                  <c:v>42928</c:v>
                </c:pt>
                <c:pt idx="143">
                  <c:v>42929</c:v>
                </c:pt>
                <c:pt idx="144">
                  <c:v>42930</c:v>
                </c:pt>
                <c:pt idx="145">
                  <c:v>42933</c:v>
                </c:pt>
                <c:pt idx="146">
                  <c:v>42934</c:v>
                </c:pt>
                <c:pt idx="147">
                  <c:v>42935</c:v>
                </c:pt>
                <c:pt idx="148">
                  <c:v>42936</c:v>
                </c:pt>
                <c:pt idx="149">
                  <c:v>42937</c:v>
                </c:pt>
                <c:pt idx="150">
                  <c:v>42940</c:v>
                </c:pt>
                <c:pt idx="151">
                  <c:v>42941</c:v>
                </c:pt>
                <c:pt idx="152">
                  <c:v>42942</c:v>
                </c:pt>
                <c:pt idx="153">
                  <c:v>42943</c:v>
                </c:pt>
                <c:pt idx="154">
                  <c:v>42944</c:v>
                </c:pt>
                <c:pt idx="155">
                  <c:v>42947</c:v>
                </c:pt>
                <c:pt idx="156">
                  <c:v>42948</c:v>
                </c:pt>
                <c:pt idx="157">
                  <c:v>42949</c:v>
                </c:pt>
                <c:pt idx="158">
                  <c:v>42950</c:v>
                </c:pt>
                <c:pt idx="159">
                  <c:v>42951</c:v>
                </c:pt>
                <c:pt idx="160">
                  <c:v>42954</c:v>
                </c:pt>
                <c:pt idx="161">
                  <c:v>42955</c:v>
                </c:pt>
                <c:pt idx="162">
                  <c:v>42956</c:v>
                </c:pt>
                <c:pt idx="163">
                  <c:v>42957</c:v>
                </c:pt>
                <c:pt idx="164">
                  <c:v>42958</c:v>
                </c:pt>
                <c:pt idx="165">
                  <c:v>42961</c:v>
                </c:pt>
                <c:pt idx="166">
                  <c:v>42962</c:v>
                </c:pt>
                <c:pt idx="167">
                  <c:v>42963</c:v>
                </c:pt>
                <c:pt idx="168">
                  <c:v>42964</c:v>
                </c:pt>
                <c:pt idx="169">
                  <c:v>42965</c:v>
                </c:pt>
                <c:pt idx="170">
                  <c:v>42968</c:v>
                </c:pt>
                <c:pt idx="171">
                  <c:v>42969</c:v>
                </c:pt>
                <c:pt idx="172">
                  <c:v>42970</c:v>
                </c:pt>
                <c:pt idx="173">
                  <c:v>42971</c:v>
                </c:pt>
                <c:pt idx="174">
                  <c:v>42972</c:v>
                </c:pt>
                <c:pt idx="175">
                  <c:v>42975</c:v>
                </c:pt>
                <c:pt idx="176">
                  <c:v>42976</c:v>
                </c:pt>
                <c:pt idx="177">
                  <c:v>42977</c:v>
                </c:pt>
                <c:pt idx="178">
                  <c:v>42978</c:v>
                </c:pt>
                <c:pt idx="179">
                  <c:v>42979</c:v>
                </c:pt>
                <c:pt idx="180">
                  <c:v>42983</c:v>
                </c:pt>
                <c:pt idx="181">
                  <c:v>42984</c:v>
                </c:pt>
                <c:pt idx="182">
                  <c:v>42985</c:v>
                </c:pt>
                <c:pt idx="183">
                  <c:v>42986</c:v>
                </c:pt>
                <c:pt idx="184">
                  <c:v>42989</c:v>
                </c:pt>
                <c:pt idx="185">
                  <c:v>42990</c:v>
                </c:pt>
                <c:pt idx="186">
                  <c:v>42991</c:v>
                </c:pt>
                <c:pt idx="187">
                  <c:v>42992</c:v>
                </c:pt>
                <c:pt idx="188">
                  <c:v>42993</c:v>
                </c:pt>
                <c:pt idx="189">
                  <c:v>42996</c:v>
                </c:pt>
                <c:pt idx="190">
                  <c:v>42997</c:v>
                </c:pt>
                <c:pt idx="191">
                  <c:v>42998</c:v>
                </c:pt>
                <c:pt idx="192">
                  <c:v>42999</c:v>
                </c:pt>
                <c:pt idx="193">
                  <c:v>43000</c:v>
                </c:pt>
                <c:pt idx="194">
                  <c:v>43003</c:v>
                </c:pt>
                <c:pt idx="195">
                  <c:v>43004</c:v>
                </c:pt>
                <c:pt idx="196">
                  <c:v>43005</c:v>
                </c:pt>
                <c:pt idx="197">
                  <c:v>43006</c:v>
                </c:pt>
                <c:pt idx="198">
                  <c:v>43007</c:v>
                </c:pt>
                <c:pt idx="199">
                  <c:v>43010</c:v>
                </c:pt>
                <c:pt idx="200">
                  <c:v>43011</c:v>
                </c:pt>
                <c:pt idx="201">
                  <c:v>43012</c:v>
                </c:pt>
                <c:pt idx="202">
                  <c:v>43013</c:v>
                </c:pt>
                <c:pt idx="203">
                  <c:v>43014</c:v>
                </c:pt>
                <c:pt idx="204">
                  <c:v>43017</c:v>
                </c:pt>
                <c:pt idx="205">
                  <c:v>43018</c:v>
                </c:pt>
                <c:pt idx="206">
                  <c:v>43019</c:v>
                </c:pt>
                <c:pt idx="207">
                  <c:v>43020</c:v>
                </c:pt>
                <c:pt idx="208">
                  <c:v>43021</c:v>
                </c:pt>
                <c:pt idx="209">
                  <c:v>43024</c:v>
                </c:pt>
                <c:pt idx="210">
                  <c:v>43025</c:v>
                </c:pt>
                <c:pt idx="211">
                  <c:v>43026</c:v>
                </c:pt>
                <c:pt idx="212">
                  <c:v>43027</c:v>
                </c:pt>
                <c:pt idx="213">
                  <c:v>43028</c:v>
                </c:pt>
                <c:pt idx="214">
                  <c:v>43031</c:v>
                </c:pt>
                <c:pt idx="215">
                  <c:v>43032</c:v>
                </c:pt>
                <c:pt idx="216">
                  <c:v>43033</c:v>
                </c:pt>
                <c:pt idx="217">
                  <c:v>43034</c:v>
                </c:pt>
                <c:pt idx="218">
                  <c:v>43035</c:v>
                </c:pt>
                <c:pt idx="219">
                  <c:v>43038</c:v>
                </c:pt>
                <c:pt idx="220">
                  <c:v>43039</c:v>
                </c:pt>
                <c:pt idx="221">
                  <c:v>43040</c:v>
                </c:pt>
                <c:pt idx="222">
                  <c:v>43041</c:v>
                </c:pt>
                <c:pt idx="223">
                  <c:v>43042</c:v>
                </c:pt>
                <c:pt idx="224">
                  <c:v>43045</c:v>
                </c:pt>
                <c:pt idx="225">
                  <c:v>43046</c:v>
                </c:pt>
                <c:pt idx="226">
                  <c:v>43047</c:v>
                </c:pt>
                <c:pt idx="227">
                  <c:v>43048</c:v>
                </c:pt>
                <c:pt idx="228">
                  <c:v>43049</c:v>
                </c:pt>
                <c:pt idx="229">
                  <c:v>43052</c:v>
                </c:pt>
                <c:pt idx="230">
                  <c:v>43053</c:v>
                </c:pt>
                <c:pt idx="231">
                  <c:v>43054</c:v>
                </c:pt>
                <c:pt idx="232">
                  <c:v>43055</c:v>
                </c:pt>
                <c:pt idx="233">
                  <c:v>43056</c:v>
                </c:pt>
                <c:pt idx="234">
                  <c:v>43059</c:v>
                </c:pt>
                <c:pt idx="235">
                  <c:v>43060</c:v>
                </c:pt>
                <c:pt idx="236">
                  <c:v>43061</c:v>
                </c:pt>
                <c:pt idx="237">
                  <c:v>43063</c:v>
                </c:pt>
                <c:pt idx="238">
                  <c:v>43066</c:v>
                </c:pt>
                <c:pt idx="239">
                  <c:v>43067</c:v>
                </c:pt>
                <c:pt idx="240">
                  <c:v>43068</c:v>
                </c:pt>
                <c:pt idx="241">
                  <c:v>43069</c:v>
                </c:pt>
                <c:pt idx="242">
                  <c:v>43070</c:v>
                </c:pt>
                <c:pt idx="243">
                  <c:v>43073</c:v>
                </c:pt>
                <c:pt idx="244">
                  <c:v>43074</c:v>
                </c:pt>
                <c:pt idx="245">
                  <c:v>43075</c:v>
                </c:pt>
                <c:pt idx="246">
                  <c:v>43076</c:v>
                </c:pt>
                <c:pt idx="247">
                  <c:v>43077</c:v>
                </c:pt>
                <c:pt idx="248">
                  <c:v>43080</c:v>
                </c:pt>
                <c:pt idx="249">
                  <c:v>43081</c:v>
                </c:pt>
                <c:pt idx="250">
                  <c:v>43082</c:v>
                </c:pt>
                <c:pt idx="251">
                  <c:v>43083</c:v>
                </c:pt>
                <c:pt idx="252">
                  <c:v>43084</c:v>
                </c:pt>
                <c:pt idx="253">
                  <c:v>43087</c:v>
                </c:pt>
                <c:pt idx="254">
                  <c:v>43088</c:v>
                </c:pt>
                <c:pt idx="255">
                  <c:v>43089</c:v>
                </c:pt>
                <c:pt idx="256">
                  <c:v>43090</c:v>
                </c:pt>
                <c:pt idx="257">
                  <c:v>43091</c:v>
                </c:pt>
                <c:pt idx="258">
                  <c:v>43095</c:v>
                </c:pt>
                <c:pt idx="259">
                  <c:v>43096</c:v>
                </c:pt>
                <c:pt idx="260">
                  <c:v>43097</c:v>
                </c:pt>
                <c:pt idx="261">
                  <c:v>43098</c:v>
                </c:pt>
                <c:pt idx="262">
                  <c:v>43102</c:v>
                </c:pt>
                <c:pt idx="263">
                  <c:v>43103</c:v>
                </c:pt>
                <c:pt idx="264">
                  <c:v>43104</c:v>
                </c:pt>
                <c:pt idx="265">
                  <c:v>43105</c:v>
                </c:pt>
                <c:pt idx="266">
                  <c:v>43108</c:v>
                </c:pt>
                <c:pt idx="267">
                  <c:v>43109</c:v>
                </c:pt>
                <c:pt idx="268">
                  <c:v>43110</c:v>
                </c:pt>
                <c:pt idx="269">
                  <c:v>43111</c:v>
                </c:pt>
                <c:pt idx="270">
                  <c:v>43112</c:v>
                </c:pt>
                <c:pt idx="271">
                  <c:v>43116</c:v>
                </c:pt>
                <c:pt idx="272">
                  <c:v>43117</c:v>
                </c:pt>
                <c:pt idx="273">
                  <c:v>43118</c:v>
                </c:pt>
                <c:pt idx="274">
                  <c:v>43119</c:v>
                </c:pt>
                <c:pt idx="275">
                  <c:v>43122</c:v>
                </c:pt>
                <c:pt idx="276">
                  <c:v>43123</c:v>
                </c:pt>
                <c:pt idx="277">
                  <c:v>43124</c:v>
                </c:pt>
                <c:pt idx="278">
                  <c:v>43125</c:v>
                </c:pt>
                <c:pt idx="279">
                  <c:v>43126</c:v>
                </c:pt>
                <c:pt idx="280">
                  <c:v>43129</c:v>
                </c:pt>
                <c:pt idx="281">
                  <c:v>43130</c:v>
                </c:pt>
                <c:pt idx="282">
                  <c:v>43131</c:v>
                </c:pt>
                <c:pt idx="283">
                  <c:v>43132</c:v>
                </c:pt>
                <c:pt idx="284">
                  <c:v>43133</c:v>
                </c:pt>
                <c:pt idx="285">
                  <c:v>43136</c:v>
                </c:pt>
                <c:pt idx="286">
                  <c:v>43137</c:v>
                </c:pt>
                <c:pt idx="287">
                  <c:v>43138</c:v>
                </c:pt>
                <c:pt idx="288">
                  <c:v>43139</c:v>
                </c:pt>
                <c:pt idx="289">
                  <c:v>43140</c:v>
                </c:pt>
                <c:pt idx="290">
                  <c:v>43143</c:v>
                </c:pt>
                <c:pt idx="291">
                  <c:v>43144</c:v>
                </c:pt>
                <c:pt idx="292">
                  <c:v>43145</c:v>
                </c:pt>
                <c:pt idx="293">
                  <c:v>43146</c:v>
                </c:pt>
                <c:pt idx="294">
                  <c:v>43147</c:v>
                </c:pt>
                <c:pt idx="295">
                  <c:v>43151</c:v>
                </c:pt>
                <c:pt idx="296">
                  <c:v>43152</c:v>
                </c:pt>
                <c:pt idx="297">
                  <c:v>43153</c:v>
                </c:pt>
                <c:pt idx="298">
                  <c:v>43154</c:v>
                </c:pt>
                <c:pt idx="299">
                  <c:v>43157</c:v>
                </c:pt>
                <c:pt idx="300">
                  <c:v>43158</c:v>
                </c:pt>
                <c:pt idx="301">
                  <c:v>43159</c:v>
                </c:pt>
                <c:pt idx="302">
                  <c:v>43160</c:v>
                </c:pt>
                <c:pt idx="303">
                  <c:v>43161</c:v>
                </c:pt>
                <c:pt idx="304">
                  <c:v>43164</c:v>
                </c:pt>
                <c:pt idx="305">
                  <c:v>43165</c:v>
                </c:pt>
                <c:pt idx="306">
                  <c:v>43166</c:v>
                </c:pt>
                <c:pt idx="307">
                  <c:v>43167</c:v>
                </c:pt>
                <c:pt idx="308">
                  <c:v>43168</c:v>
                </c:pt>
                <c:pt idx="309">
                  <c:v>43171</c:v>
                </c:pt>
                <c:pt idx="310">
                  <c:v>43172</c:v>
                </c:pt>
                <c:pt idx="311">
                  <c:v>43173</c:v>
                </c:pt>
                <c:pt idx="312">
                  <c:v>43174</c:v>
                </c:pt>
                <c:pt idx="313">
                  <c:v>43175</c:v>
                </c:pt>
                <c:pt idx="314">
                  <c:v>43178</c:v>
                </c:pt>
                <c:pt idx="315">
                  <c:v>43179</c:v>
                </c:pt>
                <c:pt idx="316">
                  <c:v>43180</c:v>
                </c:pt>
                <c:pt idx="317">
                  <c:v>43181</c:v>
                </c:pt>
                <c:pt idx="318">
                  <c:v>43182</c:v>
                </c:pt>
                <c:pt idx="319">
                  <c:v>43185</c:v>
                </c:pt>
                <c:pt idx="320">
                  <c:v>43186</c:v>
                </c:pt>
                <c:pt idx="321">
                  <c:v>43187</c:v>
                </c:pt>
                <c:pt idx="322">
                  <c:v>43188</c:v>
                </c:pt>
                <c:pt idx="323">
                  <c:v>43192</c:v>
                </c:pt>
                <c:pt idx="324">
                  <c:v>43193</c:v>
                </c:pt>
                <c:pt idx="325">
                  <c:v>43194</c:v>
                </c:pt>
                <c:pt idx="326">
                  <c:v>43195</c:v>
                </c:pt>
                <c:pt idx="327">
                  <c:v>43196</c:v>
                </c:pt>
                <c:pt idx="328">
                  <c:v>43199</c:v>
                </c:pt>
                <c:pt idx="329">
                  <c:v>43200</c:v>
                </c:pt>
                <c:pt idx="330">
                  <c:v>43201</c:v>
                </c:pt>
                <c:pt idx="331">
                  <c:v>43202</c:v>
                </c:pt>
                <c:pt idx="332">
                  <c:v>43203</c:v>
                </c:pt>
                <c:pt idx="333">
                  <c:v>43206</c:v>
                </c:pt>
                <c:pt idx="334">
                  <c:v>43207</c:v>
                </c:pt>
                <c:pt idx="335">
                  <c:v>43208</c:v>
                </c:pt>
                <c:pt idx="336">
                  <c:v>43209</c:v>
                </c:pt>
                <c:pt idx="337">
                  <c:v>43210</c:v>
                </c:pt>
                <c:pt idx="338">
                  <c:v>43213</c:v>
                </c:pt>
                <c:pt idx="339">
                  <c:v>43214</c:v>
                </c:pt>
                <c:pt idx="340">
                  <c:v>43215</c:v>
                </c:pt>
                <c:pt idx="341">
                  <c:v>43216</c:v>
                </c:pt>
                <c:pt idx="342">
                  <c:v>43217</c:v>
                </c:pt>
                <c:pt idx="343">
                  <c:v>43220</c:v>
                </c:pt>
                <c:pt idx="344">
                  <c:v>43221</c:v>
                </c:pt>
                <c:pt idx="345">
                  <c:v>43222</c:v>
                </c:pt>
                <c:pt idx="346">
                  <c:v>43223</c:v>
                </c:pt>
                <c:pt idx="347">
                  <c:v>43224</c:v>
                </c:pt>
                <c:pt idx="348">
                  <c:v>43227</c:v>
                </c:pt>
                <c:pt idx="349">
                  <c:v>43228</c:v>
                </c:pt>
                <c:pt idx="350">
                  <c:v>43229</c:v>
                </c:pt>
                <c:pt idx="351">
                  <c:v>43230</c:v>
                </c:pt>
                <c:pt idx="352">
                  <c:v>43231</c:v>
                </c:pt>
                <c:pt idx="353">
                  <c:v>43234</c:v>
                </c:pt>
                <c:pt idx="354">
                  <c:v>43235</c:v>
                </c:pt>
                <c:pt idx="355">
                  <c:v>43236</c:v>
                </c:pt>
                <c:pt idx="356">
                  <c:v>43237</c:v>
                </c:pt>
                <c:pt idx="357">
                  <c:v>43238</c:v>
                </c:pt>
                <c:pt idx="358">
                  <c:v>43241</c:v>
                </c:pt>
                <c:pt idx="359">
                  <c:v>43242</c:v>
                </c:pt>
                <c:pt idx="360">
                  <c:v>43243</c:v>
                </c:pt>
                <c:pt idx="361">
                  <c:v>43244</c:v>
                </c:pt>
                <c:pt idx="362">
                  <c:v>43245</c:v>
                </c:pt>
                <c:pt idx="363">
                  <c:v>43249</c:v>
                </c:pt>
                <c:pt idx="364">
                  <c:v>43250</c:v>
                </c:pt>
                <c:pt idx="365">
                  <c:v>43251</c:v>
                </c:pt>
                <c:pt idx="366">
                  <c:v>43252</c:v>
                </c:pt>
                <c:pt idx="367">
                  <c:v>43255</c:v>
                </c:pt>
                <c:pt idx="368">
                  <c:v>43256</c:v>
                </c:pt>
                <c:pt idx="369">
                  <c:v>43257</c:v>
                </c:pt>
                <c:pt idx="370">
                  <c:v>43258</c:v>
                </c:pt>
                <c:pt idx="371">
                  <c:v>43259</c:v>
                </c:pt>
                <c:pt idx="372">
                  <c:v>43262</c:v>
                </c:pt>
                <c:pt idx="373">
                  <c:v>43263</c:v>
                </c:pt>
                <c:pt idx="374">
                  <c:v>43264</c:v>
                </c:pt>
                <c:pt idx="375">
                  <c:v>43265</c:v>
                </c:pt>
                <c:pt idx="376">
                  <c:v>43266</c:v>
                </c:pt>
                <c:pt idx="377">
                  <c:v>43269</c:v>
                </c:pt>
                <c:pt idx="378">
                  <c:v>43270</c:v>
                </c:pt>
                <c:pt idx="379">
                  <c:v>43271</c:v>
                </c:pt>
                <c:pt idx="380">
                  <c:v>43272</c:v>
                </c:pt>
                <c:pt idx="381">
                  <c:v>43273</c:v>
                </c:pt>
                <c:pt idx="382">
                  <c:v>43276</c:v>
                </c:pt>
                <c:pt idx="383">
                  <c:v>43277</c:v>
                </c:pt>
                <c:pt idx="384">
                  <c:v>43278</c:v>
                </c:pt>
                <c:pt idx="385">
                  <c:v>43279</c:v>
                </c:pt>
                <c:pt idx="386">
                  <c:v>43280</c:v>
                </c:pt>
                <c:pt idx="387">
                  <c:v>43283</c:v>
                </c:pt>
                <c:pt idx="388">
                  <c:v>43284</c:v>
                </c:pt>
                <c:pt idx="389">
                  <c:v>43286</c:v>
                </c:pt>
                <c:pt idx="390">
                  <c:v>43287</c:v>
                </c:pt>
                <c:pt idx="391">
                  <c:v>43290</c:v>
                </c:pt>
                <c:pt idx="392">
                  <c:v>43291</c:v>
                </c:pt>
                <c:pt idx="393">
                  <c:v>43292</c:v>
                </c:pt>
                <c:pt idx="394">
                  <c:v>43293</c:v>
                </c:pt>
                <c:pt idx="395">
                  <c:v>43294</c:v>
                </c:pt>
                <c:pt idx="396">
                  <c:v>43297</c:v>
                </c:pt>
                <c:pt idx="397">
                  <c:v>43298</c:v>
                </c:pt>
                <c:pt idx="398">
                  <c:v>43299</c:v>
                </c:pt>
                <c:pt idx="399">
                  <c:v>43300</c:v>
                </c:pt>
                <c:pt idx="400">
                  <c:v>43301</c:v>
                </c:pt>
                <c:pt idx="401">
                  <c:v>43304</c:v>
                </c:pt>
                <c:pt idx="402">
                  <c:v>43305</c:v>
                </c:pt>
                <c:pt idx="403">
                  <c:v>43306</c:v>
                </c:pt>
                <c:pt idx="404">
                  <c:v>43307</c:v>
                </c:pt>
                <c:pt idx="405">
                  <c:v>43308</c:v>
                </c:pt>
                <c:pt idx="406">
                  <c:v>43311</c:v>
                </c:pt>
                <c:pt idx="407">
                  <c:v>43312</c:v>
                </c:pt>
                <c:pt idx="408">
                  <c:v>43313</c:v>
                </c:pt>
                <c:pt idx="409">
                  <c:v>43314</c:v>
                </c:pt>
                <c:pt idx="410">
                  <c:v>43315</c:v>
                </c:pt>
                <c:pt idx="411">
                  <c:v>43318</c:v>
                </c:pt>
                <c:pt idx="412">
                  <c:v>43319</c:v>
                </c:pt>
                <c:pt idx="413">
                  <c:v>43320</c:v>
                </c:pt>
                <c:pt idx="414">
                  <c:v>43321</c:v>
                </c:pt>
                <c:pt idx="415">
                  <c:v>43322</c:v>
                </c:pt>
                <c:pt idx="416">
                  <c:v>43325</c:v>
                </c:pt>
                <c:pt idx="417">
                  <c:v>43326</c:v>
                </c:pt>
                <c:pt idx="418">
                  <c:v>43327</c:v>
                </c:pt>
                <c:pt idx="419">
                  <c:v>43328</c:v>
                </c:pt>
                <c:pt idx="420">
                  <c:v>43329</c:v>
                </c:pt>
                <c:pt idx="421">
                  <c:v>43332</c:v>
                </c:pt>
                <c:pt idx="422">
                  <c:v>43333</c:v>
                </c:pt>
                <c:pt idx="423">
                  <c:v>43334</c:v>
                </c:pt>
                <c:pt idx="424">
                  <c:v>43335</c:v>
                </c:pt>
                <c:pt idx="425">
                  <c:v>43336</c:v>
                </c:pt>
                <c:pt idx="426">
                  <c:v>43339</c:v>
                </c:pt>
                <c:pt idx="427">
                  <c:v>43340</c:v>
                </c:pt>
                <c:pt idx="428">
                  <c:v>43341</c:v>
                </c:pt>
                <c:pt idx="429">
                  <c:v>43342</c:v>
                </c:pt>
                <c:pt idx="430">
                  <c:v>43343</c:v>
                </c:pt>
                <c:pt idx="431">
                  <c:v>43347</c:v>
                </c:pt>
                <c:pt idx="432">
                  <c:v>43348</c:v>
                </c:pt>
                <c:pt idx="433">
                  <c:v>43349</c:v>
                </c:pt>
                <c:pt idx="434">
                  <c:v>43350</c:v>
                </c:pt>
                <c:pt idx="435">
                  <c:v>43353</c:v>
                </c:pt>
                <c:pt idx="436">
                  <c:v>43354</c:v>
                </c:pt>
                <c:pt idx="437">
                  <c:v>43355</c:v>
                </c:pt>
                <c:pt idx="438">
                  <c:v>43356</c:v>
                </c:pt>
                <c:pt idx="439">
                  <c:v>43357</c:v>
                </c:pt>
                <c:pt idx="440">
                  <c:v>43360</c:v>
                </c:pt>
                <c:pt idx="441">
                  <c:v>43361</c:v>
                </c:pt>
                <c:pt idx="442">
                  <c:v>43362</c:v>
                </c:pt>
                <c:pt idx="443">
                  <c:v>43363</c:v>
                </c:pt>
                <c:pt idx="444">
                  <c:v>43364</c:v>
                </c:pt>
                <c:pt idx="445">
                  <c:v>43367</c:v>
                </c:pt>
                <c:pt idx="446">
                  <c:v>43368</c:v>
                </c:pt>
                <c:pt idx="447">
                  <c:v>43369</c:v>
                </c:pt>
                <c:pt idx="448">
                  <c:v>43370</c:v>
                </c:pt>
                <c:pt idx="449">
                  <c:v>43371</c:v>
                </c:pt>
                <c:pt idx="450">
                  <c:v>43374</c:v>
                </c:pt>
                <c:pt idx="451">
                  <c:v>43375</c:v>
                </c:pt>
                <c:pt idx="452">
                  <c:v>43376</c:v>
                </c:pt>
                <c:pt idx="453">
                  <c:v>43377</c:v>
                </c:pt>
                <c:pt idx="454">
                  <c:v>43378</c:v>
                </c:pt>
                <c:pt idx="455">
                  <c:v>43381</c:v>
                </c:pt>
                <c:pt idx="456">
                  <c:v>43382</c:v>
                </c:pt>
                <c:pt idx="457">
                  <c:v>43383</c:v>
                </c:pt>
                <c:pt idx="458">
                  <c:v>43384</c:v>
                </c:pt>
                <c:pt idx="459">
                  <c:v>43385</c:v>
                </c:pt>
                <c:pt idx="460">
                  <c:v>43388</c:v>
                </c:pt>
                <c:pt idx="461">
                  <c:v>43389</c:v>
                </c:pt>
                <c:pt idx="462">
                  <c:v>43390</c:v>
                </c:pt>
                <c:pt idx="463">
                  <c:v>43391</c:v>
                </c:pt>
                <c:pt idx="464">
                  <c:v>43392</c:v>
                </c:pt>
                <c:pt idx="465">
                  <c:v>43395</c:v>
                </c:pt>
                <c:pt idx="466">
                  <c:v>43396</c:v>
                </c:pt>
                <c:pt idx="467">
                  <c:v>43397</c:v>
                </c:pt>
                <c:pt idx="468">
                  <c:v>43398</c:v>
                </c:pt>
                <c:pt idx="469">
                  <c:v>43399</c:v>
                </c:pt>
                <c:pt idx="470">
                  <c:v>43402</c:v>
                </c:pt>
                <c:pt idx="471">
                  <c:v>43403</c:v>
                </c:pt>
                <c:pt idx="472">
                  <c:v>43404</c:v>
                </c:pt>
                <c:pt idx="473">
                  <c:v>43405</c:v>
                </c:pt>
                <c:pt idx="474">
                  <c:v>43406</c:v>
                </c:pt>
                <c:pt idx="475">
                  <c:v>43409</c:v>
                </c:pt>
                <c:pt idx="476">
                  <c:v>43410</c:v>
                </c:pt>
                <c:pt idx="477">
                  <c:v>43411</c:v>
                </c:pt>
                <c:pt idx="478">
                  <c:v>43412</c:v>
                </c:pt>
                <c:pt idx="479">
                  <c:v>43413</c:v>
                </c:pt>
                <c:pt idx="480">
                  <c:v>43416</c:v>
                </c:pt>
                <c:pt idx="481">
                  <c:v>43417</c:v>
                </c:pt>
                <c:pt idx="482">
                  <c:v>43418</c:v>
                </c:pt>
                <c:pt idx="483">
                  <c:v>43419</c:v>
                </c:pt>
                <c:pt idx="484">
                  <c:v>43420</c:v>
                </c:pt>
                <c:pt idx="485">
                  <c:v>43423</c:v>
                </c:pt>
                <c:pt idx="486">
                  <c:v>43424</c:v>
                </c:pt>
                <c:pt idx="487">
                  <c:v>43425</c:v>
                </c:pt>
                <c:pt idx="488">
                  <c:v>43427</c:v>
                </c:pt>
                <c:pt idx="489">
                  <c:v>43430</c:v>
                </c:pt>
                <c:pt idx="490">
                  <c:v>43431</c:v>
                </c:pt>
                <c:pt idx="491">
                  <c:v>43432</c:v>
                </c:pt>
                <c:pt idx="492">
                  <c:v>43433</c:v>
                </c:pt>
                <c:pt idx="493">
                  <c:v>43434</c:v>
                </c:pt>
                <c:pt idx="494">
                  <c:v>43437</c:v>
                </c:pt>
                <c:pt idx="495">
                  <c:v>43438</c:v>
                </c:pt>
                <c:pt idx="496">
                  <c:v>43440</c:v>
                </c:pt>
                <c:pt idx="497">
                  <c:v>43441</c:v>
                </c:pt>
                <c:pt idx="498">
                  <c:v>43444</c:v>
                </c:pt>
                <c:pt idx="499">
                  <c:v>43445</c:v>
                </c:pt>
                <c:pt idx="500">
                  <c:v>43446</c:v>
                </c:pt>
                <c:pt idx="501">
                  <c:v>43447</c:v>
                </c:pt>
                <c:pt idx="502">
                  <c:v>43448</c:v>
                </c:pt>
                <c:pt idx="503">
                  <c:v>43451</c:v>
                </c:pt>
                <c:pt idx="504">
                  <c:v>43452</c:v>
                </c:pt>
                <c:pt idx="505">
                  <c:v>43453</c:v>
                </c:pt>
                <c:pt idx="506">
                  <c:v>43454</c:v>
                </c:pt>
                <c:pt idx="507">
                  <c:v>43455</c:v>
                </c:pt>
                <c:pt idx="508">
                  <c:v>43458</c:v>
                </c:pt>
                <c:pt idx="509">
                  <c:v>43460</c:v>
                </c:pt>
                <c:pt idx="510">
                  <c:v>43461</c:v>
                </c:pt>
                <c:pt idx="511">
                  <c:v>43462</c:v>
                </c:pt>
                <c:pt idx="512">
                  <c:v>43465</c:v>
                </c:pt>
                <c:pt idx="513">
                  <c:v>43467</c:v>
                </c:pt>
                <c:pt idx="514">
                  <c:v>43468</c:v>
                </c:pt>
                <c:pt idx="515">
                  <c:v>43469</c:v>
                </c:pt>
                <c:pt idx="516">
                  <c:v>43472</c:v>
                </c:pt>
                <c:pt idx="517">
                  <c:v>43473</c:v>
                </c:pt>
                <c:pt idx="518">
                  <c:v>43474</c:v>
                </c:pt>
                <c:pt idx="519">
                  <c:v>43475</c:v>
                </c:pt>
                <c:pt idx="520">
                  <c:v>43476</c:v>
                </c:pt>
                <c:pt idx="521">
                  <c:v>43479</c:v>
                </c:pt>
                <c:pt idx="522">
                  <c:v>43480</c:v>
                </c:pt>
                <c:pt idx="523">
                  <c:v>43481</c:v>
                </c:pt>
                <c:pt idx="524">
                  <c:v>43482</c:v>
                </c:pt>
                <c:pt idx="525">
                  <c:v>43483</c:v>
                </c:pt>
                <c:pt idx="526">
                  <c:v>43487</c:v>
                </c:pt>
                <c:pt idx="527">
                  <c:v>43488</c:v>
                </c:pt>
                <c:pt idx="528">
                  <c:v>43489</c:v>
                </c:pt>
                <c:pt idx="529">
                  <c:v>43490</c:v>
                </c:pt>
                <c:pt idx="530">
                  <c:v>43493</c:v>
                </c:pt>
                <c:pt idx="531">
                  <c:v>43494</c:v>
                </c:pt>
                <c:pt idx="532">
                  <c:v>43495</c:v>
                </c:pt>
                <c:pt idx="533">
                  <c:v>43496</c:v>
                </c:pt>
                <c:pt idx="534">
                  <c:v>43497</c:v>
                </c:pt>
                <c:pt idx="535">
                  <c:v>43500</c:v>
                </c:pt>
                <c:pt idx="536">
                  <c:v>43501</c:v>
                </c:pt>
                <c:pt idx="537">
                  <c:v>43502</c:v>
                </c:pt>
                <c:pt idx="538">
                  <c:v>43503</c:v>
                </c:pt>
                <c:pt idx="539">
                  <c:v>43504</c:v>
                </c:pt>
                <c:pt idx="540">
                  <c:v>43507</c:v>
                </c:pt>
                <c:pt idx="541">
                  <c:v>43508</c:v>
                </c:pt>
                <c:pt idx="542">
                  <c:v>43509</c:v>
                </c:pt>
                <c:pt idx="543">
                  <c:v>43510</c:v>
                </c:pt>
                <c:pt idx="544">
                  <c:v>43511</c:v>
                </c:pt>
                <c:pt idx="545">
                  <c:v>43515</c:v>
                </c:pt>
                <c:pt idx="546">
                  <c:v>43516</c:v>
                </c:pt>
                <c:pt idx="547">
                  <c:v>43517</c:v>
                </c:pt>
                <c:pt idx="548">
                  <c:v>43518</c:v>
                </c:pt>
                <c:pt idx="549">
                  <c:v>43521</c:v>
                </c:pt>
                <c:pt idx="550">
                  <c:v>43522</c:v>
                </c:pt>
                <c:pt idx="551">
                  <c:v>43523</c:v>
                </c:pt>
                <c:pt idx="552">
                  <c:v>43524</c:v>
                </c:pt>
                <c:pt idx="553">
                  <c:v>43525</c:v>
                </c:pt>
                <c:pt idx="554">
                  <c:v>43528</c:v>
                </c:pt>
                <c:pt idx="555">
                  <c:v>43529</c:v>
                </c:pt>
                <c:pt idx="556">
                  <c:v>43530</c:v>
                </c:pt>
                <c:pt idx="557">
                  <c:v>43531</c:v>
                </c:pt>
                <c:pt idx="558">
                  <c:v>43532</c:v>
                </c:pt>
                <c:pt idx="559">
                  <c:v>43535</c:v>
                </c:pt>
                <c:pt idx="560">
                  <c:v>43536</c:v>
                </c:pt>
                <c:pt idx="561">
                  <c:v>43537</c:v>
                </c:pt>
                <c:pt idx="562">
                  <c:v>43538</c:v>
                </c:pt>
                <c:pt idx="563">
                  <c:v>43539</c:v>
                </c:pt>
                <c:pt idx="564">
                  <c:v>43542</c:v>
                </c:pt>
                <c:pt idx="565">
                  <c:v>43543</c:v>
                </c:pt>
                <c:pt idx="566">
                  <c:v>43544</c:v>
                </c:pt>
                <c:pt idx="567">
                  <c:v>43545</c:v>
                </c:pt>
                <c:pt idx="568">
                  <c:v>43546</c:v>
                </c:pt>
                <c:pt idx="569">
                  <c:v>43549</c:v>
                </c:pt>
                <c:pt idx="570">
                  <c:v>43550</c:v>
                </c:pt>
                <c:pt idx="571">
                  <c:v>43551</c:v>
                </c:pt>
                <c:pt idx="572">
                  <c:v>43552</c:v>
                </c:pt>
                <c:pt idx="573">
                  <c:v>43553</c:v>
                </c:pt>
                <c:pt idx="574">
                  <c:v>43556</c:v>
                </c:pt>
                <c:pt idx="575">
                  <c:v>43557</c:v>
                </c:pt>
                <c:pt idx="576">
                  <c:v>43558</c:v>
                </c:pt>
                <c:pt idx="577">
                  <c:v>43559</c:v>
                </c:pt>
                <c:pt idx="578">
                  <c:v>43560</c:v>
                </c:pt>
                <c:pt idx="579">
                  <c:v>43563</c:v>
                </c:pt>
                <c:pt idx="580">
                  <c:v>43564</c:v>
                </c:pt>
                <c:pt idx="581">
                  <c:v>43565</c:v>
                </c:pt>
                <c:pt idx="582">
                  <c:v>43566</c:v>
                </c:pt>
                <c:pt idx="583">
                  <c:v>43567</c:v>
                </c:pt>
                <c:pt idx="584">
                  <c:v>43570</c:v>
                </c:pt>
                <c:pt idx="585">
                  <c:v>43571</c:v>
                </c:pt>
                <c:pt idx="586">
                  <c:v>43572</c:v>
                </c:pt>
                <c:pt idx="587">
                  <c:v>43573</c:v>
                </c:pt>
                <c:pt idx="588">
                  <c:v>43577</c:v>
                </c:pt>
                <c:pt idx="589">
                  <c:v>43578</c:v>
                </c:pt>
                <c:pt idx="590">
                  <c:v>43579</c:v>
                </c:pt>
                <c:pt idx="591">
                  <c:v>43580</c:v>
                </c:pt>
                <c:pt idx="592">
                  <c:v>43581</c:v>
                </c:pt>
                <c:pt idx="593">
                  <c:v>43584</c:v>
                </c:pt>
                <c:pt idx="594">
                  <c:v>43585</c:v>
                </c:pt>
                <c:pt idx="595">
                  <c:v>43586</c:v>
                </c:pt>
                <c:pt idx="596">
                  <c:v>43587</c:v>
                </c:pt>
                <c:pt idx="597">
                  <c:v>43588</c:v>
                </c:pt>
                <c:pt idx="598">
                  <c:v>43591</c:v>
                </c:pt>
                <c:pt idx="599">
                  <c:v>43592</c:v>
                </c:pt>
                <c:pt idx="600">
                  <c:v>43593</c:v>
                </c:pt>
                <c:pt idx="601">
                  <c:v>43594</c:v>
                </c:pt>
                <c:pt idx="602">
                  <c:v>43595</c:v>
                </c:pt>
                <c:pt idx="603">
                  <c:v>43598</c:v>
                </c:pt>
                <c:pt idx="604">
                  <c:v>43599</c:v>
                </c:pt>
                <c:pt idx="605">
                  <c:v>43600</c:v>
                </c:pt>
                <c:pt idx="606">
                  <c:v>43601</c:v>
                </c:pt>
                <c:pt idx="607">
                  <c:v>43602</c:v>
                </c:pt>
                <c:pt idx="608">
                  <c:v>43605</c:v>
                </c:pt>
                <c:pt idx="609">
                  <c:v>43606</c:v>
                </c:pt>
                <c:pt idx="610">
                  <c:v>43607</c:v>
                </c:pt>
                <c:pt idx="611">
                  <c:v>43608</c:v>
                </c:pt>
                <c:pt idx="612">
                  <c:v>43609</c:v>
                </c:pt>
                <c:pt idx="613">
                  <c:v>43613</c:v>
                </c:pt>
                <c:pt idx="614">
                  <c:v>43614</c:v>
                </c:pt>
                <c:pt idx="615">
                  <c:v>43615</c:v>
                </c:pt>
                <c:pt idx="616">
                  <c:v>43616</c:v>
                </c:pt>
                <c:pt idx="617">
                  <c:v>43619</c:v>
                </c:pt>
                <c:pt idx="618">
                  <c:v>43620</c:v>
                </c:pt>
                <c:pt idx="619">
                  <c:v>43621</c:v>
                </c:pt>
                <c:pt idx="620">
                  <c:v>43622</c:v>
                </c:pt>
                <c:pt idx="621">
                  <c:v>43623</c:v>
                </c:pt>
                <c:pt idx="622">
                  <c:v>43626</c:v>
                </c:pt>
                <c:pt idx="623">
                  <c:v>43627</c:v>
                </c:pt>
                <c:pt idx="624">
                  <c:v>43628</c:v>
                </c:pt>
                <c:pt idx="625">
                  <c:v>43629</c:v>
                </c:pt>
                <c:pt idx="626">
                  <c:v>43630</c:v>
                </c:pt>
                <c:pt idx="627">
                  <c:v>43633</c:v>
                </c:pt>
                <c:pt idx="628">
                  <c:v>43634</c:v>
                </c:pt>
                <c:pt idx="629">
                  <c:v>43635</c:v>
                </c:pt>
                <c:pt idx="630">
                  <c:v>43636</c:v>
                </c:pt>
                <c:pt idx="631">
                  <c:v>43637</c:v>
                </c:pt>
                <c:pt idx="632">
                  <c:v>43640</c:v>
                </c:pt>
                <c:pt idx="633">
                  <c:v>43641</c:v>
                </c:pt>
                <c:pt idx="634">
                  <c:v>43642</c:v>
                </c:pt>
                <c:pt idx="635">
                  <c:v>43643</c:v>
                </c:pt>
                <c:pt idx="636">
                  <c:v>43644</c:v>
                </c:pt>
                <c:pt idx="637">
                  <c:v>43647</c:v>
                </c:pt>
                <c:pt idx="638">
                  <c:v>43648</c:v>
                </c:pt>
                <c:pt idx="639">
                  <c:v>43649</c:v>
                </c:pt>
                <c:pt idx="640">
                  <c:v>43651</c:v>
                </c:pt>
                <c:pt idx="641">
                  <c:v>43654</c:v>
                </c:pt>
                <c:pt idx="642">
                  <c:v>43655</c:v>
                </c:pt>
                <c:pt idx="643">
                  <c:v>43656</c:v>
                </c:pt>
                <c:pt idx="644">
                  <c:v>43657</c:v>
                </c:pt>
                <c:pt idx="645">
                  <c:v>43658</c:v>
                </c:pt>
                <c:pt idx="646">
                  <c:v>43661</c:v>
                </c:pt>
                <c:pt idx="647">
                  <c:v>43662</c:v>
                </c:pt>
                <c:pt idx="648">
                  <c:v>43663</c:v>
                </c:pt>
                <c:pt idx="649">
                  <c:v>43664</c:v>
                </c:pt>
                <c:pt idx="650">
                  <c:v>43665</c:v>
                </c:pt>
                <c:pt idx="651">
                  <c:v>43668</c:v>
                </c:pt>
                <c:pt idx="652">
                  <c:v>43669</c:v>
                </c:pt>
                <c:pt idx="653">
                  <c:v>43670</c:v>
                </c:pt>
                <c:pt idx="654">
                  <c:v>43671</c:v>
                </c:pt>
                <c:pt idx="655">
                  <c:v>43672</c:v>
                </c:pt>
                <c:pt idx="656">
                  <c:v>43675</c:v>
                </c:pt>
                <c:pt idx="657">
                  <c:v>43676</c:v>
                </c:pt>
                <c:pt idx="658">
                  <c:v>43677</c:v>
                </c:pt>
                <c:pt idx="659">
                  <c:v>43678</c:v>
                </c:pt>
                <c:pt idx="660">
                  <c:v>43679</c:v>
                </c:pt>
                <c:pt idx="661">
                  <c:v>43682</c:v>
                </c:pt>
                <c:pt idx="662">
                  <c:v>43683</c:v>
                </c:pt>
                <c:pt idx="663">
                  <c:v>43684</c:v>
                </c:pt>
                <c:pt idx="664">
                  <c:v>43685</c:v>
                </c:pt>
                <c:pt idx="665">
                  <c:v>43686</c:v>
                </c:pt>
                <c:pt idx="666">
                  <c:v>43689</c:v>
                </c:pt>
                <c:pt idx="667">
                  <c:v>43690</c:v>
                </c:pt>
                <c:pt idx="668">
                  <c:v>43691</c:v>
                </c:pt>
                <c:pt idx="669">
                  <c:v>43692</c:v>
                </c:pt>
                <c:pt idx="670">
                  <c:v>43693</c:v>
                </c:pt>
                <c:pt idx="671">
                  <c:v>43696</c:v>
                </c:pt>
                <c:pt idx="672">
                  <c:v>43697</c:v>
                </c:pt>
                <c:pt idx="673">
                  <c:v>43698</c:v>
                </c:pt>
                <c:pt idx="674">
                  <c:v>43699</c:v>
                </c:pt>
                <c:pt idx="675">
                  <c:v>43700</c:v>
                </c:pt>
                <c:pt idx="676">
                  <c:v>43703</c:v>
                </c:pt>
                <c:pt idx="677">
                  <c:v>43704</c:v>
                </c:pt>
                <c:pt idx="678">
                  <c:v>43705</c:v>
                </c:pt>
                <c:pt idx="679">
                  <c:v>43706</c:v>
                </c:pt>
                <c:pt idx="680">
                  <c:v>43707</c:v>
                </c:pt>
                <c:pt idx="681">
                  <c:v>43711</c:v>
                </c:pt>
                <c:pt idx="682">
                  <c:v>43712</c:v>
                </c:pt>
                <c:pt idx="683">
                  <c:v>43713</c:v>
                </c:pt>
                <c:pt idx="684">
                  <c:v>43714</c:v>
                </c:pt>
                <c:pt idx="685">
                  <c:v>43717</c:v>
                </c:pt>
                <c:pt idx="686">
                  <c:v>43718</c:v>
                </c:pt>
                <c:pt idx="687">
                  <c:v>43719</c:v>
                </c:pt>
                <c:pt idx="688">
                  <c:v>43720</c:v>
                </c:pt>
                <c:pt idx="689">
                  <c:v>43721</c:v>
                </c:pt>
                <c:pt idx="690">
                  <c:v>43724</c:v>
                </c:pt>
                <c:pt idx="691">
                  <c:v>43725</c:v>
                </c:pt>
                <c:pt idx="692">
                  <c:v>43726</c:v>
                </c:pt>
                <c:pt idx="693">
                  <c:v>43727</c:v>
                </c:pt>
                <c:pt idx="694">
                  <c:v>43728</c:v>
                </c:pt>
                <c:pt idx="695">
                  <c:v>43731</c:v>
                </c:pt>
                <c:pt idx="696">
                  <c:v>43732</c:v>
                </c:pt>
                <c:pt idx="697">
                  <c:v>43733</c:v>
                </c:pt>
                <c:pt idx="698">
                  <c:v>43734</c:v>
                </c:pt>
                <c:pt idx="699">
                  <c:v>43735</c:v>
                </c:pt>
                <c:pt idx="700">
                  <c:v>43738</c:v>
                </c:pt>
                <c:pt idx="701">
                  <c:v>43739</c:v>
                </c:pt>
                <c:pt idx="702">
                  <c:v>43740</c:v>
                </c:pt>
                <c:pt idx="703">
                  <c:v>43741</c:v>
                </c:pt>
                <c:pt idx="704">
                  <c:v>43742</c:v>
                </c:pt>
                <c:pt idx="705">
                  <c:v>43745</c:v>
                </c:pt>
                <c:pt idx="706">
                  <c:v>43746</c:v>
                </c:pt>
                <c:pt idx="707">
                  <c:v>43747</c:v>
                </c:pt>
                <c:pt idx="708">
                  <c:v>43748</c:v>
                </c:pt>
                <c:pt idx="709">
                  <c:v>43749</c:v>
                </c:pt>
                <c:pt idx="710">
                  <c:v>43752</c:v>
                </c:pt>
                <c:pt idx="711">
                  <c:v>43753</c:v>
                </c:pt>
                <c:pt idx="712">
                  <c:v>43754</c:v>
                </c:pt>
                <c:pt idx="713">
                  <c:v>43755</c:v>
                </c:pt>
                <c:pt idx="714">
                  <c:v>43756</c:v>
                </c:pt>
                <c:pt idx="715">
                  <c:v>43759</c:v>
                </c:pt>
                <c:pt idx="716">
                  <c:v>43760</c:v>
                </c:pt>
                <c:pt idx="717">
                  <c:v>43761</c:v>
                </c:pt>
                <c:pt idx="718">
                  <c:v>43762</c:v>
                </c:pt>
                <c:pt idx="719">
                  <c:v>43763</c:v>
                </c:pt>
                <c:pt idx="720">
                  <c:v>43766</c:v>
                </c:pt>
                <c:pt idx="721">
                  <c:v>43767</c:v>
                </c:pt>
                <c:pt idx="722">
                  <c:v>43768</c:v>
                </c:pt>
                <c:pt idx="723">
                  <c:v>43769</c:v>
                </c:pt>
                <c:pt idx="724">
                  <c:v>43770</c:v>
                </c:pt>
                <c:pt idx="725">
                  <c:v>43773</c:v>
                </c:pt>
                <c:pt idx="726">
                  <c:v>43774</c:v>
                </c:pt>
                <c:pt idx="727">
                  <c:v>43775</c:v>
                </c:pt>
                <c:pt idx="728">
                  <c:v>43776</c:v>
                </c:pt>
                <c:pt idx="729">
                  <c:v>43777</c:v>
                </c:pt>
                <c:pt idx="730">
                  <c:v>43780</c:v>
                </c:pt>
                <c:pt idx="731">
                  <c:v>43781</c:v>
                </c:pt>
                <c:pt idx="732">
                  <c:v>43782</c:v>
                </c:pt>
                <c:pt idx="733">
                  <c:v>43783</c:v>
                </c:pt>
                <c:pt idx="734">
                  <c:v>43784</c:v>
                </c:pt>
                <c:pt idx="735">
                  <c:v>43787</c:v>
                </c:pt>
                <c:pt idx="736">
                  <c:v>43788</c:v>
                </c:pt>
                <c:pt idx="737">
                  <c:v>43789</c:v>
                </c:pt>
                <c:pt idx="738">
                  <c:v>43790</c:v>
                </c:pt>
                <c:pt idx="739">
                  <c:v>43791</c:v>
                </c:pt>
                <c:pt idx="740">
                  <c:v>43794</c:v>
                </c:pt>
                <c:pt idx="741">
                  <c:v>43795</c:v>
                </c:pt>
                <c:pt idx="742">
                  <c:v>43796</c:v>
                </c:pt>
                <c:pt idx="743">
                  <c:v>43798</c:v>
                </c:pt>
                <c:pt idx="744">
                  <c:v>43801</c:v>
                </c:pt>
                <c:pt idx="745">
                  <c:v>43802</c:v>
                </c:pt>
                <c:pt idx="746">
                  <c:v>43803</c:v>
                </c:pt>
                <c:pt idx="747">
                  <c:v>43804</c:v>
                </c:pt>
                <c:pt idx="748">
                  <c:v>43805</c:v>
                </c:pt>
                <c:pt idx="749">
                  <c:v>43808</c:v>
                </c:pt>
                <c:pt idx="750">
                  <c:v>43809</c:v>
                </c:pt>
                <c:pt idx="751">
                  <c:v>43810</c:v>
                </c:pt>
                <c:pt idx="752">
                  <c:v>43811</c:v>
                </c:pt>
                <c:pt idx="753">
                  <c:v>43812</c:v>
                </c:pt>
                <c:pt idx="754">
                  <c:v>43815</c:v>
                </c:pt>
                <c:pt idx="755">
                  <c:v>43816</c:v>
                </c:pt>
                <c:pt idx="756">
                  <c:v>43817</c:v>
                </c:pt>
                <c:pt idx="757">
                  <c:v>43818</c:v>
                </c:pt>
                <c:pt idx="758">
                  <c:v>43819</c:v>
                </c:pt>
                <c:pt idx="759">
                  <c:v>43822</c:v>
                </c:pt>
                <c:pt idx="760">
                  <c:v>43823</c:v>
                </c:pt>
                <c:pt idx="761">
                  <c:v>43825</c:v>
                </c:pt>
                <c:pt idx="762">
                  <c:v>43826</c:v>
                </c:pt>
                <c:pt idx="763">
                  <c:v>43829</c:v>
                </c:pt>
                <c:pt idx="764">
                  <c:v>43830</c:v>
                </c:pt>
                <c:pt idx="765">
                  <c:v>43832</c:v>
                </c:pt>
                <c:pt idx="766">
                  <c:v>43833</c:v>
                </c:pt>
                <c:pt idx="767">
                  <c:v>43836</c:v>
                </c:pt>
                <c:pt idx="768">
                  <c:v>43837</c:v>
                </c:pt>
                <c:pt idx="769">
                  <c:v>43838</c:v>
                </c:pt>
                <c:pt idx="770">
                  <c:v>43839</c:v>
                </c:pt>
                <c:pt idx="771">
                  <c:v>43840</c:v>
                </c:pt>
                <c:pt idx="772">
                  <c:v>43843</c:v>
                </c:pt>
                <c:pt idx="773">
                  <c:v>43844</c:v>
                </c:pt>
                <c:pt idx="774">
                  <c:v>43845</c:v>
                </c:pt>
                <c:pt idx="775">
                  <c:v>43846</c:v>
                </c:pt>
                <c:pt idx="776">
                  <c:v>43847</c:v>
                </c:pt>
                <c:pt idx="777">
                  <c:v>43851</c:v>
                </c:pt>
                <c:pt idx="778">
                  <c:v>43852</c:v>
                </c:pt>
                <c:pt idx="779">
                  <c:v>43853</c:v>
                </c:pt>
                <c:pt idx="780">
                  <c:v>43854</c:v>
                </c:pt>
                <c:pt idx="781">
                  <c:v>43857</c:v>
                </c:pt>
                <c:pt idx="782">
                  <c:v>43858</c:v>
                </c:pt>
                <c:pt idx="783">
                  <c:v>43859</c:v>
                </c:pt>
                <c:pt idx="784">
                  <c:v>43860</c:v>
                </c:pt>
                <c:pt idx="785">
                  <c:v>43861</c:v>
                </c:pt>
                <c:pt idx="786">
                  <c:v>43864</c:v>
                </c:pt>
                <c:pt idx="787">
                  <c:v>43865</c:v>
                </c:pt>
                <c:pt idx="788">
                  <c:v>43866</c:v>
                </c:pt>
                <c:pt idx="789">
                  <c:v>43867</c:v>
                </c:pt>
                <c:pt idx="790">
                  <c:v>43868</c:v>
                </c:pt>
                <c:pt idx="791">
                  <c:v>43871</c:v>
                </c:pt>
                <c:pt idx="792">
                  <c:v>43872</c:v>
                </c:pt>
                <c:pt idx="793">
                  <c:v>43873</c:v>
                </c:pt>
                <c:pt idx="794">
                  <c:v>43874</c:v>
                </c:pt>
                <c:pt idx="795">
                  <c:v>43875</c:v>
                </c:pt>
                <c:pt idx="796">
                  <c:v>43879</c:v>
                </c:pt>
                <c:pt idx="797">
                  <c:v>43880</c:v>
                </c:pt>
                <c:pt idx="798">
                  <c:v>43881</c:v>
                </c:pt>
                <c:pt idx="799">
                  <c:v>43882</c:v>
                </c:pt>
                <c:pt idx="800">
                  <c:v>43885</c:v>
                </c:pt>
                <c:pt idx="801">
                  <c:v>43886</c:v>
                </c:pt>
                <c:pt idx="802">
                  <c:v>43887</c:v>
                </c:pt>
                <c:pt idx="803">
                  <c:v>43888</c:v>
                </c:pt>
                <c:pt idx="804">
                  <c:v>43889</c:v>
                </c:pt>
                <c:pt idx="805">
                  <c:v>43892</c:v>
                </c:pt>
                <c:pt idx="806">
                  <c:v>43893</c:v>
                </c:pt>
                <c:pt idx="807">
                  <c:v>43894</c:v>
                </c:pt>
                <c:pt idx="808">
                  <c:v>43895</c:v>
                </c:pt>
                <c:pt idx="809">
                  <c:v>43896</c:v>
                </c:pt>
                <c:pt idx="810">
                  <c:v>43899</c:v>
                </c:pt>
                <c:pt idx="811">
                  <c:v>43900</c:v>
                </c:pt>
                <c:pt idx="812">
                  <c:v>43901</c:v>
                </c:pt>
                <c:pt idx="813">
                  <c:v>43902</c:v>
                </c:pt>
                <c:pt idx="814">
                  <c:v>43903</c:v>
                </c:pt>
                <c:pt idx="815">
                  <c:v>43906</c:v>
                </c:pt>
                <c:pt idx="816">
                  <c:v>43907</c:v>
                </c:pt>
                <c:pt idx="817">
                  <c:v>43908</c:v>
                </c:pt>
                <c:pt idx="818">
                  <c:v>43909</c:v>
                </c:pt>
                <c:pt idx="819">
                  <c:v>43910</c:v>
                </c:pt>
                <c:pt idx="820">
                  <c:v>43913</c:v>
                </c:pt>
                <c:pt idx="821">
                  <c:v>43914</c:v>
                </c:pt>
                <c:pt idx="822">
                  <c:v>43915</c:v>
                </c:pt>
                <c:pt idx="823">
                  <c:v>43916</c:v>
                </c:pt>
                <c:pt idx="824">
                  <c:v>43917</c:v>
                </c:pt>
                <c:pt idx="825">
                  <c:v>43920</c:v>
                </c:pt>
                <c:pt idx="826">
                  <c:v>43921</c:v>
                </c:pt>
                <c:pt idx="827">
                  <c:v>43922</c:v>
                </c:pt>
                <c:pt idx="828">
                  <c:v>43923</c:v>
                </c:pt>
                <c:pt idx="829">
                  <c:v>43924</c:v>
                </c:pt>
                <c:pt idx="830">
                  <c:v>43927</c:v>
                </c:pt>
                <c:pt idx="831">
                  <c:v>43928</c:v>
                </c:pt>
                <c:pt idx="832">
                  <c:v>43929</c:v>
                </c:pt>
                <c:pt idx="833">
                  <c:v>43930</c:v>
                </c:pt>
                <c:pt idx="834">
                  <c:v>43934</c:v>
                </c:pt>
                <c:pt idx="835">
                  <c:v>43935</c:v>
                </c:pt>
                <c:pt idx="836">
                  <c:v>43936</c:v>
                </c:pt>
                <c:pt idx="837">
                  <c:v>43937</c:v>
                </c:pt>
                <c:pt idx="838">
                  <c:v>43938</c:v>
                </c:pt>
                <c:pt idx="839">
                  <c:v>43941</c:v>
                </c:pt>
                <c:pt idx="840">
                  <c:v>43942</c:v>
                </c:pt>
                <c:pt idx="841">
                  <c:v>43943</c:v>
                </c:pt>
                <c:pt idx="842">
                  <c:v>43944</c:v>
                </c:pt>
                <c:pt idx="843">
                  <c:v>43945</c:v>
                </c:pt>
                <c:pt idx="844">
                  <c:v>43948</c:v>
                </c:pt>
                <c:pt idx="845">
                  <c:v>43949</c:v>
                </c:pt>
                <c:pt idx="846">
                  <c:v>43950</c:v>
                </c:pt>
                <c:pt idx="847">
                  <c:v>43951</c:v>
                </c:pt>
                <c:pt idx="848">
                  <c:v>43952</c:v>
                </c:pt>
                <c:pt idx="849">
                  <c:v>43955</c:v>
                </c:pt>
                <c:pt idx="850">
                  <c:v>43956</c:v>
                </c:pt>
                <c:pt idx="851">
                  <c:v>43957</c:v>
                </c:pt>
                <c:pt idx="852">
                  <c:v>43958</c:v>
                </c:pt>
                <c:pt idx="853">
                  <c:v>43959</c:v>
                </c:pt>
                <c:pt idx="854">
                  <c:v>43962</c:v>
                </c:pt>
                <c:pt idx="855">
                  <c:v>43963</c:v>
                </c:pt>
                <c:pt idx="856">
                  <c:v>43964</c:v>
                </c:pt>
                <c:pt idx="857">
                  <c:v>43965</c:v>
                </c:pt>
                <c:pt idx="858">
                  <c:v>43966</c:v>
                </c:pt>
                <c:pt idx="859">
                  <c:v>43969</c:v>
                </c:pt>
                <c:pt idx="860">
                  <c:v>43970</c:v>
                </c:pt>
                <c:pt idx="861">
                  <c:v>43971</c:v>
                </c:pt>
                <c:pt idx="862">
                  <c:v>43972</c:v>
                </c:pt>
                <c:pt idx="863">
                  <c:v>43973</c:v>
                </c:pt>
                <c:pt idx="864">
                  <c:v>43977</c:v>
                </c:pt>
                <c:pt idx="865">
                  <c:v>43978</c:v>
                </c:pt>
                <c:pt idx="866">
                  <c:v>43979</c:v>
                </c:pt>
                <c:pt idx="867">
                  <c:v>43980</c:v>
                </c:pt>
                <c:pt idx="868">
                  <c:v>43983</c:v>
                </c:pt>
                <c:pt idx="869">
                  <c:v>43984</c:v>
                </c:pt>
                <c:pt idx="870">
                  <c:v>43985</c:v>
                </c:pt>
                <c:pt idx="871">
                  <c:v>43986</c:v>
                </c:pt>
                <c:pt idx="872">
                  <c:v>43987</c:v>
                </c:pt>
                <c:pt idx="873">
                  <c:v>43990</c:v>
                </c:pt>
                <c:pt idx="874">
                  <c:v>43991</c:v>
                </c:pt>
                <c:pt idx="875">
                  <c:v>43992</c:v>
                </c:pt>
                <c:pt idx="876">
                  <c:v>43993</c:v>
                </c:pt>
                <c:pt idx="877">
                  <c:v>43994</c:v>
                </c:pt>
                <c:pt idx="878">
                  <c:v>43997</c:v>
                </c:pt>
                <c:pt idx="879">
                  <c:v>43998</c:v>
                </c:pt>
                <c:pt idx="880">
                  <c:v>43999</c:v>
                </c:pt>
                <c:pt idx="881">
                  <c:v>44000</c:v>
                </c:pt>
                <c:pt idx="882">
                  <c:v>44001</c:v>
                </c:pt>
                <c:pt idx="883">
                  <c:v>44004</c:v>
                </c:pt>
                <c:pt idx="884">
                  <c:v>44005</c:v>
                </c:pt>
                <c:pt idx="885">
                  <c:v>44006</c:v>
                </c:pt>
                <c:pt idx="886">
                  <c:v>44007</c:v>
                </c:pt>
                <c:pt idx="887">
                  <c:v>44008</c:v>
                </c:pt>
                <c:pt idx="888">
                  <c:v>44011</c:v>
                </c:pt>
                <c:pt idx="889">
                  <c:v>44012</c:v>
                </c:pt>
                <c:pt idx="890">
                  <c:v>44013</c:v>
                </c:pt>
                <c:pt idx="891">
                  <c:v>44014</c:v>
                </c:pt>
                <c:pt idx="892">
                  <c:v>44018</c:v>
                </c:pt>
                <c:pt idx="893">
                  <c:v>44019</c:v>
                </c:pt>
                <c:pt idx="894">
                  <c:v>44020</c:v>
                </c:pt>
                <c:pt idx="895">
                  <c:v>44021</c:v>
                </c:pt>
                <c:pt idx="896">
                  <c:v>44022</c:v>
                </c:pt>
                <c:pt idx="897">
                  <c:v>44025</c:v>
                </c:pt>
                <c:pt idx="898">
                  <c:v>44026</c:v>
                </c:pt>
                <c:pt idx="899">
                  <c:v>44027</c:v>
                </c:pt>
                <c:pt idx="900">
                  <c:v>44028</c:v>
                </c:pt>
                <c:pt idx="901">
                  <c:v>44029</c:v>
                </c:pt>
                <c:pt idx="902">
                  <c:v>44032</c:v>
                </c:pt>
                <c:pt idx="903">
                  <c:v>44033</c:v>
                </c:pt>
                <c:pt idx="904">
                  <c:v>44034</c:v>
                </c:pt>
                <c:pt idx="905">
                  <c:v>44035</c:v>
                </c:pt>
                <c:pt idx="906">
                  <c:v>44036</c:v>
                </c:pt>
                <c:pt idx="907">
                  <c:v>44039</c:v>
                </c:pt>
                <c:pt idx="908">
                  <c:v>44040</c:v>
                </c:pt>
                <c:pt idx="909">
                  <c:v>44041</c:v>
                </c:pt>
                <c:pt idx="910">
                  <c:v>44042</c:v>
                </c:pt>
                <c:pt idx="911">
                  <c:v>44043</c:v>
                </c:pt>
                <c:pt idx="912">
                  <c:v>44046</c:v>
                </c:pt>
                <c:pt idx="913">
                  <c:v>44047</c:v>
                </c:pt>
                <c:pt idx="914">
                  <c:v>44048</c:v>
                </c:pt>
                <c:pt idx="915">
                  <c:v>44049</c:v>
                </c:pt>
                <c:pt idx="916">
                  <c:v>44050</c:v>
                </c:pt>
                <c:pt idx="917">
                  <c:v>44053</c:v>
                </c:pt>
                <c:pt idx="918">
                  <c:v>44054</c:v>
                </c:pt>
                <c:pt idx="919">
                  <c:v>44055</c:v>
                </c:pt>
                <c:pt idx="920">
                  <c:v>44056</c:v>
                </c:pt>
                <c:pt idx="921">
                  <c:v>44057</c:v>
                </c:pt>
                <c:pt idx="922">
                  <c:v>44060</c:v>
                </c:pt>
                <c:pt idx="923">
                  <c:v>44061</c:v>
                </c:pt>
                <c:pt idx="924">
                  <c:v>44062</c:v>
                </c:pt>
                <c:pt idx="925">
                  <c:v>44063</c:v>
                </c:pt>
                <c:pt idx="926">
                  <c:v>44064</c:v>
                </c:pt>
                <c:pt idx="927">
                  <c:v>44067</c:v>
                </c:pt>
                <c:pt idx="928">
                  <c:v>44068</c:v>
                </c:pt>
                <c:pt idx="929">
                  <c:v>44069</c:v>
                </c:pt>
                <c:pt idx="930">
                  <c:v>44070</c:v>
                </c:pt>
                <c:pt idx="931">
                  <c:v>44071</c:v>
                </c:pt>
                <c:pt idx="932">
                  <c:v>44074</c:v>
                </c:pt>
                <c:pt idx="933">
                  <c:v>44075</c:v>
                </c:pt>
                <c:pt idx="934">
                  <c:v>44076</c:v>
                </c:pt>
                <c:pt idx="935">
                  <c:v>44077</c:v>
                </c:pt>
                <c:pt idx="936">
                  <c:v>44078</c:v>
                </c:pt>
                <c:pt idx="937">
                  <c:v>44082</c:v>
                </c:pt>
                <c:pt idx="938">
                  <c:v>44083</c:v>
                </c:pt>
                <c:pt idx="939">
                  <c:v>44084</c:v>
                </c:pt>
                <c:pt idx="940">
                  <c:v>44085</c:v>
                </c:pt>
                <c:pt idx="941">
                  <c:v>44088</c:v>
                </c:pt>
                <c:pt idx="942">
                  <c:v>44089</c:v>
                </c:pt>
                <c:pt idx="943">
                  <c:v>44090</c:v>
                </c:pt>
                <c:pt idx="944">
                  <c:v>44091</c:v>
                </c:pt>
                <c:pt idx="945">
                  <c:v>44092</c:v>
                </c:pt>
                <c:pt idx="946">
                  <c:v>44095</c:v>
                </c:pt>
                <c:pt idx="947">
                  <c:v>44096</c:v>
                </c:pt>
                <c:pt idx="948">
                  <c:v>44097</c:v>
                </c:pt>
                <c:pt idx="949">
                  <c:v>44098</c:v>
                </c:pt>
                <c:pt idx="950">
                  <c:v>44099</c:v>
                </c:pt>
                <c:pt idx="951">
                  <c:v>44102</c:v>
                </c:pt>
                <c:pt idx="952">
                  <c:v>44103</c:v>
                </c:pt>
                <c:pt idx="953">
                  <c:v>44104</c:v>
                </c:pt>
                <c:pt idx="954">
                  <c:v>44105</c:v>
                </c:pt>
                <c:pt idx="955">
                  <c:v>44106</c:v>
                </c:pt>
                <c:pt idx="956">
                  <c:v>44109</c:v>
                </c:pt>
                <c:pt idx="957">
                  <c:v>44110</c:v>
                </c:pt>
                <c:pt idx="958">
                  <c:v>44111</c:v>
                </c:pt>
                <c:pt idx="959">
                  <c:v>44112</c:v>
                </c:pt>
                <c:pt idx="960">
                  <c:v>44113</c:v>
                </c:pt>
                <c:pt idx="961">
                  <c:v>44116</c:v>
                </c:pt>
                <c:pt idx="962">
                  <c:v>44117</c:v>
                </c:pt>
                <c:pt idx="963">
                  <c:v>44118</c:v>
                </c:pt>
                <c:pt idx="964">
                  <c:v>44119</c:v>
                </c:pt>
                <c:pt idx="965">
                  <c:v>44120</c:v>
                </c:pt>
                <c:pt idx="966">
                  <c:v>44123</c:v>
                </c:pt>
                <c:pt idx="967">
                  <c:v>44124</c:v>
                </c:pt>
                <c:pt idx="968">
                  <c:v>44125</c:v>
                </c:pt>
                <c:pt idx="969">
                  <c:v>44126</c:v>
                </c:pt>
                <c:pt idx="970">
                  <c:v>44127</c:v>
                </c:pt>
                <c:pt idx="971">
                  <c:v>44130</c:v>
                </c:pt>
                <c:pt idx="972">
                  <c:v>44131</c:v>
                </c:pt>
                <c:pt idx="973">
                  <c:v>44132</c:v>
                </c:pt>
                <c:pt idx="974">
                  <c:v>44133</c:v>
                </c:pt>
                <c:pt idx="975">
                  <c:v>44134</c:v>
                </c:pt>
                <c:pt idx="976">
                  <c:v>44137</c:v>
                </c:pt>
                <c:pt idx="977">
                  <c:v>44138</c:v>
                </c:pt>
                <c:pt idx="978">
                  <c:v>44139</c:v>
                </c:pt>
                <c:pt idx="979">
                  <c:v>44140</c:v>
                </c:pt>
                <c:pt idx="980">
                  <c:v>44141</c:v>
                </c:pt>
                <c:pt idx="981">
                  <c:v>44144</c:v>
                </c:pt>
                <c:pt idx="982">
                  <c:v>44145</c:v>
                </c:pt>
                <c:pt idx="983">
                  <c:v>44146</c:v>
                </c:pt>
                <c:pt idx="984">
                  <c:v>44147</c:v>
                </c:pt>
                <c:pt idx="985">
                  <c:v>44148</c:v>
                </c:pt>
                <c:pt idx="986">
                  <c:v>44151</c:v>
                </c:pt>
                <c:pt idx="987">
                  <c:v>44152</c:v>
                </c:pt>
                <c:pt idx="988">
                  <c:v>44153</c:v>
                </c:pt>
                <c:pt idx="989">
                  <c:v>44154</c:v>
                </c:pt>
                <c:pt idx="990">
                  <c:v>44155</c:v>
                </c:pt>
                <c:pt idx="991">
                  <c:v>44158</c:v>
                </c:pt>
                <c:pt idx="992">
                  <c:v>44159</c:v>
                </c:pt>
                <c:pt idx="993">
                  <c:v>44160</c:v>
                </c:pt>
                <c:pt idx="994">
                  <c:v>44162</c:v>
                </c:pt>
                <c:pt idx="995">
                  <c:v>44165</c:v>
                </c:pt>
                <c:pt idx="996">
                  <c:v>44166</c:v>
                </c:pt>
                <c:pt idx="997">
                  <c:v>44167</c:v>
                </c:pt>
                <c:pt idx="998">
                  <c:v>44168</c:v>
                </c:pt>
                <c:pt idx="999">
                  <c:v>44169</c:v>
                </c:pt>
                <c:pt idx="1000">
                  <c:v>44172</c:v>
                </c:pt>
                <c:pt idx="1001">
                  <c:v>44173</c:v>
                </c:pt>
                <c:pt idx="1002">
                  <c:v>44174</c:v>
                </c:pt>
                <c:pt idx="1003">
                  <c:v>44175</c:v>
                </c:pt>
                <c:pt idx="1004">
                  <c:v>44176</c:v>
                </c:pt>
                <c:pt idx="1005">
                  <c:v>44179</c:v>
                </c:pt>
                <c:pt idx="1006">
                  <c:v>44180</c:v>
                </c:pt>
                <c:pt idx="1007">
                  <c:v>44181</c:v>
                </c:pt>
                <c:pt idx="1008">
                  <c:v>44182</c:v>
                </c:pt>
                <c:pt idx="1009">
                  <c:v>44183</c:v>
                </c:pt>
                <c:pt idx="1010">
                  <c:v>44186</c:v>
                </c:pt>
                <c:pt idx="1011">
                  <c:v>44187</c:v>
                </c:pt>
                <c:pt idx="1012">
                  <c:v>44188</c:v>
                </c:pt>
                <c:pt idx="1013">
                  <c:v>44189</c:v>
                </c:pt>
                <c:pt idx="1014">
                  <c:v>44193</c:v>
                </c:pt>
                <c:pt idx="1015">
                  <c:v>44194</c:v>
                </c:pt>
                <c:pt idx="1016">
                  <c:v>44195</c:v>
                </c:pt>
                <c:pt idx="1017">
                  <c:v>44196</c:v>
                </c:pt>
                <c:pt idx="1018">
                  <c:v>44200</c:v>
                </c:pt>
                <c:pt idx="1019">
                  <c:v>44201</c:v>
                </c:pt>
                <c:pt idx="1020">
                  <c:v>44202</c:v>
                </c:pt>
                <c:pt idx="1021">
                  <c:v>44203</c:v>
                </c:pt>
                <c:pt idx="1022">
                  <c:v>44204</c:v>
                </c:pt>
                <c:pt idx="1023">
                  <c:v>44207</c:v>
                </c:pt>
                <c:pt idx="1024">
                  <c:v>44208</c:v>
                </c:pt>
                <c:pt idx="1025">
                  <c:v>44209</c:v>
                </c:pt>
                <c:pt idx="1026">
                  <c:v>44210</c:v>
                </c:pt>
                <c:pt idx="1027">
                  <c:v>44211</c:v>
                </c:pt>
                <c:pt idx="1028">
                  <c:v>44215</c:v>
                </c:pt>
                <c:pt idx="1029">
                  <c:v>44216</c:v>
                </c:pt>
                <c:pt idx="1030">
                  <c:v>44217</c:v>
                </c:pt>
                <c:pt idx="1031">
                  <c:v>44218</c:v>
                </c:pt>
                <c:pt idx="1032">
                  <c:v>44221</c:v>
                </c:pt>
                <c:pt idx="1033">
                  <c:v>44222</c:v>
                </c:pt>
                <c:pt idx="1034">
                  <c:v>44223</c:v>
                </c:pt>
                <c:pt idx="1035">
                  <c:v>44224</c:v>
                </c:pt>
                <c:pt idx="1036">
                  <c:v>44225</c:v>
                </c:pt>
                <c:pt idx="1037">
                  <c:v>44228</c:v>
                </c:pt>
                <c:pt idx="1038">
                  <c:v>44229</c:v>
                </c:pt>
                <c:pt idx="1039">
                  <c:v>44230</c:v>
                </c:pt>
                <c:pt idx="1040">
                  <c:v>44231</c:v>
                </c:pt>
                <c:pt idx="1041">
                  <c:v>44232</c:v>
                </c:pt>
                <c:pt idx="1042">
                  <c:v>44235</c:v>
                </c:pt>
                <c:pt idx="1043">
                  <c:v>44236</c:v>
                </c:pt>
                <c:pt idx="1044">
                  <c:v>44237</c:v>
                </c:pt>
                <c:pt idx="1045">
                  <c:v>44238</c:v>
                </c:pt>
                <c:pt idx="1046">
                  <c:v>44239</c:v>
                </c:pt>
                <c:pt idx="1047">
                  <c:v>44243</c:v>
                </c:pt>
                <c:pt idx="1048">
                  <c:v>44244</c:v>
                </c:pt>
                <c:pt idx="1049">
                  <c:v>44245</c:v>
                </c:pt>
                <c:pt idx="1050">
                  <c:v>44246</c:v>
                </c:pt>
                <c:pt idx="1051">
                  <c:v>44249</c:v>
                </c:pt>
                <c:pt idx="1052">
                  <c:v>44250</c:v>
                </c:pt>
                <c:pt idx="1053">
                  <c:v>44251</c:v>
                </c:pt>
                <c:pt idx="1054">
                  <c:v>44252</c:v>
                </c:pt>
                <c:pt idx="1055">
                  <c:v>44253</c:v>
                </c:pt>
                <c:pt idx="1056">
                  <c:v>44256</c:v>
                </c:pt>
                <c:pt idx="1057">
                  <c:v>44257</c:v>
                </c:pt>
                <c:pt idx="1058">
                  <c:v>44258</c:v>
                </c:pt>
                <c:pt idx="1059">
                  <c:v>44259</c:v>
                </c:pt>
                <c:pt idx="1060">
                  <c:v>44260</c:v>
                </c:pt>
                <c:pt idx="1061">
                  <c:v>44263</c:v>
                </c:pt>
                <c:pt idx="1062">
                  <c:v>44264</c:v>
                </c:pt>
                <c:pt idx="1063">
                  <c:v>44265</c:v>
                </c:pt>
                <c:pt idx="1064">
                  <c:v>44266</c:v>
                </c:pt>
                <c:pt idx="1065">
                  <c:v>44267</c:v>
                </c:pt>
                <c:pt idx="1066">
                  <c:v>44270</c:v>
                </c:pt>
                <c:pt idx="1067">
                  <c:v>44271</c:v>
                </c:pt>
                <c:pt idx="1068">
                  <c:v>44272</c:v>
                </c:pt>
                <c:pt idx="1069">
                  <c:v>44273</c:v>
                </c:pt>
                <c:pt idx="1070">
                  <c:v>44274</c:v>
                </c:pt>
                <c:pt idx="1071">
                  <c:v>44277</c:v>
                </c:pt>
                <c:pt idx="1072">
                  <c:v>44278</c:v>
                </c:pt>
                <c:pt idx="1073">
                  <c:v>44279</c:v>
                </c:pt>
                <c:pt idx="1074">
                  <c:v>44280</c:v>
                </c:pt>
                <c:pt idx="1075">
                  <c:v>44281</c:v>
                </c:pt>
                <c:pt idx="1076">
                  <c:v>44284</c:v>
                </c:pt>
                <c:pt idx="1077">
                  <c:v>44285</c:v>
                </c:pt>
                <c:pt idx="1078">
                  <c:v>44286</c:v>
                </c:pt>
                <c:pt idx="1079">
                  <c:v>44287</c:v>
                </c:pt>
                <c:pt idx="1080">
                  <c:v>44291</c:v>
                </c:pt>
                <c:pt idx="1081">
                  <c:v>44292</c:v>
                </c:pt>
                <c:pt idx="1082">
                  <c:v>44293</c:v>
                </c:pt>
                <c:pt idx="1083">
                  <c:v>44294</c:v>
                </c:pt>
                <c:pt idx="1084">
                  <c:v>44295</c:v>
                </c:pt>
                <c:pt idx="1085">
                  <c:v>44298</c:v>
                </c:pt>
                <c:pt idx="1086">
                  <c:v>44299</c:v>
                </c:pt>
                <c:pt idx="1087">
                  <c:v>44300</c:v>
                </c:pt>
                <c:pt idx="1088">
                  <c:v>44301</c:v>
                </c:pt>
                <c:pt idx="1089">
                  <c:v>44302</c:v>
                </c:pt>
                <c:pt idx="1090">
                  <c:v>44305</c:v>
                </c:pt>
                <c:pt idx="1091">
                  <c:v>44306</c:v>
                </c:pt>
                <c:pt idx="1092">
                  <c:v>44307</c:v>
                </c:pt>
                <c:pt idx="1093">
                  <c:v>44308</c:v>
                </c:pt>
                <c:pt idx="1094">
                  <c:v>44309</c:v>
                </c:pt>
              </c:numCache>
            </c:numRef>
          </c:cat>
          <c:val>
            <c:numRef>
              <c:f>Price_Dividend!$C$2:$C$1096</c:f>
              <c:numCache>
                <c:formatCode>General</c:formatCode>
                <c:ptCount val="1095"/>
                <c:pt idx="0">
                  <c:v>168.02</c:v>
                </c:pt>
                <c:pt idx="1">
                  <c:v>166.73</c:v>
                </c:pt>
                <c:pt idx="2">
                  <c:v>166.68</c:v>
                </c:pt>
                <c:pt idx="3">
                  <c:v>167.6</c:v>
                </c:pt>
                <c:pt idx="4">
                  <c:v>167.33</c:v>
                </c:pt>
                <c:pt idx="5">
                  <c:v>167.06</c:v>
                </c:pt>
                <c:pt idx="6">
                  <c:v>166.71</c:v>
                </c:pt>
                <c:pt idx="7">
                  <c:v>167.14</c:v>
                </c:pt>
                <c:pt idx="8">
                  <c:v>166.19</c:v>
                </c:pt>
                <c:pt idx="9">
                  <c:v>166.6</c:v>
                </c:pt>
                <c:pt idx="10">
                  <c:v>165.99</c:v>
                </c:pt>
                <c:pt idx="11">
                  <c:v>167.19</c:v>
                </c:pt>
                <c:pt idx="12">
                  <c:v>169.26</c:v>
                </c:pt>
                <c:pt idx="13">
                  <c:v>168.7</c:v>
                </c:pt>
                <c:pt idx="14">
                  <c:v>169.53</c:v>
                </c:pt>
                <c:pt idx="15">
                  <c:v>167.65</c:v>
                </c:pt>
                <c:pt idx="16">
                  <c:v>165.52</c:v>
                </c:pt>
                <c:pt idx="17">
                  <c:v>167.75</c:v>
                </c:pt>
                <c:pt idx="18">
                  <c:v>167.95</c:v>
                </c:pt>
                <c:pt idx="19">
                  <c:v>167.34</c:v>
                </c:pt>
                <c:pt idx="20">
                  <c:v>167.89</c:v>
                </c:pt>
                <c:pt idx="21">
                  <c:v>166.8</c:v>
                </c:pt>
                <c:pt idx="22">
                  <c:v>166.81</c:v>
                </c:pt>
                <c:pt idx="23">
                  <c:v>170.55</c:v>
                </c:pt>
                <c:pt idx="24">
                  <c:v>171.03</c:v>
                </c:pt>
                <c:pt idx="25">
                  <c:v>175.9</c:v>
                </c:pt>
                <c:pt idx="26">
                  <c:v>178.29</c:v>
                </c:pt>
                <c:pt idx="27">
                  <c:v>178.66</c:v>
                </c:pt>
                <c:pt idx="28">
                  <c:v>177.3</c:v>
                </c:pt>
                <c:pt idx="29">
                  <c:v>175.8</c:v>
                </c:pt>
                <c:pt idx="30">
                  <c:v>174.52</c:v>
                </c:pt>
                <c:pt idx="31">
                  <c:v>174.29</c:v>
                </c:pt>
                <c:pt idx="32">
                  <c:v>174.58</c:v>
                </c:pt>
                <c:pt idx="33">
                  <c:v>175.82</c:v>
                </c:pt>
                <c:pt idx="34">
                  <c:v>175.86</c:v>
                </c:pt>
                <c:pt idx="35">
                  <c:v>178.46</c:v>
                </c:pt>
                <c:pt idx="36">
                  <c:v>176.17</c:v>
                </c:pt>
                <c:pt idx="37">
                  <c:v>177.21</c:v>
                </c:pt>
                <c:pt idx="38">
                  <c:v>178.68</c:v>
                </c:pt>
                <c:pt idx="39">
                  <c:v>179.36</c:v>
                </c:pt>
                <c:pt idx="40">
                  <c:v>180.13</c:v>
                </c:pt>
                <c:pt idx="41">
                  <c:v>181.68</c:v>
                </c:pt>
                <c:pt idx="42">
                  <c:v>181.43</c:v>
                </c:pt>
                <c:pt idx="43">
                  <c:v>180.67</c:v>
                </c:pt>
                <c:pt idx="44">
                  <c:v>180.26</c:v>
                </c:pt>
                <c:pt idx="45">
                  <c:v>181.15</c:v>
                </c:pt>
                <c:pt idx="46">
                  <c:v>181.65</c:v>
                </c:pt>
                <c:pt idx="47">
                  <c:v>181.35</c:v>
                </c:pt>
                <c:pt idx="48">
                  <c:v>179.4</c:v>
                </c:pt>
                <c:pt idx="49">
                  <c:v>179.82</c:v>
                </c:pt>
                <c:pt idx="50">
                  <c:v>181.95</c:v>
                </c:pt>
                <c:pt idx="51">
                  <c:v>180.53</c:v>
                </c:pt>
                <c:pt idx="52">
                  <c:v>180.05</c:v>
                </c:pt>
                <c:pt idx="53">
                  <c:v>180.47</c:v>
                </c:pt>
                <c:pt idx="54">
                  <c:v>180.38</c:v>
                </c:pt>
                <c:pt idx="55">
                  <c:v>179.45</c:v>
                </c:pt>
                <c:pt idx="56">
                  <c:v>177.18</c:v>
                </c:pt>
                <c:pt idx="57">
                  <c:v>177.83</c:v>
                </c:pt>
                <c:pt idx="58">
                  <c:v>176.46</c:v>
                </c:pt>
                <c:pt idx="59">
                  <c:v>175.72</c:v>
                </c:pt>
                <c:pt idx="60">
                  <c:v>175.81</c:v>
                </c:pt>
                <c:pt idx="61">
                  <c:v>177.24</c:v>
                </c:pt>
                <c:pt idx="62">
                  <c:v>175.65</c:v>
                </c:pt>
                <c:pt idx="63">
                  <c:v>175.7</c:v>
                </c:pt>
                <c:pt idx="64">
                  <c:v>173.88</c:v>
                </c:pt>
                <c:pt idx="65">
                  <c:v>174.78</c:v>
                </c:pt>
                <c:pt idx="66">
                  <c:v>174.82</c:v>
                </c:pt>
                <c:pt idx="67">
                  <c:v>173.83</c:v>
                </c:pt>
                <c:pt idx="68">
                  <c:v>173.77</c:v>
                </c:pt>
                <c:pt idx="69">
                  <c:v>174.51</c:v>
                </c:pt>
                <c:pt idx="70">
                  <c:v>173.94</c:v>
                </c:pt>
                <c:pt idx="71">
                  <c:v>173.86</c:v>
                </c:pt>
                <c:pt idx="72">
                  <c:v>174.14</c:v>
                </c:pt>
                <c:pt idx="73">
                  <c:v>174.5</c:v>
                </c:pt>
                <c:pt idx="74">
                  <c:v>174.52</c:v>
                </c:pt>
                <c:pt idx="75">
                  <c:v>172.88</c:v>
                </c:pt>
                <c:pt idx="76">
                  <c:v>172.45</c:v>
                </c:pt>
                <c:pt idx="77">
                  <c:v>172.14</c:v>
                </c:pt>
                <c:pt idx="78">
                  <c:v>171.2</c:v>
                </c:pt>
                <c:pt idx="79">
                  <c:v>170.58</c:v>
                </c:pt>
                <c:pt idx="80">
                  <c:v>170.66</c:v>
                </c:pt>
                <c:pt idx="81">
                  <c:v>169.53</c:v>
                </c:pt>
                <c:pt idx="82">
                  <c:v>171.1</c:v>
                </c:pt>
                <c:pt idx="83">
                  <c:v>170.05</c:v>
                </c:pt>
                <c:pt idx="84">
                  <c:v>161.69</c:v>
                </c:pt>
                <c:pt idx="85">
                  <c:v>162.30000000000001</c:v>
                </c:pt>
                <c:pt idx="86">
                  <c:v>160.38</c:v>
                </c:pt>
                <c:pt idx="87">
                  <c:v>160.75</c:v>
                </c:pt>
                <c:pt idx="88">
                  <c:v>160.38999999999999</c:v>
                </c:pt>
                <c:pt idx="89">
                  <c:v>160.06</c:v>
                </c:pt>
                <c:pt idx="90">
                  <c:v>160.32</c:v>
                </c:pt>
                <c:pt idx="91">
                  <c:v>160.29</c:v>
                </c:pt>
                <c:pt idx="92">
                  <c:v>158.84</c:v>
                </c:pt>
                <c:pt idx="93">
                  <c:v>159.1</c:v>
                </c:pt>
                <c:pt idx="94">
                  <c:v>158.63</c:v>
                </c:pt>
                <c:pt idx="95">
                  <c:v>159.05000000000001</c:v>
                </c:pt>
                <c:pt idx="96">
                  <c:v>155.05000000000001</c:v>
                </c:pt>
                <c:pt idx="97">
                  <c:v>153.03</c:v>
                </c:pt>
                <c:pt idx="98">
                  <c:v>152.11000000000001</c:v>
                </c:pt>
                <c:pt idx="99">
                  <c:v>151.25</c:v>
                </c:pt>
                <c:pt idx="100">
                  <c:v>150.65</c:v>
                </c:pt>
                <c:pt idx="101">
                  <c:v>150.37</c:v>
                </c:pt>
                <c:pt idx="102">
                  <c:v>151.51</c:v>
                </c:pt>
                <c:pt idx="103">
                  <c:v>153.68</c:v>
                </c:pt>
                <c:pt idx="104">
                  <c:v>150.93</c:v>
                </c:pt>
                <c:pt idx="105">
                  <c:v>150.78</c:v>
                </c:pt>
                <c:pt idx="106">
                  <c:v>151.97999999999999</c:v>
                </c:pt>
                <c:pt idx="107">
                  <c:v>152.63999999999999</c:v>
                </c:pt>
                <c:pt idx="108">
                  <c:v>152.03</c:v>
                </c:pt>
                <c:pt idx="109">
                  <c:v>152.51</c:v>
                </c:pt>
                <c:pt idx="110">
                  <c:v>153.19999999999999</c:v>
                </c:pt>
                <c:pt idx="111">
                  <c:v>152.49</c:v>
                </c:pt>
                <c:pt idx="112">
                  <c:v>151.72999999999999</c:v>
                </c:pt>
                <c:pt idx="113">
                  <c:v>152.63</c:v>
                </c:pt>
                <c:pt idx="114">
                  <c:v>152.66999999999999</c:v>
                </c:pt>
                <c:pt idx="115">
                  <c:v>152.05000000000001</c:v>
                </c:pt>
                <c:pt idx="116">
                  <c:v>152.41</c:v>
                </c:pt>
                <c:pt idx="117">
                  <c:v>152.37</c:v>
                </c:pt>
                <c:pt idx="118">
                  <c:v>150.97999999999999</c:v>
                </c:pt>
                <c:pt idx="119">
                  <c:v>152.1</c:v>
                </c:pt>
                <c:pt idx="120">
                  <c:v>154.1</c:v>
                </c:pt>
                <c:pt idx="121">
                  <c:v>155.18</c:v>
                </c:pt>
                <c:pt idx="122">
                  <c:v>154.25</c:v>
                </c:pt>
                <c:pt idx="123">
                  <c:v>153.81</c:v>
                </c:pt>
                <c:pt idx="124">
                  <c:v>154.22</c:v>
                </c:pt>
                <c:pt idx="125">
                  <c:v>155.38</c:v>
                </c:pt>
                <c:pt idx="126">
                  <c:v>154.84</c:v>
                </c:pt>
                <c:pt idx="127">
                  <c:v>154.94999999999999</c:v>
                </c:pt>
                <c:pt idx="128">
                  <c:v>153.79</c:v>
                </c:pt>
                <c:pt idx="129">
                  <c:v>154.4</c:v>
                </c:pt>
                <c:pt idx="130">
                  <c:v>154.11000000000001</c:v>
                </c:pt>
                <c:pt idx="131">
                  <c:v>155.22999999999999</c:v>
                </c:pt>
                <c:pt idx="132">
                  <c:v>154.75</c:v>
                </c:pt>
                <c:pt idx="133">
                  <c:v>155.32</c:v>
                </c:pt>
                <c:pt idx="134">
                  <c:v>154.13</c:v>
                </c:pt>
                <c:pt idx="135">
                  <c:v>153.83000000000001</c:v>
                </c:pt>
                <c:pt idx="136">
                  <c:v>155.58000000000001</c:v>
                </c:pt>
                <c:pt idx="137">
                  <c:v>153.66999999999999</c:v>
                </c:pt>
                <c:pt idx="138">
                  <c:v>152.36000000000001</c:v>
                </c:pt>
                <c:pt idx="139">
                  <c:v>152.94</c:v>
                </c:pt>
                <c:pt idx="140">
                  <c:v>153.41999999999999</c:v>
                </c:pt>
                <c:pt idx="141">
                  <c:v>153.19</c:v>
                </c:pt>
                <c:pt idx="142">
                  <c:v>153.69999999999999</c:v>
                </c:pt>
                <c:pt idx="143">
                  <c:v>153.63</c:v>
                </c:pt>
                <c:pt idx="144">
                  <c:v>154.24</c:v>
                </c:pt>
                <c:pt idx="145">
                  <c:v>153.01</c:v>
                </c:pt>
                <c:pt idx="146">
                  <c:v>154</c:v>
                </c:pt>
                <c:pt idx="147">
                  <c:v>147.53</c:v>
                </c:pt>
                <c:pt idx="148">
                  <c:v>147.66</c:v>
                </c:pt>
                <c:pt idx="149">
                  <c:v>147.08000000000001</c:v>
                </c:pt>
                <c:pt idx="150">
                  <c:v>145.99</c:v>
                </c:pt>
                <c:pt idx="151">
                  <c:v>146.19</c:v>
                </c:pt>
                <c:pt idx="152">
                  <c:v>145.36000000000001</c:v>
                </c:pt>
                <c:pt idx="153">
                  <c:v>145.07</c:v>
                </c:pt>
                <c:pt idx="154">
                  <c:v>144.29</c:v>
                </c:pt>
                <c:pt idx="155">
                  <c:v>144.66999999999999</c:v>
                </c:pt>
                <c:pt idx="156">
                  <c:v>145.30000000000001</c:v>
                </c:pt>
                <c:pt idx="157">
                  <c:v>144.44999999999999</c:v>
                </c:pt>
                <c:pt idx="158">
                  <c:v>144.94</c:v>
                </c:pt>
                <c:pt idx="159">
                  <c:v>145.16</c:v>
                </c:pt>
                <c:pt idx="160">
                  <c:v>143.47</c:v>
                </c:pt>
                <c:pt idx="161">
                  <c:v>142.11000000000001</c:v>
                </c:pt>
                <c:pt idx="162">
                  <c:v>141.77000000000001</c:v>
                </c:pt>
                <c:pt idx="163">
                  <c:v>141.84</c:v>
                </c:pt>
                <c:pt idx="164">
                  <c:v>141.84</c:v>
                </c:pt>
                <c:pt idx="165">
                  <c:v>142.32</c:v>
                </c:pt>
                <c:pt idx="166">
                  <c:v>142.07</c:v>
                </c:pt>
                <c:pt idx="167">
                  <c:v>142.5</c:v>
                </c:pt>
                <c:pt idx="168">
                  <c:v>140.69999999999999</c:v>
                </c:pt>
                <c:pt idx="169">
                  <c:v>139.69999999999999</c:v>
                </c:pt>
                <c:pt idx="170">
                  <c:v>140.33000000000001</c:v>
                </c:pt>
                <c:pt idx="171">
                  <c:v>141.01</c:v>
                </c:pt>
                <c:pt idx="172">
                  <c:v>142.13999999999999</c:v>
                </c:pt>
                <c:pt idx="173">
                  <c:v>142.94</c:v>
                </c:pt>
                <c:pt idx="174">
                  <c:v>143.74</c:v>
                </c:pt>
                <c:pt idx="175">
                  <c:v>142.51</c:v>
                </c:pt>
                <c:pt idx="176">
                  <c:v>143.13999999999999</c:v>
                </c:pt>
                <c:pt idx="177">
                  <c:v>142.56</c:v>
                </c:pt>
                <c:pt idx="178">
                  <c:v>143.03</c:v>
                </c:pt>
                <c:pt idx="179">
                  <c:v>144.08000000000001</c:v>
                </c:pt>
                <c:pt idx="180">
                  <c:v>143.04</c:v>
                </c:pt>
                <c:pt idx="181">
                  <c:v>143.82</c:v>
                </c:pt>
                <c:pt idx="182">
                  <c:v>142.9</c:v>
                </c:pt>
                <c:pt idx="183">
                  <c:v>142.44999999999999</c:v>
                </c:pt>
                <c:pt idx="184">
                  <c:v>144.86000000000001</c:v>
                </c:pt>
                <c:pt idx="185">
                  <c:v>145.76</c:v>
                </c:pt>
                <c:pt idx="186">
                  <c:v>145.99</c:v>
                </c:pt>
                <c:pt idx="187">
                  <c:v>145.54</c:v>
                </c:pt>
                <c:pt idx="188">
                  <c:v>144.82</c:v>
                </c:pt>
                <c:pt idx="189">
                  <c:v>144.55000000000001</c:v>
                </c:pt>
                <c:pt idx="190">
                  <c:v>144.38999999999999</c:v>
                </c:pt>
                <c:pt idx="191">
                  <c:v>145.88</c:v>
                </c:pt>
                <c:pt idx="192">
                  <c:v>145.26</c:v>
                </c:pt>
                <c:pt idx="193">
                  <c:v>145.13</c:v>
                </c:pt>
                <c:pt idx="194">
                  <c:v>145.87</c:v>
                </c:pt>
                <c:pt idx="195">
                  <c:v>146.56</c:v>
                </c:pt>
                <c:pt idx="196">
                  <c:v>145.66</c:v>
                </c:pt>
                <c:pt idx="197">
                  <c:v>145.66</c:v>
                </c:pt>
                <c:pt idx="198">
                  <c:v>145.08000000000001</c:v>
                </c:pt>
                <c:pt idx="199">
                  <c:v>146.66</c:v>
                </c:pt>
                <c:pt idx="200">
                  <c:v>146.78</c:v>
                </c:pt>
                <c:pt idx="201">
                  <c:v>146.47999999999999</c:v>
                </c:pt>
                <c:pt idx="202">
                  <c:v>146.72</c:v>
                </c:pt>
                <c:pt idx="203">
                  <c:v>146.47999999999999</c:v>
                </c:pt>
                <c:pt idx="204">
                  <c:v>147.38999999999999</c:v>
                </c:pt>
                <c:pt idx="205">
                  <c:v>148.5</c:v>
                </c:pt>
                <c:pt idx="206">
                  <c:v>147.62</c:v>
                </c:pt>
                <c:pt idx="207">
                  <c:v>147.03</c:v>
                </c:pt>
                <c:pt idx="208">
                  <c:v>147.1</c:v>
                </c:pt>
                <c:pt idx="209">
                  <c:v>146.83000000000001</c:v>
                </c:pt>
                <c:pt idx="210">
                  <c:v>146.54</c:v>
                </c:pt>
                <c:pt idx="211">
                  <c:v>159.53</c:v>
                </c:pt>
                <c:pt idx="212">
                  <c:v>160.9</c:v>
                </c:pt>
                <c:pt idx="213">
                  <c:v>162.07</c:v>
                </c:pt>
                <c:pt idx="214">
                  <c:v>159.55000000000001</c:v>
                </c:pt>
                <c:pt idx="215">
                  <c:v>155.88</c:v>
                </c:pt>
                <c:pt idx="216">
                  <c:v>153.5</c:v>
                </c:pt>
                <c:pt idx="217">
                  <c:v>153.6</c:v>
                </c:pt>
                <c:pt idx="218">
                  <c:v>153.68</c:v>
                </c:pt>
                <c:pt idx="219">
                  <c:v>154.36000000000001</c:v>
                </c:pt>
                <c:pt idx="220">
                  <c:v>154.06</c:v>
                </c:pt>
                <c:pt idx="221">
                  <c:v>154.03</c:v>
                </c:pt>
                <c:pt idx="222">
                  <c:v>153.35</c:v>
                </c:pt>
                <c:pt idx="223">
                  <c:v>151.58000000000001</c:v>
                </c:pt>
                <c:pt idx="224">
                  <c:v>150.84</c:v>
                </c:pt>
                <c:pt idx="225">
                  <c:v>151.35</c:v>
                </c:pt>
                <c:pt idx="226">
                  <c:v>151.57</c:v>
                </c:pt>
                <c:pt idx="227">
                  <c:v>150.30000000000001</c:v>
                </c:pt>
                <c:pt idx="228">
                  <c:v>149.16</c:v>
                </c:pt>
                <c:pt idx="229">
                  <c:v>148.4</c:v>
                </c:pt>
                <c:pt idx="230">
                  <c:v>148.88999999999999</c:v>
                </c:pt>
                <c:pt idx="231">
                  <c:v>147.1</c:v>
                </c:pt>
                <c:pt idx="232">
                  <c:v>149.12</c:v>
                </c:pt>
                <c:pt idx="233">
                  <c:v>148.97</c:v>
                </c:pt>
                <c:pt idx="234">
                  <c:v>150.51</c:v>
                </c:pt>
                <c:pt idx="235">
                  <c:v>151.94999999999999</c:v>
                </c:pt>
                <c:pt idx="236">
                  <c:v>151.77000000000001</c:v>
                </c:pt>
                <c:pt idx="237">
                  <c:v>151.84</c:v>
                </c:pt>
                <c:pt idx="238">
                  <c:v>151.97999999999999</c:v>
                </c:pt>
                <c:pt idx="239">
                  <c:v>152.47</c:v>
                </c:pt>
                <c:pt idx="240">
                  <c:v>153.55000000000001</c:v>
                </c:pt>
                <c:pt idx="241">
                  <c:v>153.97</c:v>
                </c:pt>
                <c:pt idx="242">
                  <c:v>154.76</c:v>
                </c:pt>
                <c:pt idx="243">
                  <c:v>156.46</c:v>
                </c:pt>
                <c:pt idx="244">
                  <c:v>155.35</c:v>
                </c:pt>
                <c:pt idx="245">
                  <c:v>154.1</c:v>
                </c:pt>
                <c:pt idx="246">
                  <c:v>153.57</c:v>
                </c:pt>
                <c:pt idx="247">
                  <c:v>154.81</c:v>
                </c:pt>
                <c:pt idx="248">
                  <c:v>155.41</c:v>
                </c:pt>
                <c:pt idx="249">
                  <c:v>156.74</c:v>
                </c:pt>
                <c:pt idx="250">
                  <c:v>153.91</c:v>
                </c:pt>
                <c:pt idx="251">
                  <c:v>154</c:v>
                </c:pt>
                <c:pt idx="252">
                  <c:v>152.5</c:v>
                </c:pt>
                <c:pt idx="253">
                  <c:v>153.33000000000001</c:v>
                </c:pt>
                <c:pt idx="254">
                  <c:v>153.22999999999999</c:v>
                </c:pt>
                <c:pt idx="255">
                  <c:v>152.94999999999999</c:v>
                </c:pt>
                <c:pt idx="256">
                  <c:v>151.5</c:v>
                </c:pt>
                <c:pt idx="257">
                  <c:v>152.5</c:v>
                </c:pt>
                <c:pt idx="258">
                  <c:v>152.83000000000001</c:v>
                </c:pt>
                <c:pt idx="259">
                  <c:v>153.13</c:v>
                </c:pt>
                <c:pt idx="260">
                  <c:v>154.04</c:v>
                </c:pt>
                <c:pt idx="261">
                  <c:v>153.41999999999999</c:v>
                </c:pt>
                <c:pt idx="262">
                  <c:v>154.25</c:v>
                </c:pt>
                <c:pt idx="263">
                  <c:v>158.49</c:v>
                </c:pt>
                <c:pt idx="264">
                  <c:v>161.69999999999999</c:v>
                </c:pt>
                <c:pt idx="265">
                  <c:v>162.49</c:v>
                </c:pt>
                <c:pt idx="266">
                  <c:v>163.47</c:v>
                </c:pt>
                <c:pt idx="267">
                  <c:v>163.83000000000001</c:v>
                </c:pt>
                <c:pt idx="268">
                  <c:v>164.18</c:v>
                </c:pt>
                <c:pt idx="269">
                  <c:v>164.2</c:v>
                </c:pt>
                <c:pt idx="270">
                  <c:v>163.13999999999999</c:v>
                </c:pt>
                <c:pt idx="271">
                  <c:v>163.85</c:v>
                </c:pt>
                <c:pt idx="272">
                  <c:v>168.65</c:v>
                </c:pt>
                <c:pt idx="273">
                  <c:v>169.12</c:v>
                </c:pt>
                <c:pt idx="274">
                  <c:v>162.37</c:v>
                </c:pt>
                <c:pt idx="275">
                  <c:v>162.6</c:v>
                </c:pt>
                <c:pt idx="276">
                  <c:v>166.25</c:v>
                </c:pt>
                <c:pt idx="277">
                  <c:v>165.37</c:v>
                </c:pt>
                <c:pt idx="278">
                  <c:v>165.47</c:v>
                </c:pt>
                <c:pt idx="279">
                  <c:v>167.34</c:v>
                </c:pt>
                <c:pt idx="280">
                  <c:v>166.8</c:v>
                </c:pt>
                <c:pt idx="281">
                  <c:v>163.62</c:v>
                </c:pt>
                <c:pt idx="282">
                  <c:v>163.69999999999999</c:v>
                </c:pt>
                <c:pt idx="283">
                  <c:v>162.4</c:v>
                </c:pt>
                <c:pt idx="284">
                  <c:v>159.03</c:v>
                </c:pt>
                <c:pt idx="285">
                  <c:v>152.53</c:v>
                </c:pt>
                <c:pt idx="286">
                  <c:v>155.34</c:v>
                </c:pt>
                <c:pt idx="287">
                  <c:v>153.85</c:v>
                </c:pt>
                <c:pt idx="288">
                  <c:v>147.59</c:v>
                </c:pt>
                <c:pt idx="289">
                  <c:v>149.51</c:v>
                </c:pt>
                <c:pt idx="290">
                  <c:v>151.4</c:v>
                </c:pt>
                <c:pt idx="291">
                  <c:v>150.75</c:v>
                </c:pt>
                <c:pt idx="292">
                  <c:v>154.76</c:v>
                </c:pt>
                <c:pt idx="293">
                  <c:v>156.01</c:v>
                </c:pt>
                <c:pt idx="294">
                  <c:v>156.18</c:v>
                </c:pt>
                <c:pt idx="295">
                  <c:v>155.16</c:v>
                </c:pt>
                <c:pt idx="296">
                  <c:v>153.96</c:v>
                </c:pt>
                <c:pt idx="297">
                  <c:v>153.18</c:v>
                </c:pt>
                <c:pt idx="298">
                  <c:v>155.52000000000001</c:v>
                </c:pt>
                <c:pt idx="299">
                  <c:v>158.58000000000001</c:v>
                </c:pt>
                <c:pt idx="300">
                  <c:v>156.55000000000001</c:v>
                </c:pt>
                <c:pt idx="301">
                  <c:v>155.83000000000001</c:v>
                </c:pt>
                <c:pt idx="302">
                  <c:v>153.81</c:v>
                </c:pt>
                <c:pt idx="303">
                  <c:v>154.49</c:v>
                </c:pt>
                <c:pt idx="304">
                  <c:v>156.94999999999999</c:v>
                </c:pt>
                <c:pt idx="305">
                  <c:v>155.72</c:v>
                </c:pt>
                <c:pt idx="306">
                  <c:v>158.32</c:v>
                </c:pt>
                <c:pt idx="307">
                  <c:v>156.21</c:v>
                </c:pt>
                <c:pt idx="308">
                  <c:v>159.31</c:v>
                </c:pt>
                <c:pt idx="309">
                  <c:v>160.26</c:v>
                </c:pt>
                <c:pt idx="310">
                  <c:v>159.32</c:v>
                </c:pt>
                <c:pt idx="311">
                  <c:v>158.12</c:v>
                </c:pt>
                <c:pt idx="312">
                  <c:v>159.61000000000001</c:v>
                </c:pt>
                <c:pt idx="313">
                  <c:v>160.26</c:v>
                </c:pt>
                <c:pt idx="314">
                  <c:v>157.35</c:v>
                </c:pt>
                <c:pt idx="315">
                  <c:v>156.19999999999999</c:v>
                </c:pt>
                <c:pt idx="316">
                  <c:v>156.69</c:v>
                </c:pt>
                <c:pt idx="317">
                  <c:v>152.09</c:v>
                </c:pt>
                <c:pt idx="318">
                  <c:v>148.88999999999999</c:v>
                </c:pt>
                <c:pt idx="319">
                  <c:v>153.37</c:v>
                </c:pt>
                <c:pt idx="320">
                  <c:v>151.91</c:v>
                </c:pt>
                <c:pt idx="321">
                  <c:v>152.52000000000001</c:v>
                </c:pt>
                <c:pt idx="322">
                  <c:v>153.43</c:v>
                </c:pt>
                <c:pt idx="323">
                  <c:v>150.07</c:v>
                </c:pt>
                <c:pt idx="324">
                  <c:v>149.85</c:v>
                </c:pt>
                <c:pt idx="325">
                  <c:v>154.12</c:v>
                </c:pt>
                <c:pt idx="326">
                  <c:v>154.03</c:v>
                </c:pt>
                <c:pt idx="327">
                  <c:v>150.57</c:v>
                </c:pt>
                <c:pt idx="328">
                  <c:v>152.69</c:v>
                </c:pt>
                <c:pt idx="329">
                  <c:v>155.38999999999999</c:v>
                </c:pt>
                <c:pt idx="330">
                  <c:v>155.36000000000001</c:v>
                </c:pt>
                <c:pt idx="331">
                  <c:v>158.07</c:v>
                </c:pt>
                <c:pt idx="332">
                  <c:v>156.71</c:v>
                </c:pt>
                <c:pt idx="333">
                  <c:v>157.88999999999999</c:v>
                </c:pt>
                <c:pt idx="334">
                  <c:v>160.91</c:v>
                </c:pt>
                <c:pt idx="335">
                  <c:v>148.79</c:v>
                </c:pt>
                <c:pt idx="336">
                  <c:v>147.69999999999999</c:v>
                </c:pt>
                <c:pt idx="337">
                  <c:v>144.9</c:v>
                </c:pt>
                <c:pt idx="338">
                  <c:v>145.86000000000001</c:v>
                </c:pt>
                <c:pt idx="339">
                  <c:v>145.56</c:v>
                </c:pt>
                <c:pt idx="340">
                  <c:v>145.94</c:v>
                </c:pt>
                <c:pt idx="341">
                  <c:v>146.72</c:v>
                </c:pt>
                <c:pt idx="342">
                  <c:v>146.47999999999999</c:v>
                </c:pt>
                <c:pt idx="343">
                  <c:v>144.96</c:v>
                </c:pt>
                <c:pt idx="344">
                  <c:v>145</c:v>
                </c:pt>
                <c:pt idx="345">
                  <c:v>142.44999999999999</c:v>
                </c:pt>
                <c:pt idx="346">
                  <c:v>141.99</c:v>
                </c:pt>
                <c:pt idx="347">
                  <c:v>143.91</c:v>
                </c:pt>
                <c:pt idx="348">
                  <c:v>143.22</c:v>
                </c:pt>
                <c:pt idx="349">
                  <c:v>143</c:v>
                </c:pt>
                <c:pt idx="350">
                  <c:v>142.61000000000001</c:v>
                </c:pt>
                <c:pt idx="351">
                  <c:v>144.24</c:v>
                </c:pt>
                <c:pt idx="352">
                  <c:v>144.13999999999999</c:v>
                </c:pt>
                <c:pt idx="353">
                  <c:v>144.30000000000001</c:v>
                </c:pt>
                <c:pt idx="354">
                  <c:v>143.74</c:v>
                </c:pt>
                <c:pt idx="355">
                  <c:v>144.63</c:v>
                </c:pt>
                <c:pt idx="356">
                  <c:v>144.5</c:v>
                </c:pt>
                <c:pt idx="357">
                  <c:v>144.08000000000001</c:v>
                </c:pt>
                <c:pt idx="358">
                  <c:v>145.49</c:v>
                </c:pt>
                <c:pt idx="359">
                  <c:v>145.09</c:v>
                </c:pt>
                <c:pt idx="360">
                  <c:v>144.66999999999999</c:v>
                </c:pt>
                <c:pt idx="361">
                  <c:v>144.07</c:v>
                </c:pt>
                <c:pt idx="362">
                  <c:v>143.63999999999999</c:v>
                </c:pt>
                <c:pt idx="363">
                  <c:v>141.22</c:v>
                </c:pt>
                <c:pt idx="364">
                  <c:v>142.62</c:v>
                </c:pt>
                <c:pt idx="365">
                  <c:v>141.31</c:v>
                </c:pt>
                <c:pt idx="366">
                  <c:v>141.94999999999999</c:v>
                </c:pt>
                <c:pt idx="367">
                  <c:v>143.04</c:v>
                </c:pt>
                <c:pt idx="368">
                  <c:v>143.69999999999999</c:v>
                </c:pt>
                <c:pt idx="369">
                  <c:v>144.71</c:v>
                </c:pt>
                <c:pt idx="370">
                  <c:v>145.36000000000001</c:v>
                </c:pt>
                <c:pt idx="371">
                  <c:v>146.13999999999999</c:v>
                </c:pt>
                <c:pt idx="372">
                  <c:v>146.58000000000001</c:v>
                </c:pt>
                <c:pt idx="373">
                  <c:v>146.87</c:v>
                </c:pt>
                <c:pt idx="374">
                  <c:v>146.35</c:v>
                </c:pt>
                <c:pt idx="375">
                  <c:v>145.19999999999999</c:v>
                </c:pt>
                <c:pt idx="376">
                  <c:v>145.38999999999999</c:v>
                </c:pt>
                <c:pt idx="377">
                  <c:v>144.47999999999999</c:v>
                </c:pt>
                <c:pt idx="378">
                  <c:v>143.9</c:v>
                </c:pt>
                <c:pt idx="379">
                  <c:v>142.63</c:v>
                </c:pt>
                <c:pt idx="380">
                  <c:v>141.25</c:v>
                </c:pt>
                <c:pt idx="381">
                  <c:v>141.28</c:v>
                </c:pt>
                <c:pt idx="382">
                  <c:v>138.79</c:v>
                </c:pt>
                <c:pt idx="383">
                  <c:v>139.08000000000001</c:v>
                </c:pt>
                <c:pt idx="384">
                  <c:v>137.47999999999999</c:v>
                </c:pt>
                <c:pt idx="385">
                  <c:v>140.04</c:v>
                </c:pt>
                <c:pt idx="386">
                  <c:v>139.69999999999999</c:v>
                </c:pt>
                <c:pt idx="387">
                  <c:v>139.86000000000001</c:v>
                </c:pt>
                <c:pt idx="388">
                  <c:v>139.57</c:v>
                </c:pt>
                <c:pt idx="389">
                  <c:v>141.43</c:v>
                </c:pt>
                <c:pt idx="390">
                  <c:v>142.47999999999999</c:v>
                </c:pt>
                <c:pt idx="391">
                  <c:v>144.38999999999999</c:v>
                </c:pt>
                <c:pt idx="392">
                  <c:v>144.71</c:v>
                </c:pt>
                <c:pt idx="393">
                  <c:v>144.94</c:v>
                </c:pt>
                <c:pt idx="394">
                  <c:v>146.44999999999999</c:v>
                </c:pt>
                <c:pt idx="395">
                  <c:v>145.9</c:v>
                </c:pt>
                <c:pt idx="396">
                  <c:v>145.46</c:v>
                </c:pt>
                <c:pt idx="397">
                  <c:v>143.49</c:v>
                </c:pt>
                <c:pt idx="398">
                  <c:v>144.52000000000001</c:v>
                </c:pt>
                <c:pt idx="399">
                  <c:v>149.24</c:v>
                </c:pt>
                <c:pt idx="400">
                  <c:v>146.35</c:v>
                </c:pt>
                <c:pt idx="401">
                  <c:v>145.69999999999999</c:v>
                </c:pt>
                <c:pt idx="402">
                  <c:v>146.38</c:v>
                </c:pt>
                <c:pt idx="403">
                  <c:v>146.62</c:v>
                </c:pt>
                <c:pt idx="404">
                  <c:v>146.71</c:v>
                </c:pt>
                <c:pt idx="405">
                  <c:v>145.15</c:v>
                </c:pt>
                <c:pt idx="406">
                  <c:v>145.49</c:v>
                </c:pt>
                <c:pt idx="407">
                  <c:v>144.93</c:v>
                </c:pt>
                <c:pt idx="408">
                  <c:v>143.5</c:v>
                </c:pt>
                <c:pt idx="409">
                  <c:v>142.96</c:v>
                </c:pt>
                <c:pt idx="410">
                  <c:v>147.69999999999999</c:v>
                </c:pt>
                <c:pt idx="411">
                  <c:v>146.03</c:v>
                </c:pt>
                <c:pt idx="412">
                  <c:v>147.01</c:v>
                </c:pt>
                <c:pt idx="413">
                  <c:v>146.88999999999999</c:v>
                </c:pt>
                <c:pt idx="414">
                  <c:v>144.77000000000001</c:v>
                </c:pt>
                <c:pt idx="415">
                  <c:v>144.47999999999999</c:v>
                </c:pt>
                <c:pt idx="416">
                  <c:v>142.71</c:v>
                </c:pt>
                <c:pt idx="417">
                  <c:v>143.36000000000001</c:v>
                </c:pt>
                <c:pt idx="418">
                  <c:v>143.91</c:v>
                </c:pt>
                <c:pt idx="419">
                  <c:v>145.34</c:v>
                </c:pt>
                <c:pt idx="420">
                  <c:v>146.06</c:v>
                </c:pt>
                <c:pt idx="421">
                  <c:v>146.51</c:v>
                </c:pt>
                <c:pt idx="422">
                  <c:v>145.97</c:v>
                </c:pt>
                <c:pt idx="423">
                  <c:v>145.24</c:v>
                </c:pt>
                <c:pt idx="424">
                  <c:v>145.37</c:v>
                </c:pt>
                <c:pt idx="425">
                  <c:v>146.04</c:v>
                </c:pt>
                <c:pt idx="426">
                  <c:v>146.69</c:v>
                </c:pt>
                <c:pt idx="427">
                  <c:v>146.59</c:v>
                </c:pt>
                <c:pt idx="428">
                  <c:v>147.54</c:v>
                </c:pt>
                <c:pt idx="429">
                  <c:v>145.93</c:v>
                </c:pt>
                <c:pt idx="430">
                  <c:v>146.47999999999999</c:v>
                </c:pt>
                <c:pt idx="431">
                  <c:v>145.68</c:v>
                </c:pt>
                <c:pt idx="432">
                  <c:v>146.66</c:v>
                </c:pt>
                <c:pt idx="433">
                  <c:v>146.38999999999999</c:v>
                </c:pt>
                <c:pt idx="434">
                  <c:v>145.44999999999999</c:v>
                </c:pt>
                <c:pt idx="435">
                  <c:v>145.65</c:v>
                </c:pt>
                <c:pt idx="436">
                  <c:v>146.49</c:v>
                </c:pt>
                <c:pt idx="437">
                  <c:v>146.57</c:v>
                </c:pt>
                <c:pt idx="438">
                  <c:v>148.94999999999999</c:v>
                </c:pt>
                <c:pt idx="439">
                  <c:v>148.33000000000001</c:v>
                </c:pt>
                <c:pt idx="440">
                  <c:v>147.94</c:v>
                </c:pt>
                <c:pt idx="441">
                  <c:v>148.56</c:v>
                </c:pt>
                <c:pt idx="442">
                  <c:v>149.06</c:v>
                </c:pt>
                <c:pt idx="443">
                  <c:v>151.15</c:v>
                </c:pt>
                <c:pt idx="444">
                  <c:v>151.35</c:v>
                </c:pt>
                <c:pt idx="445">
                  <c:v>150.03</c:v>
                </c:pt>
                <c:pt idx="446">
                  <c:v>148.91</c:v>
                </c:pt>
                <c:pt idx="447">
                  <c:v>151.61000000000001</c:v>
                </c:pt>
                <c:pt idx="448">
                  <c:v>151.5</c:v>
                </c:pt>
                <c:pt idx="449">
                  <c:v>151.21</c:v>
                </c:pt>
                <c:pt idx="450">
                  <c:v>153</c:v>
                </c:pt>
                <c:pt idx="451">
                  <c:v>153.75</c:v>
                </c:pt>
                <c:pt idx="452">
                  <c:v>153.22</c:v>
                </c:pt>
                <c:pt idx="453">
                  <c:v>151.31</c:v>
                </c:pt>
                <c:pt idx="454">
                  <c:v>149.03</c:v>
                </c:pt>
                <c:pt idx="455">
                  <c:v>148.38999999999999</c:v>
                </c:pt>
                <c:pt idx="456">
                  <c:v>147.24</c:v>
                </c:pt>
                <c:pt idx="457">
                  <c:v>142.69</c:v>
                </c:pt>
                <c:pt idx="458">
                  <c:v>139.02000000000001</c:v>
                </c:pt>
                <c:pt idx="459">
                  <c:v>140.85</c:v>
                </c:pt>
                <c:pt idx="460">
                  <c:v>141.13</c:v>
                </c:pt>
                <c:pt idx="461">
                  <c:v>145.12</c:v>
                </c:pt>
                <c:pt idx="462">
                  <c:v>134.05000000000001</c:v>
                </c:pt>
                <c:pt idx="463">
                  <c:v>130.55000000000001</c:v>
                </c:pt>
                <c:pt idx="464">
                  <c:v>129.1</c:v>
                </c:pt>
                <c:pt idx="465">
                  <c:v>130.02000000000001</c:v>
                </c:pt>
                <c:pt idx="466">
                  <c:v>131.21</c:v>
                </c:pt>
                <c:pt idx="467">
                  <c:v>127.21</c:v>
                </c:pt>
                <c:pt idx="468">
                  <c:v>126.45</c:v>
                </c:pt>
                <c:pt idx="469">
                  <c:v>124.79</c:v>
                </c:pt>
                <c:pt idx="470">
                  <c:v>119.64</c:v>
                </c:pt>
                <c:pt idx="471">
                  <c:v>115.4</c:v>
                </c:pt>
                <c:pt idx="472">
                  <c:v>115.43</c:v>
                </c:pt>
                <c:pt idx="473">
                  <c:v>116.83</c:v>
                </c:pt>
                <c:pt idx="474">
                  <c:v>115.67</c:v>
                </c:pt>
                <c:pt idx="475">
                  <c:v>120.06</c:v>
                </c:pt>
                <c:pt idx="476">
                  <c:v>123.12</c:v>
                </c:pt>
                <c:pt idx="477">
                  <c:v>124.84</c:v>
                </c:pt>
                <c:pt idx="478">
                  <c:v>123.38</c:v>
                </c:pt>
                <c:pt idx="479">
                  <c:v>123.54</c:v>
                </c:pt>
                <c:pt idx="480">
                  <c:v>120.9</c:v>
                </c:pt>
                <c:pt idx="481">
                  <c:v>120.84</c:v>
                </c:pt>
                <c:pt idx="482">
                  <c:v>120.2</c:v>
                </c:pt>
                <c:pt idx="483">
                  <c:v>121.44</c:v>
                </c:pt>
                <c:pt idx="484">
                  <c:v>121.57</c:v>
                </c:pt>
                <c:pt idx="485">
                  <c:v>120.31</c:v>
                </c:pt>
                <c:pt idx="486">
                  <c:v>117.2</c:v>
                </c:pt>
                <c:pt idx="487">
                  <c:v>118.57</c:v>
                </c:pt>
                <c:pt idx="488">
                  <c:v>117.19</c:v>
                </c:pt>
                <c:pt idx="489">
                  <c:v>119.56</c:v>
                </c:pt>
                <c:pt idx="490">
                  <c:v>120.03</c:v>
                </c:pt>
                <c:pt idx="491">
                  <c:v>123</c:v>
                </c:pt>
                <c:pt idx="492">
                  <c:v>121.48</c:v>
                </c:pt>
                <c:pt idx="493">
                  <c:v>124.27</c:v>
                </c:pt>
                <c:pt idx="494">
                  <c:v>125.31</c:v>
                </c:pt>
                <c:pt idx="495">
                  <c:v>121.6</c:v>
                </c:pt>
                <c:pt idx="496">
                  <c:v>123.91</c:v>
                </c:pt>
                <c:pt idx="497">
                  <c:v>119.34</c:v>
                </c:pt>
                <c:pt idx="498">
                  <c:v>121.13</c:v>
                </c:pt>
                <c:pt idx="499">
                  <c:v>120.89</c:v>
                </c:pt>
                <c:pt idx="500">
                  <c:v>121.16</c:v>
                </c:pt>
                <c:pt idx="501">
                  <c:v>120.73</c:v>
                </c:pt>
                <c:pt idx="502">
                  <c:v>119.9</c:v>
                </c:pt>
                <c:pt idx="503">
                  <c:v>116.1</c:v>
                </c:pt>
                <c:pt idx="504">
                  <c:v>116.65</c:v>
                </c:pt>
                <c:pt idx="505">
                  <c:v>116.43</c:v>
                </c:pt>
                <c:pt idx="506">
                  <c:v>113.02</c:v>
                </c:pt>
                <c:pt idx="507">
                  <c:v>110.94</c:v>
                </c:pt>
                <c:pt idx="508">
                  <c:v>107.57</c:v>
                </c:pt>
                <c:pt idx="509">
                  <c:v>111.39</c:v>
                </c:pt>
                <c:pt idx="510">
                  <c:v>113.78</c:v>
                </c:pt>
                <c:pt idx="511">
                  <c:v>113.03</c:v>
                </c:pt>
                <c:pt idx="512">
                  <c:v>113.67</c:v>
                </c:pt>
                <c:pt idx="513">
                  <c:v>115.21</c:v>
                </c:pt>
                <c:pt idx="514">
                  <c:v>112.91</c:v>
                </c:pt>
                <c:pt idx="515">
                  <c:v>117.32</c:v>
                </c:pt>
                <c:pt idx="516">
                  <c:v>118.15</c:v>
                </c:pt>
                <c:pt idx="517">
                  <c:v>119.83</c:v>
                </c:pt>
                <c:pt idx="518">
                  <c:v>120.69</c:v>
                </c:pt>
                <c:pt idx="519">
                  <c:v>121.79</c:v>
                </c:pt>
                <c:pt idx="520">
                  <c:v>121.46</c:v>
                </c:pt>
                <c:pt idx="521">
                  <c:v>120.39</c:v>
                </c:pt>
                <c:pt idx="522">
                  <c:v>121.73</c:v>
                </c:pt>
                <c:pt idx="523">
                  <c:v>121.62</c:v>
                </c:pt>
                <c:pt idx="524">
                  <c:v>122.19</c:v>
                </c:pt>
                <c:pt idx="525">
                  <c:v>123.82</c:v>
                </c:pt>
                <c:pt idx="526">
                  <c:v>122.52</c:v>
                </c:pt>
                <c:pt idx="527">
                  <c:v>132.88999999999999</c:v>
                </c:pt>
                <c:pt idx="528">
                  <c:v>132.53</c:v>
                </c:pt>
                <c:pt idx="529">
                  <c:v>133.97</c:v>
                </c:pt>
                <c:pt idx="530">
                  <c:v>134.27000000000001</c:v>
                </c:pt>
                <c:pt idx="531">
                  <c:v>134.33000000000001</c:v>
                </c:pt>
                <c:pt idx="532">
                  <c:v>134.38</c:v>
                </c:pt>
                <c:pt idx="533">
                  <c:v>134.41999999999999</c:v>
                </c:pt>
                <c:pt idx="534">
                  <c:v>134.1</c:v>
                </c:pt>
                <c:pt idx="535">
                  <c:v>135.19</c:v>
                </c:pt>
                <c:pt idx="536">
                  <c:v>135.55000000000001</c:v>
                </c:pt>
                <c:pt idx="537">
                  <c:v>136.32</c:v>
                </c:pt>
                <c:pt idx="538">
                  <c:v>133.19</c:v>
                </c:pt>
                <c:pt idx="539">
                  <c:v>133.71</c:v>
                </c:pt>
                <c:pt idx="540">
                  <c:v>133.99</c:v>
                </c:pt>
                <c:pt idx="541">
                  <c:v>136.05000000000001</c:v>
                </c:pt>
                <c:pt idx="542">
                  <c:v>137.52000000000001</c:v>
                </c:pt>
                <c:pt idx="543">
                  <c:v>136.47999999999999</c:v>
                </c:pt>
                <c:pt idx="544">
                  <c:v>138.03</c:v>
                </c:pt>
                <c:pt idx="545">
                  <c:v>138.69999999999999</c:v>
                </c:pt>
                <c:pt idx="546">
                  <c:v>138</c:v>
                </c:pt>
                <c:pt idx="547">
                  <c:v>137.84</c:v>
                </c:pt>
                <c:pt idx="548">
                  <c:v>139.25</c:v>
                </c:pt>
                <c:pt idx="549">
                  <c:v>139.46</c:v>
                </c:pt>
                <c:pt idx="550">
                  <c:v>139.72</c:v>
                </c:pt>
                <c:pt idx="551">
                  <c:v>139.16999999999999</c:v>
                </c:pt>
                <c:pt idx="552">
                  <c:v>138.13</c:v>
                </c:pt>
                <c:pt idx="553">
                  <c:v>139.19999999999999</c:v>
                </c:pt>
                <c:pt idx="554">
                  <c:v>138.43</c:v>
                </c:pt>
                <c:pt idx="555">
                  <c:v>137.88</c:v>
                </c:pt>
                <c:pt idx="556">
                  <c:v>136.97999999999999</c:v>
                </c:pt>
                <c:pt idx="557">
                  <c:v>135.36000000000001</c:v>
                </c:pt>
                <c:pt idx="558">
                  <c:v>135.09</c:v>
                </c:pt>
                <c:pt idx="559">
                  <c:v>137.71</c:v>
                </c:pt>
                <c:pt idx="560">
                  <c:v>138.28</c:v>
                </c:pt>
                <c:pt idx="561">
                  <c:v>138.56</c:v>
                </c:pt>
                <c:pt idx="562">
                  <c:v>138.79</c:v>
                </c:pt>
                <c:pt idx="563">
                  <c:v>139.43</c:v>
                </c:pt>
                <c:pt idx="564">
                  <c:v>140.21</c:v>
                </c:pt>
                <c:pt idx="565">
                  <c:v>140.49</c:v>
                </c:pt>
                <c:pt idx="566">
                  <c:v>139.6</c:v>
                </c:pt>
                <c:pt idx="567">
                  <c:v>141.44</c:v>
                </c:pt>
                <c:pt idx="568">
                  <c:v>139.44999999999999</c:v>
                </c:pt>
                <c:pt idx="569">
                  <c:v>139.18</c:v>
                </c:pt>
                <c:pt idx="570">
                  <c:v>140.22</c:v>
                </c:pt>
                <c:pt idx="571">
                  <c:v>139.24</c:v>
                </c:pt>
                <c:pt idx="572">
                  <c:v>139.91999999999999</c:v>
                </c:pt>
                <c:pt idx="573">
                  <c:v>141.1</c:v>
                </c:pt>
                <c:pt idx="574">
                  <c:v>143.30000000000001</c:v>
                </c:pt>
                <c:pt idx="575">
                  <c:v>143</c:v>
                </c:pt>
                <c:pt idx="576">
                  <c:v>143.63</c:v>
                </c:pt>
                <c:pt idx="577">
                  <c:v>142.78</c:v>
                </c:pt>
                <c:pt idx="578">
                  <c:v>143.28</c:v>
                </c:pt>
                <c:pt idx="579">
                  <c:v>143.38999999999999</c:v>
                </c:pt>
                <c:pt idx="580">
                  <c:v>142.11000000000001</c:v>
                </c:pt>
                <c:pt idx="581">
                  <c:v>143.02000000000001</c:v>
                </c:pt>
                <c:pt idx="582">
                  <c:v>143.78</c:v>
                </c:pt>
                <c:pt idx="583">
                  <c:v>144.35</c:v>
                </c:pt>
                <c:pt idx="584">
                  <c:v>143.9</c:v>
                </c:pt>
                <c:pt idx="585">
                  <c:v>145.13999999999999</c:v>
                </c:pt>
                <c:pt idx="586">
                  <c:v>139.11000000000001</c:v>
                </c:pt>
                <c:pt idx="587">
                  <c:v>140.33000000000001</c:v>
                </c:pt>
                <c:pt idx="588">
                  <c:v>138.88999999999999</c:v>
                </c:pt>
                <c:pt idx="589">
                  <c:v>140.44</c:v>
                </c:pt>
                <c:pt idx="590">
                  <c:v>139.94999999999999</c:v>
                </c:pt>
                <c:pt idx="591">
                  <c:v>138.63</c:v>
                </c:pt>
                <c:pt idx="592">
                  <c:v>139.44</c:v>
                </c:pt>
                <c:pt idx="593">
                  <c:v>139.05000000000001</c:v>
                </c:pt>
                <c:pt idx="594">
                  <c:v>140.27000000000001</c:v>
                </c:pt>
                <c:pt idx="595">
                  <c:v>140.56</c:v>
                </c:pt>
                <c:pt idx="596">
                  <c:v>139.59</c:v>
                </c:pt>
                <c:pt idx="597">
                  <c:v>140.25</c:v>
                </c:pt>
                <c:pt idx="598">
                  <c:v>140.38</c:v>
                </c:pt>
                <c:pt idx="599">
                  <c:v>137.63999999999999</c:v>
                </c:pt>
                <c:pt idx="600">
                  <c:v>138</c:v>
                </c:pt>
                <c:pt idx="601">
                  <c:v>135.34</c:v>
                </c:pt>
                <c:pt idx="602">
                  <c:v>135.32</c:v>
                </c:pt>
                <c:pt idx="603">
                  <c:v>131.41999999999999</c:v>
                </c:pt>
                <c:pt idx="604">
                  <c:v>133.31</c:v>
                </c:pt>
                <c:pt idx="605">
                  <c:v>134.4</c:v>
                </c:pt>
                <c:pt idx="606">
                  <c:v>135.88</c:v>
                </c:pt>
                <c:pt idx="607">
                  <c:v>134.32</c:v>
                </c:pt>
                <c:pt idx="608">
                  <c:v>135.12</c:v>
                </c:pt>
                <c:pt idx="609">
                  <c:v>136.44999999999999</c:v>
                </c:pt>
                <c:pt idx="610">
                  <c:v>136.35</c:v>
                </c:pt>
                <c:pt idx="611">
                  <c:v>132.38999999999999</c:v>
                </c:pt>
                <c:pt idx="612">
                  <c:v>132.28</c:v>
                </c:pt>
                <c:pt idx="613">
                  <c:v>130.46</c:v>
                </c:pt>
                <c:pt idx="614">
                  <c:v>129.69</c:v>
                </c:pt>
                <c:pt idx="615">
                  <c:v>129.57</c:v>
                </c:pt>
                <c:pt idx="616">
                  <c:v>126.99</c:v>
                </c:pt>
                <c:pt idx="617">
                  <c:v>128.27000000000001</c:v>
                </c:pt>
                <c:pt idx="618">
                  <c:v>132.69</c:v>
                </c:pt>
                <c:pt idx="619">
                  <c:v>131.49</c:v>
                </c:pt>
                <c:pt idx="620">
                  <c:v>132.22</c:v>
                </c:pt>
                <c:pt idx="621">
                  <c:v>133.31</c:v>
                </c:pt>
                <c:pt idx="622">
                  <c:v>134.74</c:v>
                </c:pt>
                <c:pt idx="623">
                  <c:v>135.94999999999999</c:v>
                </c:pt>
                <c:pt idx="624">
                  <c:v>134.87</c:v>
                </c:pt>
                <c:pt idx="625">
                  <c:v>135.76</c:v>
                </c:pt>
                <c:pt idx="626">
                  <c:v>135.15</c:v>
                </c:pt>
                <c:pt idx="627">
                  <c:v>134.94999999999999</c:v>
                </c:pt>
                <c:pt idx="628">
                  <c:v>136.38</c:v>
                </c:pt>
                <c:pt idx="629">
                  <c:v>137.08000000000001</c:v>
                </c:pt>
                <c:pt idx="630">
                  <c:v>138.85</c:v>
                </c:pt>
                <c:pt idx="631">
                  <c:v>139.19999999999999</c:v>
                </c:pt>
                <c:pt idx="632">
                  <c:v>139.35</c:v>
                </c:pt>
                <c:pt idx="633">
                  <c:v>138.36000000000001</c:v>
                </c:pt>
                <c:pt idx="634">
                  <c:v>138.52000000000001</c:v>
                </c:pt>
                <c:pt idx="635">
                  <c:v>138.52000000000001</c:v>
                </c:pt>
                <c:pt idx="636">
                  <c:v>137.9</c:v>
                </c:pt>
                <c:pt idx="637">
                  <c:v>139.88</c:v>
                </c:pt>
                <c:pt idx="638">
                  <c:v>140.22</c:v>
                </c:pt>
                <c:pt idx="639">
                  <c:v>141.54</c:v>
                </c:pt>
                <c:pt idx="640">
                  <c:v>141.38</c:v>
                </c:pt>
                <c:pt idx="641">
                  <c:v>140.57</c:v>
                </c:pt>
                <c:pt idx="642">
                  <c:v>139.33000000000001</c:v>
                </c:pt>
                <c:pt idx="643">
                  <c:v>140.47</c:v>
                </c:pt>
                <c:pt idx="644">
                  <c:v>141.24</c:v>
                </c:pt>
                <c:pt idx="645">
                  <c:v>142.74</c:v>
                </c:pt>
                <c:pt idx="646">
                  <c:v>143.32</c:v>
                </c:pt>
                <c:pt idx="647">
                  <c:v>143.53</c:v>
                </c:pt>
                <c:pt idx="648">
                  <c:v>143.07</c:v>
                </c:pt>
                <c:pt idx="649">
                  <c:v>149.63</c:v>
                </c:pt>
                <c:pt idx="650">
                  <c:v>149.68</c:v>
                </c:pt>
                <c:pt idx="651">
                  <c:v>149.74</c:v>
                </c:pt>
                <c:pt idx="652">
                  <c:v>150.38</c:v>
                </c:pt>
                <c:pt idx="653">
                  <c:v>150.03</c:v>
                </c:pt>
                <c:pt idx="654">
                  <c:v>150.38999999999999</c:v>
                </c:pt>
                <c:pt idx="655">
                  <c:v>151.36000000000001</c:v>
                </c:pt>
                <c:pt idx="656">
                  <c:v>150.88</c:v>
                </c:pt>
                <c:pt idx="657">
                  <c:v>149.77000000000001</c:v>
                </c:pt>
                <c:pt idx="658">
                  <c:v>148.24</c:v>
                </c:pt>
                <c:pt idx="659">
                  <c:v>150.32</c:v>
                </c:pt>
                <c:pt idx="660">
                  <c:v>147.25</c:v>
                </c:pt>
                <c:pt idx="661">
                  <c:v>140.76</c:v>
                </c:pt>
                <c:pt idx="662">
                  <c:v>140.72999999999999</c:v>
                </c:pt>
                <c:pt idx="663">
                  <c:v>139.11000000000001</c:v>
                </c:pt>
                <c:pt idx="664">
                  <c:v>140.1</c:v>
                </c:pt>
                <c:pt idx="665">
                  <c:v>136.13</c:v>
                </c:pt>
                <c:pt idx="666">
                  <c:v>133.66999999999999</c:v>
                </c:pt>
                <c:pt idx="667">
                  <c:v>135.79</c:v>
                </c:pt>
                <c:pt idx="668">
                  <c:v>131.25</c:v>
                </c:pt>
                <c:pt idx="669">
                  <c:v>131.91999999999999</c:v>
                </c:pt>
                <c:pt idx="670">
                  <c:v>133.76</c:v>
                </c:pt>
                <c:pt idx="671">
                  <c:v>135.04</c:v>
                </c:pt>
                <c:pt idx="672">
                  <c:v>133</c:v>
                </c:pt>
                <c:pt idx="673">
                  <c:v>134.25</c:v>
                </c:pt>
                <c:pt idx="674">
                  <c:v>134.32</c:v>
                </c:pt>
                <c:pt idx="675">
                  <c:v>129.57</c:v>
                </c:pt>
                <c:pt idx="676">
                  <c:v>129.99</c:v>
                </c:pt>
                <c:pt idx="677">
                  <c:v>131.16999999999999</c:v>
                </c:pt>
                <c:pt idx="678">
                  <c:v>132.76</c:v>
                </c:pt>
                <c:pt idx="679">
                  <c:v>134.88</c:v>
                </c:pt>
                <c:pt idx="680">
                  <c:v>135.53</c:v>
                </c:pt>
                <c:pt idx="681">
                  <c:v>134.1</c:v>
                </c:pt>
                <c:pt idx="682">
                  <c:v>136.32</c:v>
                </c:pt>
                <c:pt idx="683">
                  <c:v>140.97</c:v>
                </c:pt>
                <c:pt idx="684">
                  <c:v>140.57</c:v>
                </c:pt>
                <c:pt idx="685">
                  <c:v>142.6</c:v>
                </c:pt>
                <c:pt idx="686">
                  <c:v>145.05000000000001</c:v>
                </c:pt>
                <c:pt idx="687">
                  <c:v>143.6</c:v>
                </c:pt>
                <c:pt idx="688">
                  <c:v>143.62</c:v>
                </c:pt>
                <c:pt idx="689">
                  <c:v>143.66999999999999</c:v>
                </c:pt>
                <c:pt idx="690">
                  <c:v>142.47999999999999</c:v>
                </c:pt>
                <c:pt idx="691">
                  <c:v>142.19999999999999</c:v>
                </c:pt>
                <c:pt idx="692">
                  <c:v>142.22</c:v>
                </c:pt>
                <c:pt idx="693">
                  <c:v>142.97</c:v>
                </c:pt>
                <c:pt idx="694">
                  <c:v>141.88</c:v>
                </c:pt>
                <c:pt idx="695">
                  <c:v>142.07</c:v>
                </c:pt>
                <c:pt idx="696">
                  <c:v>141.68</c:v>
                </c:pt>
                <c:pt idx="697">
                  <c:v>143.16</c:v>
                </c:pt>
                <c:pt idx="698">
                  <c:v>143.55000000000001</c:v>
                </c:pt>
                <c:pt idx="699">
                  <c:v>143.24</c:v>
                </c:pt>
                <c:pt idx="700">
                  <c:v>145.41999999999999</c:v>
                </c:pt>
                <c:pt idx="701">
                  <c:v>143.66</c:v>
                </c:pt>
                <c:pt idx="702">
                  <c:v>141.69</c:v>
                </c:pt>
                <c:pt idx="703">
                  <c:v>142.02000000000001</c:v>
                </c:pt>
                <c:pt idx="704">
                  <c:v>142.99</c:v>
                </c:pt>
                <c:pt idx="705">
                  <c:v>141.28</c:v>
                </c:pt>
                <c:pt idx="706">
                  <c:v>138.38</c:v>
                </c:pt>
                <c:pt idx="707">
                  <c:v>139.66999999999999</c:v>
                </c:pt>
                <c:pt idx="708">
                  <c:v>141.13</c:v>
                </c:pt>
                <c:pt idx="709">
                  <c:v>142.76</c:v>
                </c:pt>
                <c:pt idx="710">
                  <c:v>142.04</c:v>
                </c:pt>
                <c:pt idx="711">
                  <c:v>143</c:v>
                </c:pt>
                <c:pt idx="712">
                  <c:v>142.11000000000001</c:v>
                </c:pt>
                <c:pt idx="713">
                  <c:v>134.26</c:v>
                </c:pt>
                <c:pt idx="714">
                  <c:v>134.09</c:v>
                </c:pt>
                <c:pt idx="715">
                  <c:v>132.58000000000001</c:v>
                </c:pt>
                <c:pt idx="716">
                  <c:v>133.96</c:v>
                </c:pt>
                <c:pt idx="717">
                  <c:v>134.38</c:v>
                </c:pt>
                <c:pt idx="718">
                  <c:v>134.07</c:v>
                </c:pt>
                <c:pt idx="719">
                  <c:v>135.44</c:v>
                </c:pt>
                <c:pt idx="720">
                  <c:v>135.97</c:v>
                </c:pt>
                <c:pt idx="721">
                  <c:v>133.82</c:v>
                </c:pt>
                <c:pt idx="722">
                  <c:v>135.25</c:v>
                </c:pt>
                <c:pt idx="723">
                  <c:v>133.72999999999999</c:v>
                </c:pt>
                <c:pt idx="724">
                  <c:v>135.53</c:v>
                </c:pt>
                <c:pt idx="725">
                  <c:v>137.66999999999999</c:v>
                </c:pt>
                <c:pt idx="726">
                  <c:v>137.88999999999999</c:v>
                </c:pt>
                <c:pt idx="727">
                  <c:v>138.78</c:v>
                </c:pt>
                <c:pt idx="728">
                  <c:v>137.69</c:v>
                </c:pt>
                <c:pt idx="729">
                  <c:v>137.61000000000001</c:v>
                </c:pt>
                <c:pt idx="730">
                  <c:v>135.47</c:v>
                </c:pt>
                <c:pt idx="731">
                  <c:v>135.59</c:v>
                </c:pt>
                <c:pt idx="732">
                  <c:v>134.47999999999999</c:v>
                </c:pt>
                <c:pt idx="733">
                  <c:v>134</c:v>
                </c:pt>
                <c:pt idx="734">
                  <c:v>134.4</c:v>
                </c:pt>
                <c:pt idx="735">
                  <c:v>134.31</c:v>
                </c:pt>
                <c:pt idx="736">
                  <c:v>134.52000000000001</c:v>
                </c:pt>
                <c:pt idx="737">
                  <c:v>133.19999999999999</c:v>
                </c:pt>
                <c:pt idx="738">
                  <c:v>133.84</c:v>
                </c:pt>
                <c:pt idx="739">
                  <c:v>134.34</c:v>
                </c:pt>
                <c:pt idx="740">
                  <c:v>135.97</c:v>
                </c:pt>
                <c:pt idx="741">
                  <c:v>135.09</c:v>
                </c:pt>
                <c:pt idx="742">
                  <c:v>133.77000000000001</c:v>
                </c:pt>
                <c:pt idx="743">
                  <c:v>134.44999999999999</c:v>
                </c:pt>
                <c:pt idx="744">
                  <c:v>132.91</c:v>
                </c:pt>
                <c:pt idx="745">
                  <c:v>132.12</c:v>
                </c:pt>
                <c:pt idx="746">
                  <c:v>131.99</c:v>
                </c:pt>
                <c:pt idx="747">
                  <c:v>131.91</c:v>
                </c:pt>
                <c:pt idx="748">
                  <c:v>133.22</c:v>
                </c:pt>
                <c:pt idx="749">
                  <c:v>133.91999999999999</c:v>
                </c:pt>
                <c:pt idx="750">
                  <c:v>133.91</c:v>
                </c:pt>
                <c:pt idx="751">
                  <c:v>133.76</c:v>
                </c:pt>
                <c:pt idx="752">
                  <c:v>135.32</c:v>
                </c:pt>
                <c:pt idx="753">
                  <c:v>134.21</c:v>
                </c:pt>
                <c:pt idx="754">
                  <c:v>134.13</c:v>
                </c:pt>
                <c:pt idx="755">
                  <c:v>134.22</c:v>
                </c:pt>
                <c:pt idx="756">
                  <c:v>134.41</c:v>
                </c:pt>
                <c:pt idx="757">
                  <c:v>134.56</c:v>
                </c:pt>
                <c:pt idx="758">
                  <c:v>135.59</c:v>
                </c:pt>
                <c:pt idx="759">
                  <c:v>135.55000000000001</c:v>
                </c:pt>
                <c:pt idx="760">
                  <c:v>134.97999999999999</c:v>
                </c:pt>
                <c:pt idx="761">
                  <c:v>134.91</c:v>
                </c:pt>
                <c:pt idx="762">
                  <c:v>135.27000000000001</c:v>
                </c:pt>
                <c:pt idx="763">
                  <c:v>132.81</c:v>
                </c:pt>
                <c:pt idx="764">
                  <c:v>134.04</c:v>
                </c:pt>
                <c:pt idx="765">
                  <c:v>135.41999999999999</c:v>
                </c:pt>
                <c:pt idx="766">
                  <c:v>134.34</c:v>
                </c:pt>
                <c:pt idx="767">
                  <c:v>134.1</c:v>
                </c:pt>
                <c:pt idx="768">
                  <c:v>134.19</c:v>
                </c:pt>
                <c:pt idx="769">
                  <c:v>135.31</c:v>
                </c:pt>
                <c:pt idx="770">
                  <c:v>136.74</c:v>
                </c:pt>
                <c:pt idx="771">
                  <c:v>136.69</c:v>
                </c:pt>
                <c:pt idx="772">
                  <c:v>136.6</c:v>
                </c:pt>
                <c:pt idx="773">
                  <c:v>135.82</c:v>
                </c:pt>
                <c:pt idx="774">
                  <c:v>136.62</c:v>
                </c:pt>
                <c:pt idx="775">
                  <c:v>137.97999999999999</c:v>
                </c:pt>
                <c:pt idx="776">
                  <c:v>138.31</c:v>
                </c:pt>
                <c:pt idx="777">
                  <c:v>139.16999999999999</c:v>
                </c:pt>
                <c:pt idx="778">
                  <c:v>143.88999999999999</c:v>
                </c:pt>
                <c:pt idx="779">
                  <c:v>142.87</c:v>
                </c:pt>
                <c:pt idx="780">
                  <c:v>140.56</c:v>
                </c:pt>
                <c:pt idx="781">
                  <c:v>138.62</c:v>
                </c:pt>
                <c:pt idx="782">
                  <c:v>139.55000000000001</c:v>
                </c:pt>
                <c:pt idx="783">
                  <c:v>137.69</c:v>
                </c:pt>
                <c:pt idx="784">
                  <c:v>136.77000000000001</c:v>
                </c:pt>
                <c:pt idx="785">
                  <c:v>143.72999999999999</c:v>
                </c:pt>
                <c:pt idx="786">
                  <c:v>146.27000000000001</c:v>
                </c:pt>
                <c:pt idx="787">
                  <c:v>149.11000000000001</c:v>
                </c:pt>
                <c:pt idx="788">
                  <c:v>156.33000000000001</c:v>
                </c:pt>
                <c:pt idx="789">
                  <c:v>156.76</c:v>
                </c:pt>
                <c:pt idx="790">
                  <c:v>153.41</c:v>
                </c:pt>
                <c:pt idx="791">
                  <c:v>154.43</c:v>
                </c:pt>
                <c:pt idx="792">
                  <c:v>153.47999999999999</c:v>
                </c:pt>
                <c:pt idx="793">
                  <c:v>155.31</c:v>
                </c:pt>
                <c:pt idx="794">
                  <c:v>154.31</c:v>
                </c:pt>
                <c:pt idx="795">
                  <c:v>150.69999999999999</c:v>
                </c:pt>
                <c:pt idx="796">
                  <c:v>151.1</c:v>
                </c:pt>
                <c:pt idx="797">
                  <c:v>150.86000000000001</c:v>
                </c:pt>
                <c:pt idx="798">
                  <c:v>151.22</c:v>
                </c:pt>
                <c:pt idx="799">
                  <c:v>149.84</c:v>
                </c:pt>
                <c:pt idx="800">
                  <c:v>146.43</c:v>
                </c:pt>
                <c:pt idx="801">
                  <c:v>141.71</c:v>
                </c:pt>
                <c:pt idx="802">
                  <c:v>139.75</c:v>
                </c:pt>
                <c:pt idx="803">
                  <c:v>133.11000000000001</c:v>
                </c:pt>
                <c:pt idx="804">
                  <c:v>130.15</c:v>
                </c:pt>
                <c:pt idx="805">
                  <c:v>134.30000000000001</c:v>
                </c:pt>
                <c:pt idx="806">
                  <c:v>128.9</c:v>
                </c:pt>
                <c:pt idx="807">
                  <c:v>134.22</c:v>
                </c:pt>
                <c:pt idx="808">
                  <c:v>129.55000000000001</c:v>
                </c:pt>
                <c:pt idx="809">
                  <c:v>127.73</c:v>
                </c:pt>
                <c:pt idx="810">
                  <c:v>117.81</c:v>
                </c:pt>
                <c:pt idx="811">
                  <c:v>124.77</c:v>
                </c:pt>
                <c:pt idx="812">
                  <c:v>117.97</c:v>
                </c:pt>
                <c:pt idx="813">
                  <c:v>102.81</c:v>
                </c:pt>
                <c:pt idx="814">
                  <c:v>107.95</c:v>
                </c:pt>
                <c:pt idx="815">
                  <c:v>99.08</c:v>
                </c:pt>
                <c:pt idx="816">
                  <c:v>106.65</c:v>
                </c:pt>
                <c:pt idx="817">
                  <c:v>103.55</c:v>
                </c:pt>
                <c:pt idx="818">
                  <c:v>100.34</c:v>
                </c:pt>
                <c:pt idx="819">
                  <c:v>95.39</c:v>
                </c:pt>
                <c:pt idx="820">
                  <c:v>94.77</c:v>
                </c:pt>
                <c:pt idx="821">
                  <c:v>105.48</c:v>
                </c:pt>
                <c:pt idx="822">
                  <c:v>105.85</c:v>
                </c:pt>
                <c:pt idx="823">
                  <c:v>112.89</c:v>
                </c:pt>
                <c:pt idx="824">
                  <c:v>108.03</c:v>
                </c:pt>
                <c:pt idx="825">
                  <c:v>112.93</c:v>
                </c:pt>
                <c:pt idx="826">
                  <c:v>110.93</c:v>
                </c:pt>
                <c:pt idx="827">
                  <c:v>105.14</c:v>
                </c:pt>
                <c:pt idx="828">
                  <c:v>110</c:v>
                </c:pt>
                <c:pt idx="829">
                  <c:v>106.34</c:v>
                </c:pt>
                <c:pt idx="830">
                  <c:v>114.82</c:v>
                </c:pt>
                <c:pt idx="831">
                  <c:v>114.94</c:v>
                </c:pt>
                <c:pt idx="832">
                  <c:v>119.29</c:v>
                </c:pt>
                <c:pt idx="833">
                  <c:v>121.5</c:v>
                </c:pt>
                <c:pt idx="834">
                  <c:v>121.15</c:v>
                </c:pt>
                <c:pt idx="835">
                  <c:v>123.91</c:v>
                </c:pt>
                <c:pt idx="836">
                  <c:v>118.69</c:v>
                </c:pt>
                <c:pt idx="837">
                  <c:v>115.73</c:v>
                </c:pt>
                <c:pt idx="838">
                  <c:v>120.12</c:v>
                </c:pt>
                <c:pt idx="839">
                  <c:v>120.41</c:v>
                </c:pt>
                <c:pt idx="840">
                  <c:v>116.76</c:v>
                </c:pt>
                <c:pt idx="841">
                  <c:v>119.31</c:v>
                </c:pt>
                <c:pt idx="842">
                  <c:v>121.35</c:v>
                </c:pt>
                <c:pt idx="843">
                  <c:v>124.72</c:v>
                </c:pt>
                <c:pt idx="844">
                  <c:v>125.92</c:v>
                </c:pt>
                <c:pt idx="845">
                  <c:v>126.27</c:v>
                </c:pt>
                <c:pt idx="846">
                  <c:v>128.69</c:v>
                </c:pt>
                <c:pt idx="847">
                  <c:v>125.56</c:v>
                </c:pt>
                <c:pt idx="848">
                  <c:v>121.87</c:v>
                </c:pt>
                <c:pt idx="849">
                  <c:v>121.68</c:v>
                </c:pt>
                <c:pt idx="850">
                  <c:v>122.58</c:v>
                </c:pt>
                <c:pt idx="851">
                  <c:v>123.17</c:v>
                </c:pt>
                <c:pt idx="852">
                  <c:v>121.23</c:v>
                </c:pt>
                <c:pt idx="853">
                  <c:v>122.99</c:v>
                </c:pt>
                <c:pt idx="854">
                  <c:v>122.59</c:v>
                </c:pt>
                <c:pt idx="855">
                  <c:v>120.26</c:v>
                </c:pt>
                <c:pt idx="856">
                  <c:v>115.73</c:v>
                </c:pt>
                <c:pt idx="857">
                  <c:v>116.95</c:v>
                </c:pt>
                <c:pt idx="858">
                  <c:v>116.98</c:v>
                </c:pt>
                <c:pt idx="859">
                  <c:v>121.56</c:v>
                </c:pt>
                <c:pt idx="860">
                  <c:v>120.29</c:v>
                </c:pt>
                <c:pt idx="861">
                  <c:v>121.38</c:v>
                </c:pt>
                <c:pt idx="862">
                  <c:v>119.12</c:v>
                </c:pt>
                <c:pt idx="863">
                  <c:v>118.39</c:v>
                </c:pt>
                <c:pt idx="864">
                  <c:v>121.76</c:v>
                </c:pt>
                <c:pt idx="865">
                  <c:v>125.54</c:v>
                </c:pt>
                <c:pt idx="866">
                  <c:v>124.53</c:v>
                </c:pt>
                <c:pt idx="867">
                  <c:v>124.9</c:v>
                </c:pt>
                <c:pt idx="868">
                  <c:v>124.89</c:v>
                </c:pt>
                <c:pt idx="869">
                  <c:v>126</c:v>
                </c:pt>
                <c:pt idx="870">
                  <c:v>129.05000000000001</c:v>
                </c:pt>
                <c:pt idx="871">
                  <c:v>128.88999999999999</c:v>
                </c:pt>
                <c:pt idx="872">
                  <c:v>132.06</c:v>
                </c:pt>
                <c:pt idx="873">
                  <c:v>135.75</c:v>
                </c:pt>
                <c:pt idx="874">
                  <c:v>131.87</c:v>
                </c:pt>
                <c:pt idx="875">
                  <c:v>129.87</c:v>
                </c:pt>
                <c:pt idx="876">
                  <c:v>118.01</c:v>
                </c:pt>
                <c:pt idx="877">
                  <c:v>121.91</c:v>
                </c:pt>
                <c:pt idx="878">
                  <c:v>121.65</c:v>
                </c:pt>
                <c:pt idx="879">
                  <c:v>125.15</c:v>
                </c:pt>
                <c:pt idx="880">
                  <c:v>124.15</c:v>
                </c:pt>
                <c:pt idx="881">
                  <c:v>124.16</c:v>
                </c:pt>
                <c:pt idx="882">
                  <c:v>122.47</c:v>
                </c:pt>
                <c:pt idx="883">
                  <c:v>121.07</c:v>
                </c:pt>
                <c:pt idx="884">
                  <c:v>119.41</c:v>
                </c:pt>
                <c:pt idx="885">
                  <c:v>116.42</c:v>
                </c:pt>
                <c:pt idx="886">
                  <c:v>119.03</c:v>
                </c:pt>
                <c:pt idx="887">
                  <c:v>117.19</c:v>
                </c:pt>
                <c:pt idx="888">
                  <c:v>119.75</c:v>
                </c:pt>
                <c:pt idx="889">
                  <c:v>120.77</c:v>
                </c:pt>
                <c:pt idx="890">
                  <c:v>118.54</c:v>
                </c:pt>
                <c:pt idx="891">
                  <c:v>119.7</c:v>
                </c:pt>
                <c:pt idx="892">
                  <c:v>120.19</c:v>
                </c:pt>
                <c:pt idx="893">
                  <c:v>117.58</c:v>
                </c:pt>
                <c:pt idx="894">
                  <c:v>117.71</c:v>
                </c:pt>
                <c:pt idx="895">
                  <c:v>115.71</c:v>
                </c:pt>
                <c:pt idx="896">
                  <c:v>118.35</c:v>
                </c:pt>
                <c:pt idx="897">
                  <c:v>119.2</c:v>
                </c:pt>
                <c:pt idx="898">
                  <c:v>120.6</c:v>
                </c:pt>
                <c:pt idx="899">
                  <c:v>123</c:v>
                </c:pt>
                <c:pt idx="900">
                  <c:v>124.01</c:v>
                </c:pt>
                <c:pt idx="901">
                  <c:v>125.11</c:v>
                </c:pt>
                <c:pt idx="902">
                  <c:v>126.37</c:v>
                </c:pt>
                <c:pt idx="903">
                  <c:v>126.06</c:v>
                </c:pt>
                <c:pt idx="904">
                  <c:v>128.66999999999999</c:v>
                </c:pt>
                <c:pt idx="905">
                  <c:v>127.33</c:v>
                </c:pt>
                <c:pt idx="906">
                  <c:v>125.79</c:v>
                </c:pt>
                <c:pt idx="907">
                  <c:v>126.21</c:v>
                </c:pt>
                <c:pt idx="908">
                  <c:v>124.47</c:v>
                </c:pt>
                <c:pt idx="909">
                  <c:v>125.32</c:v>
                </c:pt>
                <c:pt idx="910">
                  <c:v>122.9</c:v>
                </c:pt>
                <c:pt idx="911">
                  <c:v>122.94</c:v>
                </c:pt>
                <c:pt idx="912">
                  <c:v>124.31</c:v>
                </c:pt>
                <c:pt idx="913">
                  <c:v>125.84</c:v>
                </c:pt>
                <c:pt idx="914">
                  <c:v>125.45</c:v>
                </c:pt>
                <c:pt idx="915">
                  <c:v>126.12</c:v>
                </c:pt>
                <c:pt idx="916">
                  <c:v>124.96</c:v>
                </c:pt>
                <c:pt idx="917">
                  <c:v>127.11</c:v>
                </c:pt>
                <c:pt idx="918">
                  <c:v>126.75</c:v>
                </c:pt>
                <c:pt idx="919">
                  <c:v>126.7</c:v>
                </c:pt>
                <c:pt idx="920">
                  <c:v>125.03</c:v>
                </c:pt>
                <c:pt idx="921">
                  <c:v>125.27</c:v>
                </c:pt>
                <c:pt idx="922">
                  <c:v>124.44</c:v>
                </c:pt>
                <c:pt idx="923">
                  <c:v>124.92</c:v>
                </c:pt>
                <c:pt idx="924">
                  <c:v>123.84</c:v>
                </c:pt>
                <c:pt idx="925">
                  <c:v>123.15</c:v>
                </c:pt>
                <c:pt idx="926">
                  <c:v>123.16</c:v>
                </c:pt>
                <c:pt idx="927">
                  <c:v>125.68</c:v>
                </c:pt>
                <c:pt idx="928">
                  <c:v>124.64</c:v>
                </c:pt>
                <c:pt idx="929">
                  <c:v>124.17</c:v>
                </c:pt>
                <c:pt idx="930">
                  <c:v>124.65</c:v>
                </c:pt>
                <c:pt idx="931">
                  <c:v>125.07</c:v>
                </c:pt>
                <c:pt idx="932">
                  <c:v>123.31</c:v>
                </c:pt>
                <c:pt idx="933">
                  <c:v>123.4</c:v>
                </c:pt>
                <c:pt idx="934">
                  <c:v>128.18</c:v>
                </c:pt>
                <c:pt idx="935">
                  <c:v>124.45</c:v>
                </c:pt>
                <c:pt idx="936">
                  <c:v>122.3</c:v>
                </c:pt>
                <c:pt idx="937">
                  <c:v>121.21</c:v>
                </c:pt>
                <c:pt idx="938">
                  <c:v>122.26</c:v>
                </c:pt>
                <c:pt idx="939">
                  <c:v>120.56</c:v>
                </c:pt>
                <c:pt idx="940">
                  <c:v>121.46</c:v>
                </c:pt>
                <c:pt idx="941">
                  <c:v>122.09</c:v>
                </c:pt>
                <c:pt idx="942">
                  <c:v>122.44</c:v>
                </c:pt>
                <c:pt idx="943">
                  <c:v>124.22</c:v>
                </c:pt>
                <c:pt idx="944">
                  <c:v>124.92</c:v>
                </c:pt>
                <c:pt idx="945">
                  <c:v>122.76</c:v>
                </c:pt>
                <c:pt idx="946">
                  <c:v>120.25</c:v>
                </c:pt>
                <c:pt idx="947">
                  <c:v>120.51</c:v>
                </c:pt>
                <c:pt idx="948">
                  <c:v>118.83</c:v>
                </c:pt>
                <c:pt idx="949">
                  <c:v>118.09</c:v>
                </c:pt>
                <c:pt idx="950">
                  <c:v>118.95</c:v>
                </c:pt>
                <c:pt idx="951">
                  <c:v>121.73</c:v>
                </c:pt>
                <c:pt idx="952">
                  <c:v>120.94</c:v>
                </c:pt>
                <c:pt idx="953">
                  <c:v>121.67</c:v>
                </c:pt>
                <c:pt idx="954">
                  <c:v>121.09</c:v>
                </c:pt>
                <c:pt idx="955">
                  <c:v>120.57</c:v>
                </c:pt>
                <c:pt idx="956">
                  <c:v>122.01</c:v>
                </c:pt>
                <c:pt idx="957">
                  <c:v>121.97</c:v>
                </c:pt>
                <c:pt idx="958">
                  <c:v>124.07</c:v>
                </c:pt>
                <c:pt idx="959">
                  <c:v>131.49</c:v>
                </c:pt>
                <c:pt idx="960">
                  <c:v>127.79</c:v>
                </c:pt>
                <c:pt idx="961">
                  <c:v>127.21</c:v>
                </c:pt>
                <c:pt idx="962">
                  <c:v>125.1</c:v>
                </c:pt>
                <c:pt idx="963">
                  <c:v>125.94</c:v>
                </c:pt>
                <c:pt idx="964">
                  <c:v>124.89</c:v>
                </c:pt>
                <c:pt idx="965">
                  <c:v>125.93</c:v>
                </c:pt>
                <c:pt idx="966">
                  <c:v>125.52</c:v>
                </c:pt>
                <c:pt idx="967">
                  <c:v>117.37</c:v>
                </c:pt>
                <c:pt idx="968">
                  <c:v>115.06</c:v>
                </c:pt>
                <c:pt idx="969">
                  <c:v>115.76</c:v>
                </c:pt>
                <c:pt idx="970">
                  <c:v>116</c:v>
                </c:pt>
                <c:pt idx="971">
                  <c:v>112.22</c:v>
                </c:pt>
                <c:pt idx="972">
                  <c:v>110.56</c:v>
                </c:pt>
                <c:pt idx="973">
                  <c:v>106.65</c:v>
                </c:pt>
                <c:pt idx="974">
                  <c:v>108.91</c:v>
                </c:pt>
                <c:pt idx="975">
                  <c:v>111.66</c:v>
                </c:pt>
                <c:pt idx="976">
                  <c:v>112.91</c:v>
                </c:pt>
                <c:pt idx="977">
                  <c:v>114.16</c:v>
                </c:pt>
                <c:pt idx="978">
                  <c:v>111.9</c:v>
                </c:pt>
                <c:pt idx="979">
                  <c:v>114.77</c:v>
                </c:pt>
                <c:pt idx="980">
                  <c:v>114.04</c:v>
                </c:pt>
                <c:pt idx="981">
                  <c:v>115.53</c:v>
                </c:pt>
                <c:pt idx="982">
                  <c:v>117.91</c:v>
                </c:pt>
                <c:pt idx="983">
                  <c:v>117.2</c:v>
                </c:pt>
                <c:pt idx="984">
                  <c:v>114.5</c:v>
                </c:pt>
                <c:pt idx="985">
                  <c:v>116.85</c:v>
                </c:pt>
                <c:pt idx="986">
                  <c:v>118.36</c:v>
                </c:pt>
                <c:pt idx="987">
                  <c:v>117.7</c:v>
                </c:pt>
                <c:pt idx="988">
                  <c:v>116.77</c:v>
                </c:pt>
                <c:pt idx="989">
                  <c:v>117.18</c:v>
                </c:pt>
                <c:pt idx="990">
                  <c:v>116.94</c:v>
                </c:pt>
                <c:pt idx="991">
                  <c:v>120.09</c:v>
                </c:pt>
                <c:pt idx="992">
                  <c:v>124.42</c:v>
                </c:pt>
                <c:pt idx="993">
                  <c:v>124.2</c:v>
                </c:pt>
                <c:pt idx="994">
                  <c:v>124.35</c:v>
                </c:pt>
                <c:pt idx="995">
                  <c:v>123.52</c:v>
                </c:pt>
                <c:pt idx="996">
                  <c:v>123.16</c:v>
                </c:pt>
                <c:pt idx="997">
                  <c:v>124.62</c:v>
                </c:pt>
                <c:pt idx="998">
                  <c:v>123.61</c:v>
                </c:pt>
                <c:pt idx="999">
                  <c:v>127.2</c:v>
                </c:pt>
                <c:pt idx="1000">
                  <c:v>124.7</c:v>
                </c:pt>
                <c:pt idx="1001">
                  <c:v>125.71</c:v>
                </c:pt>
                <c:pt idx="1002">
                  <c:v>126.79</c:v>
                </c:pt>
                <c:pt idx="1003">
                  <c:v>124.96</c:v>
                </c:pt>
                <c:pt idx="1004">
                  <c:v>124.27</c:v>
                </c:pt>
                <c:pt idx="1005">
                  <c:v>123.53</c:v>
                </c:pt>
                <c:pt idx="1006">
                  <c:v>125.93</c:v>
                </c:pt>
                <c:pt idx="1007">
                  <c:v>125.55</c:v>
                </c:pt>
                <c:pt idx="1008">
                  <c:v>125.55</c:v>
                </c:pt>
                <c:pt idx="1009">
                  <c:v>125.85</c:v>
                </c:pt>
                <c:pt idx="1010">
                  <c:v>123.39</c:v>
                </c:pt>
                <c:pt idx="1011">
                  <c:v>123.61</c:v>
                </c:pt>
                <c:pt idx="1012">
                  <c:v>123.9</c:v>
                </c:pt>
                <c:pt idx="1013">
                  <c:v>124.69</c:v>
                </c:pt>
                <c:pt idx="1014">
                  <c:v>124.82</c:v>
                </c:pt>
                <c:pt idx="1015">
                  <c:v>123.8</c:v>
                </c:pt>
                <c:pt idx="1016">
                  <c:v>124.34</c:v>
                </c:pt>
                <c:pt idx="1017">
                  <c:v>125.88</c:v>
                </c:pt>
                <c:pt idx="1018">
                  <c:v>123.94</c:v>
                </c:pt>
                <c:pt idx="1019">
                  <c:v>126.14</c:v>
                </c:pt>
                <c:pt idx="1020">
                  <c:v>129.29</c:v>
                </c:pt>
                <c:pt idx="1021">
                  <c:v>128.99</c:v>
                </c:pt>
                <c:pt idx="1022">
                  <c:v>128.53</c:v>
                </c:pt>
                <c:pt idx="1023">
                  <c:v>128.58000000000001</c:v>
                </c:pt>
                <c:pt idx="1024">
                  <c:v>129.21</c:v>
                </c:pt>
                <c:pt idx="1025">
                  <c:v>126.92</c:v>
                </c:pt>
                <c:pt idx="1026">
                  <c:v>128.97</c:v>
                </c:pt>
                <c:pt idx="1027">
                  <c:v>128.38999999999999</c:v>
                </c:pt>
                <c:pt idx="1028">
                  <c:v>129.02000000000001</c:v>
                </c:pt>
                <c:pt idx="1029">
                  <c:v>130.08000000000001</c:v>
                </c:pt>
                <c:pt idx="1030">
                  <c:v>131.65</c:v>
                </c:pt>
                <c:pt idx="1031">
                  <c:v>118.61</c:v>
                </c:pt>
                <c:pt idx="1032">
                  <c:v>118.58</c:v>
                </c:pt>
                <c:pt idx="1033">
                  <c:v>122.49</c:v>
                </c:pt>
                <c:pt idx="1034">
                  <c:v>122.47</c:v>
                </c:pt>
                <c:pt idx="1035">
                  <c:v>120.08</c:v>
                </c:pt>
                <c:pt idx="1036">
                  <c:v>119.11</c:v>
                </c:pt>
                <c:pt idx="1037">
                  <c:v>120.54</c:v>
                </c:pt>
                <c:pt idx="1038">
                  <c:v>119.44</c:v>
                </c:pt>
                <c:pt idx="1039">
                  <c:v>119.12</c:v>
                </c:pt>
                <c:pt idx="1040">
                  <c:v>121.02</c:v>
                </c:pt>
                <c:pt idx="1041">
                  <c:v>121.79</c:v>
                </c:pt>
                <c:pt idx="1042">
                  <c:v>123.61</c:v>
                </c:pt>
                <c:pt idx="1043">
                  <c:v>122.1</c:v>
                </c:pt>
                <c:pt idx="1044">
                  <c:v>122.24</c:v>
                </c:pt>
                <c:pt idx="1045">
                  <c:v>120.91</c:v>
                </c:pt>
                <c:pt idx="1046">
                  <c:v>120.8</c:v>
                </c:pt>
                <c:pt idx="1047">
                  <c:v>120.07</c:v>
                </c:pt>
                <c:pt idx="1048">
                  <c:v>119.97</c:v>
                </c:pt>
                <c:pt idx="1049">
                  <c:v>120.73</c:v>
                </c:pt>
                <c:pt idx="1050">
                  <c:v>118.99</c:v>
                </c:pt>
                <c:pt idx="1051">
                  <c:v>120.86</c:v>
                </c:pt>
                <c:pt idx="1052">
                  <c:v>120.71</c:v>
                </c:pt>
                <c:pt idx="1053">
                  <c:v>123.21</c:v>
                </c:pt>
                <c:pt idx="1054">
                  <c:v>122.47</c:v>
                </c:pt>
                <c:pt idx="1055">
                  <c:v>118.93</c:v>
                </c:pt>
                <c:pt idx="1056">
                  <c:v>120.74</c:v>
                </c:pt>
                <c:pt idx="1057">
                  <c:v>120.33</c:v>
                </c:pt>
                <c:pt idx="1058">
                  <c:v>122.36</c:v>
                </c:pt>
                <c:pt idx="1059">
                  <c:v>120.11</c:v>
                </c:pt>
                <c:pt idx="1060">
                  <c:v>122.83</c:v>
                </c:pt>
                <c:pt idx="1061">
                  <c:v>124.81</c:v>
                </c:pt>
                <c:pt idx="1062">
                  <c:v>124.18</c:v>
                </c:pt>
                <c:pt idx="1063">
                  <c:v>127.87</c:v>
                </c:pt>
                <c:pt idx="1064">
                  <c:v>127.14</c:v>
                </c:pt>
                <c:pt idx="1065">
                  <c:v>127.61</c:v>
                </c:pt>
                <c:pt idx="1066">
                  <c:v>128.58000000000001</c:v>
                </c:pt>
                <c:pt idx="1067">
                  <c:v>128.24</c:v>
                </c:pt>
                <c:pt idx="1068">
                  <c:v>129.03</c:v>
                </c:pt>
                <c:pt idx="1069">
                  <c:v>130.06</c:v>
                </c:pt>
                <c:pt idx="1070">
                  <c:v>128.9</c:v>
                </c:pt>
                <c:pt idx="1071">
                  <c:v>130.55000000000001</c:v>
                </c:pt>
                <c:pt idx="1072">
                  <c:v>130.46</c:v>
                </c:pt>
                <c:pt idx="1073">
                  <c:v>130.62</c:v>
                </c:pt>
                <c:pt idx="1074">
                  <c:v>133.07</c:v>
                </c:pt>
                <c:pt idx="1075">
                  <c:v>136.38</c:v>
                </c:pt>
                <c:pt idx="1076">
                  <c:v>135.86000000000001</c:v>
                </c:pt>
                <c:pt idx="1077">
                  <c:v>134.72</c:v>
                </c:pt>
                <c:pt idx="1078">
                  <c:v>133.26</c:v>
                </c:pt>
                <c:pt idx="1079">
                  <c:v>133.22999999999999</c:v>
                </c:pt>
                <c:pt idx="1080">
                  <c:v>135.93</c:v>
                </c:pt>
                <c:pt idx="1081">
                  <c:v>134.22</c:v>
                </c:pt>
                <c:pt idx="1082">
                  <c:v>134.93</c:v>
                </c:pt>
                <c:pt idx="1083">
                  <c:v>135.12</c:v>
                </c:pt>
                <c:pt idx="1084">
                  <c:v>135.72999999999999</c:v>
                </c:pt>
                <c:pt idx="1085">
                  <c:v>134.59</c:v>
                </c:pt>
                <c:pt idx="1086">
                  <c:v>131.18</c:v>
                </c:pt>
                <c:pt idx="1087">
                  <c:v>132.63</c:v>
                </c:pt>
                <c:pt idx="1088">
                  <c:v>132.58000000000001</c:v>
                </c:pt>
                <c:pt idx="1089">
                  <c:v>133.59</c:v>
                </c:pt>
                <c:pt idx="1090">
                  <c:v>133.12</c:v>
                </c:pt>
                <c:pt idx="1091">
                  <c:v>138.16</c:v>
                </c:pt>
                <c:pt idx="1092">
                  <c:v>143.55000000000001</c:v>
                </c:pt>
                <c:pt idx="1093">
                  <c:v>141.28</c:v>
                </c:pt>
                <c:pt idx="1094">
                  <c:v>142.43</c:v>
                </c:pt>
              </c:numCache>
            </c:numRef>
          </c:val>
          <c:smooth val="0"/>
          <c:extLst>
            <c:ext xmlns:c16="http://schemas.microsoft.com/office/drawing/2014/chart" uri="{C3380CC4-5D6E-409C-BE32-E72D297353CC}">
              <c16:uniqueId val="{00000001-CA82-46D2-9C3F-A953CEECA209}"/>
            </c:ext>
          </c:extLst>
        </c:ser>
        <c:dLbls>
          <c:showLegendKey val="0"/>
          <c:showVal val="0"/>
          <c:showCatName val="0"/>
          <c:showSerName val="0"/>
          <c:showPercent val="0"/>
          <c:showBubbleSize val="0"/>
        </c:dLbls>
        <c:marker val="1"/>
        <c:smooth val="0"/>
        <c:axId val="363205408"/>
        <c:axId val="363206240"/>
      </c:lineChart>
      <c:lineChart>
        <c:grouping val="standard"/>
        <c:varyColors val="0"/>
        <c:ser>
          <c:idx val="1"/>
          <c:order val="1"/>
          <c:tx>
            <c:strRef>
              <c:f>Price_Dividend!$F$1</c:f>
              <c:strCache>
                <c:ptCount val="1"/>
                <c:pt idx="0">
                  <c:v>Dividend</c:v>
                </c:pt>
              </c:strCache>
            </c:strRef>
          </c:tx>
          <c:spPr>
            <a:ln w="28575" cap="rnd">
              <a:noFill/>
              <a:round/>
            </a:ln>
            <a:effectLst/>
          </c:spPr>
          <c:marker>
            <c:symbol val="circle"/>
            <c:size val="5"/>
            <c:spPr>
              <a:solidFill>
                <a:schemeClr val="accent2"/>
              </a:solidFill>
              <a:ln w="9525">
                <a:solidFill>
                  <a:schemeClr val="accent2"/>
                </a:solidFill>
              </a:ln>
              <a:effectLst/>
            </c:spPr>
          </c:marker>
          <c:val>
            <c:numRef>
              <c:f>Price_Dividend!$F$2:$F$1096</c:f>
              <c:numCache>
                <c:formatCode>General</c:formatCode>
                <c:ptCount val="1095"/>
                <c:pt idx="36">
                  <c:v>1.4</c:v>
                </c:pt>
                <c:pt idx="97">
                  <c:v>1.5</c:v>
                </c:pt>
                <c:pt idx="161">
                  <c:v>1.5</c:v>
                </c:pt>
                <c:pt idx="227">
                  <c:v>1.5</c:v>
                </c:pt>
                <c:pt idx="288">
                  <c:v>1.5</c:v>
                </c:pt>
                <c:pt idx="350">
                  <c:v>1.57</c:v>
                </c:pt>
                <c:pt idx="414">
                  <c:v>1.57</c:v>
                </c:pt>
                <c:pt idx="478">
                  <c:v>1.57</c:v>
                </c:pt>
                <c:pt idx="538">
                  <c:v>1.57</c:v>
                </c:pt>
                <c:pt idx="601">
                  <c:v>1.62</c:v>
                </c:pt>
                <c:pt idx="664">
                  <c:v>1.62</c:v>
                </c:pt>
                <c:pt idx="728">
                  <c:v>1.62</c:v>
                </c:pt>
                <c:pt idx="790">
                  <c:v>1.62</c:v>
                </c:pt>
                <c:pt idx="852">
                  <c:v>1.63</c:v>
                </c:pt>
                <c:pt idx="916">
                  <c:v>1.63</c:v>
                </c:pt>
                <c:pt idx="981">
                  <c:v>1.63</c:v>
                </c:pt>
                <c:pt idx="1043">
                  <c:v>1.63</c:v>
                </c:pt>
              </c:numCache>
            </c:numRef>
          </c:val>
          <c:smooth val="0"/>
          <c:extLst>
            <c:ext xmlns:c16="http://schemas.microsoft.com/office/drawing/2014/chart" uri="{C3380CC4-5D6E-409C-BE32-E72D297353CC}">
              <c16:uniqueId val="{00000003-CA82-46D2-9C3F-A953CEECA209}"/>
            </c:ext>
          </c:extLst>
        </c:ser>
        <c:dLbls>
          <c:showLegendKey val="0"/>
          <c:showVal val="0"/>
          <c:showCatName val="0"/>
          <c:showSerName val="0"/>
          <c:showPercent val="0"/>
          <c:showBubbleSize val="0"/>
        </c:dLbls>
        <c:marker val="1"/>
        <c:smooth val="0"/>
        <c:axId val="538318448"/>
        <c:axId val="53830680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0"/>
        <c:lblOffset val="100"/>
        <c:baseTimeUnit val="days"/>
        <c:majorUnit val="6"/>
        <c:majorTimeUnit val="months"/>
        <c:minorUnit val="6"/>
        <c:minorTimeUnit val="month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38306800"/>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38318448"/>
        <c:crosses val="max"/>
        <c:crossBetween val="between"/>
      </c:valAx>
      <c:catAx>
        <c:axId val="538318448"/>
        <c:scaling>
          <c:orientation val="minMax"/>
        </c:scaling>
        <c:delete val="1"/>
        <c:axPos val="b"/>
        <c:majorTickMark val="out"/>
        <c:minorTickMark val="none"/>
        <c:tickLblPos val="nextTo"/>
        <c:crossAx val="538306800"/>
        <c:crosses val="autoZero"/>
        <c:auto val="1"/>
        <c:lblAlgn val="ctr"/>
        <c:lblOffset val="100"/>
        <c:noMultiLvlLbl val="0"/>
      </c:catAx>
      <c:spPr>
        <a:noFill/>
        <a:ln>
          <a:noFill/>
        </a:ln>
        <a:effectLst/>
      </c:spPr>
    </c:plotArea>
    <c:legend>
      <c:legendPos val="b"/>
      <c:layout>
        <c:manualLayout>
          <c:xMode val="edge"/>
          <c:yMode val="edge"/>
          <c:x val="0.36626397424926388"/>
          <c:y val="0.93107904829491817"/>
          <c:w val="0.26950035050162963"/>
          <c:h val="4.336246034398548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Balance Sheet Makeup</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776801175980057E-2"/>
          <c:y val="0.11726048744543591"/>
          <c:w val="0.88496486363926874"/>
          <c:h val="0.61552703325036207"/>
        </c:manualLayout>
      </c:layout>
      <c:barChart>
        <c:barDir val="col"/>
        <c:grouping val="stacked"/>
        <c:varyColors val="0"/>
        <c:ser>
          <c:idx val="0"/>
          <c:order val="0"/>
          <c:tx>
            <c:strRef>
              <c:f>Charts!$A$247</c:f>
              <c:strCache>
                <c:ptCount val="1"/>
                <c:pt idx="0">
                  <c:v>Total Current/Investment Assets (Unadjusted)</c:v>
                </c:pt>
              </c:strCache>
            </c:strRef>
          </c:tx>
          <c:spPr>
            <a:solidFill>
              <a:schemeClr val="accent1"/>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Dec-16</c:v>
                  </c:pt>
                  <c:pt idx="2">
                    <c:v>Dec-17</c:v>
                  </c:pt>
                  <c:pt idx="4">
                    <c:v>Dec-18</c:v>
                  </c:pt>
                  <c:pt idx="6">
                    <c:v>Dec-19</c:v>
                  </c:pt>
                  <c:pt idx="8">
                    <c:v>Dec-20</c:v>
                  </c:pt>
                </c:lvl>
              </c:multiLvlStrCache>
            </c:multiLvlStrRef>
          </c:cat>
          <c:val>
            <c:numRef>
              <c:f>Charts!$B$247:$K$247</c:f>
              <c:numCache>
                <c:formatCode>General</c:formatCode>
                <c:ptCount val="10"/>
                <c:pt idx="0">
                  <c:v>43889</c:v>
                </c:pt>
                <c:pt idx="2">
                  <c:v>49735</c:v>
                </c:pt>
                <c:pt idx="4">
                  <c:v>49145</c:v>
                </c:pt>
                <c:pt idx="6">
                  <c:v>38420</c:v>
                </c:pt>
                <c:pt idx="8">
                  <c:v>39165</c:v>
                </c:pt>
              </c:numCache>
            </c:numRef>
          </c:val>
          <c:extLst>
            <c:ext xmlns:c16="http://schemas.microsoft.com/office/drawing/2014/chart" uri="{C3380CC4-5D6E-409C-BE32-E72D297353CC}">
              <c16:uniqueId val="{00000000-9064-4BFB-B99C-CD97E6D9E3E1}"/>
            </c:ext>
          </c:extLst>
        </c:ser>
        <c:ser>
          <c:idx val="1"/>
          <c:order val="1"/>
          <c:tx>
            <c:strRef>
              <c:f>Charts!$A$248</c:f>
              <c:strCache>
                <c:ptCount val="1"/>
                <c:pt idx="0">
                  <c:v>Total Fixed Assets</c:v>
                </c:pt>
              </c:strCache>
            </c:strRef>
          </c:tx>
          <c:spPr>
            <a:solidFill>
              <a:schemeClr val="accent2"/>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Dec-16</c:v>
                  </c:pt>
                  <c:pt idx="2">
                    <c:v>Dec-17</c:v>
                  </c:pt>
                  <c:pt idx="4">
                    <c:v>Dec-18</c:v>
                  </c:pt>
                  <c:pt idx="6">
                    <c:v>Dec-19</c:v>
                  </c:pt>
                  <c:pt idx="8">
                    <c:v>Dec-20</c:v>
                  </c:pt>
                </c:lvl>
              </c:multiLvlStrCache>
            </c:multiLvlStrRef>
          </c:cat>
          <c:val>
            <c:numRef>
              <c:f>Charts!$B$248:$K$248</c:f>
              <c:numCache>
                <c:formatCode>General</c:formatCode>
                <c:ptCount val="10"/>
                <c:pt idx="0">
                  <c:v>73582</c:v>
                </c:pt>
                <c:pt idx="2">
                  <c:v>75621</c:v>
                </c:pt>
                <c:pt idx="4">
                  <c:v>74235</c:v>
                </c:pt>
                <c:pt idx="6">
                  <c:v>113766</c:v>
                </c:pt>
                <c:pt idx="8">
                  <c:v>116806</c:v>
                </c:pt>
              </c:numCache>
            </c:numRef>
          </c:val>
          <c:extLst>
            <c:ext xmlns:c16="http://schemas.microsoft.com/office/drawing/2014/chart" uri="{C3380CC4-5D6E-409C-BE32-E72D297353CC}">
              <c16:uniqueId val="{00000001-9064-4BFB-B99C-CD97E6D9E3E1}"/>
            </c:ext>
          </c:extLst>
        </c:ser>
        <c:ser>
          <c:idx val="2"/>
          <c:order val="2"/>
          <c:tx>
            <c:strRef>
              <c:f>Charts!$A$249</c:f>
              <c:strCache>
                <c:ptCount val="1"/>
                <c:pt idx="0">
                  <c:v>Total Current/Investment Liabilities</c:v>
                </c:pt>
              </c:strCache>
            </c:strRef>
          </c:tx>
          <c:spPr>
            <a:solidFill>
              <a:schemeClr val="accent3"/>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Dec-16</c:v>
                  </c:pt>
                  <c:pt idx="2">
                    <c:v>Dec-17</c:v>
                  </c:pt>
                  <c:pt idx="4">
                    <c:v>Dec-18</c:v>
                  </c:pt>
                  <c:pt idx="6">
                    <c:v>Dec-19</c:v>
                  </c:pt>
                  <c:pt idx="8">
                    <c:v>Dec-20</c:v>
                  </c:pt>
                </c:lvl>
              </c:multiLvlStrCache>
            </c:multiLvlStrRef>
          </c:cat>
          <c:val>
            <c:numRef>
              <c:f>Charts!$B$249:$K$249</c:f>
              <c:numCache>
                <c:formatCode>General</c:formatCode>
                <c:ptCount val="10"/>
                <c:pt idx="1">
                  <c:v>36274</c:v>
                </c:pt>
                <c:pt idx="3">
                  <c:v>37363</c:v>
                </c:pt>
                <c:pt idx="5">
                  <c:v>38227</c:v>
                </c:pt>
                <c:pt idx="7">
                  <c:v>37701</c:v>
                </c:pt>
                <c:pt idx="9">
                  <c:v>39869</c:v>
                </c:pt>
              </c:numCache>
            </c:numRef>
          </c:val>
          <c:extLst>
            <c:ext xmlns:c16="http://schemas.microsoft.com/office/drawing/2014/chart" uri="{C3380CC4-5D6E-409C-BE32-E72D297353CC}">
              <c16:uniqueId val="{00000002-9064-4BFB-B99C-CD97E6D9E3E1}"/>
            </c:ext>
          </c:extLst>
        </c:ser>
        <c:ser>
          <c:idx val="3"/>
          <c:order val="3"/>
          <c:tx>
            <c:strRef>
              <c:f>Charts!$A$250</c:f>
              <c:strCache>
                <c:ptCount val="1"/>
                <c:pt idx="0">
                  <c:v>Total Long-term Liabilities and Minority Interest</c:v>
                </c:pt>
              </c:strCache>
            </c:strRef>
          </c:tx>
          <c:spPr>
            <a:solidFill>
              <a:schemeClr val="accent4"/>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Dec-16</c:v>
                  </c:pt>
                  <c:pt idx="2">
                    <c:v>Dec-17</c:v>
                  </c:pt>
                  <c:pt idx="4">
                    <c:v>Dec-18</c:v>
                  </c:pt>
                  <c:pt idx="6">
                    <c:v>Dec-19</c:v>
                  </c:pt>
                  <c:pt idx="8">
                    <c:v>Dec-20</c:v>
                  </c:pt>
                </c:lvl>
              </c:multiLvlStrCache>
            </c:multiLvlStrRef>
          </c:cat>
          <c:val>
            <c:numRef>
              <c:f>Charts!$B$250:$K$250</c:f>
              <c:numCache>
                <c:formatCode>General</c:formatCode>
                <c:ptCount val="10"/>
                <c:pt idx="1">
                  <c:v>62947</c:v>
                </c:pt>
                <c:pt idx="3">
                  <c:v>70400</c:v>
                </c:pt>
                <c:pt idx="5">
                  <c:v>68359</c:v>
                </c:pt>
                <c:pt idx="7">
                  <c:v>93644</c:v>
                </c:pt>
                <c:pt idx="9">
                  <c:v>95504</c:v>
                </c:pt>
              </c:numCache>
            </c:numRef>
          </c:val>
          <c:extLst>
            <c:ext xmlns:c16="http://schemas.microsoft.com/office/drawing/2014/chart" uri="{C3380CC4-5D6E-409C-BE32-E72D297353CC}">
              <c16:uniqueId val="{00000003-9064-4BFB-B99C-CD97E6D9E3E1}"/>
            </c:ext>
          </c:extLst>
        </c:ser>
        <c:ser>
          <c:idx val="4"/>
          <c:order val="4"/>
          <c:tx>
            <c:strRef>
              <c:f>Charts!$A$251</c:f>
              <c:strCache>
                <c:ptCount val="1"/>
                <c:pt idx="0">
                  <c:v>Total Shareholders' Equity</c:v>
                </c:pt>
              </c:strCache>
            </c:strRef>
          </c:tx>
          <c:spPr>
            <a:solidFill>
              <a:schemeClr val="accent5"/>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Dec-16</c:v>
                  </c:pt>
                  <c:pt idx="2">
                    <c:v>Dec-17</c:v>
                  </c:pt>
                  <c:pt idx="4">
                    <c:v>Dec-18</c:v>
                  </c:pt>
                  <c:pt idx="6">
                    <c:v>Dec-19</c:v>
                  </c:pt>
                  <c:pt idx="8">
                    <c:v>Dec-20</c:v>
                  </c:pt>
                </c:lvl>
              </c:multiLvlStrCache>
            </c:multiLvlStrRef>
          </c:cat>
          <c:val>
            <c:numRef>
              <c:f>Charts!$B$251:$K$251</c:f>
              <c:numCache>
                <c:formatCode>General</c:formatCode>
                <c:ptCount val="10"/>
                <c:pt idx="1">
                  <c:v>18246</c:v>
                </c:pt>
                <c:pt idx="3">
                  <c:v>17593</c:v>
                </c:pt>
                <c:pt idx="5">
                  <c:v>16797</c:v>
                </c:pt>
                <c:pt idx="7">
                  <c:v>20839</c:v>
                </c:pt>
                <c:pt idx="9">
                  <c:v>20597</c:v>
                </c:pt>
              </c:numCache>
            </c:numRef>
          </c:val>
          <c:extLst>
            <c:ext xmlns:c16="http://schemas.microsoft.com/office/drawing/2014/chart" uri="{C3380CC4-5D6E-409C-BE32-E72D297353CC}">
              <c16:uniqueId val="{00000004-9064-4BFB-B99C-CD97E6D9E3E1}"/>
            </c:ext>
          </c:extLst>
        </c:ser>
        <c:dLbls>
          <c:showLegendKey val="0"/>
          <c:showVal val="0"/>
          <c:showCatName val="0"/>
          <c:showSerName val="0"/>
          <c:showPercent val="0"/>
          <c:showBubbleSize val="0"/>
        </c:dLbls>
        <c:gapWidth val="150"/>
        <c:overlap val="100"/>
        <c:axId val="1771457344"/>
        <c:axId val="1771453184"/>
      </c:barChart>
      <c:catAx>
        <c:axId val="1771457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3184"/>
        <c:crosses val="autoZero"/>
        <c:auto val="1"/>
        <c:lblAlgn val="ctr"/>
        <c:lblOffset val="100"/>
        <c:noMultiLvlLbl val="0"/>
      </c:catAx>
      <c:valAx>
        <c:axId val="17714531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7344"/>
        <c:crosses val="autoZero"/>
        <c:crossBetween val="between"/>
      </c:valAx>
      <c:spPr>
        <a:noFill/>
        <a:ln>
          <a:noFill/>
        </a:ln>
        <a:effectLst/>
      </c:spPr>
    </c:plotArea>
    <c:legend>
      <c:legendPos val="b"/>
      <c:layout>
        <c:manualLayout>
          <c:xMode val="edge"/>
          <c:yMode val="edge"/>
          <c:x val="4.7435000015217145E-2"/>
          <c:y val="0.86477291256178335"/>
          <c:w val="0.9043314048153096"/>
          <c:h val="0.1110492361960784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newconstructs.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https://iexcloud.io/" TargetMode="External"/></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3.png"/><Relationship Id="rId4" Type="http://schemas.openxmlformats.org/officeDocument/2006/relationships/hyperlink" Target="https://iexcloud.io/" TargetMode="Externa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3469821</xdr:colOff>
      <xdr:row>0</xdr:row>
      <xdr:rowOff>37610</xdr:rowOff>
    </xdr:from>
    <xdr:to>
      <xdr:col>1</xdr:col>
      <xdr:colOff>5132482</xdr:colOff>
      <xdr:row>2</xdr:row>
      <xdr:rowOff>17760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858750" y="37610"/>
          <a:ext cx="1662661" cy="578864"/>
        </a:xfrm>
        <a:prstGeom prst="rect">
          <a:avLst/>
        </a:prstGeom>
      </xdr:spPr>
    </xdr:pic>
    <xdr:clientData/>
  </xdr:twoCellAnchor>
  <xdr:twoCellAnchor editAs="oneCell">
    <xdr:from>
      <xdr:col>0</xdr:col>
      <xdr:colOff>13608</xdr:colOff>
      <xdr:row>0</xdr:row>
      <xdr:rowOff>68036</xdr:rowOff>
    </xdr:from>
    <xdr:to>
      <xdr:col>0</xdr:col>
      <xdr:colOff>2871107</xdr:colOff>
      <xdr:row>2</xdr:row>
      <xdr:rowOff>204343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3608" y="68036"/>
          <a:ext cx="2857499" cy="7350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1</xdr:col>
      <xdr:colOff>603250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76200</xdr:colOff>
          <xdr:row>8</xdr:row>
          <xdr:rowOff>180975</xdr:rowOff>
        </xdr:from>
        <xdr:to>
          <xdr:col>2</xdr:col>
          <xdr:colOff>1219200</xdr:colOff>
          <xdr:row>11</xdr:row>
          <xdr:rowOff>180975</xdr:rowOff>
        </xdr:to>
        <xdr:sp macro="" textlink="">
          <xdr:nvSpPr>
            <xdr:cNvPr id="2049" name="Button 1" descr="Once you have selected the stock, hit the button to upd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Hit LOAD, or go to Data/Refresh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13606</xdr:colOff>
      <xdr:row>35</xdr:row>
      <xdr:rowOff>52105</xdr:rowOff>
    </xdr:from>
    <xdr:to>
      <xdr:col>4</xdr:col>
      <xdr:colOff>20656</xdr:colOff>
      <xdr:row>67</xdr:row>
      <xdr:rowOff>52105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192978</xdr:colOff>
      <xdr:row>67</xdr:row>
      <xdr:rowOff>113956</xdr:rowOff>
    </xdr:from>
    <xdr:to>
      <xdr:col>8</xdr:col>
      <xdr:colOff>218954</xdr:colOff>
      <xdr:row>99</xdr:row>
      <xdr:rowOff>141170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311726</xdr:colOff>
      <xdr:row>35</xdr:row>
      <xdr:rowOff>48395</xdr:rowOff>
    </xdr:from>
    <xdr:to>
      <xdr:col>8</xdr:col>
      <xdr:colOff>325335</xdr:colOff>
      <xdr:row>67</xdr:row>
      <xdr:rowOff>75610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204107</xdr:colOff>
      <xdr:row>101</xdr:row>
      <xdr:rowOff>82274</xdr:rowOff>
    </xdr:from>
    <xdr:to>
      <xdr:col>1</xdr:col>
      <xdr:colOff>472846</xdr:colOff>
      <xdr:row>104</xdr:row>
      <xdr:rowOff>0</xdr:rowOff>
    </xdr:to>
    <xdr:pic>
      <xdr:nvPicPr>
        <xdr:cNvPr id="13" name="Picture 12">
          <a:hlinkClick xmlns:r="http://schemas.openxmlformats.org/officeDocument/2006/relationships" r:id="rId4"/>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5"/>
        <a:stretch>
          <a:fillRect/>
        </a:stretch>
      </xdr:blipFill>
      <xdr:spPr>
        <a:xfrm>
          <a:off x="204107" y="19622131"/>
          <a:ext cx="1901596" cy="516440"/>
        </a:xfrm>
        <a:prstGeom prst="rect">
          <a:avLst/>
        </a:prstGeom>
      </xdr:spPr>
    </xdr:pic>
    <xdr:clientData/>
  </xdr:twoCellAnchor>
  <xdr:twoCellAnchor>
    <xdr:from>
      <xdr:col>0</xdr:col>
      <xdr:colOff>95249</xdr:colOff>
      <xdr:row>3</xdr:row>
      <xdr:rowOff>122463</xdr:rowOff>
    </xdr:from>
    <xdr:to>
      <xdr:col>4</xdr:col>
      <xdr:colOff>13605</xdr:colOff>
      <xdr:row>34</xdr:row>
      <xdr:rowOff>149678</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189263</xdr:colOff>
      <xdr:row>3</xdr:row>
      <xdr:rowOff>108857</xdr:rowOff>
    </xdr:from>
    <xdr:to>
      <xdr:col>8</xdr:col>
      <xdr:colOff>381000</xdr:colOff>
      <xdr:row>34</xdr:row>
      <xdr:rowOff>68035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1364735</xdr:colOff>
      <xdr:row>4</xdr:row>
      <xdr:rowOff>9278</xdr:rowOff>
    </xdr:from>
    <xdr:to>
      <xdr:col>12</xdr:col>
      <xdr:colOff>1358240</xdr:colOff>
      <xdr:row>33</xdr:row>
      <xdr:rowOff>122463</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108857</xdr:rowOff>
    </xdr:from>
    <xdr:to>
      <xdr:col>4</xdr:col>
      <xdr:colOff>18340</xdr:colOff>
      <xdr:row>99</xdr:row>
      <xdr:rowOff>125422</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BDB45C3-F467-424F-9F2B-3A70611EA033}" autoFormatId="16" applyNumberFormats="0" applyBorderFormats="0" applyFontFormats="0" applyPatternFormats="0" applyAlignmentFormats="0" applyWidthHeightFormats="0">
  <queryTableRefresh nextId="319">
    <queryTableFields count="8">
      <queryTableField id="1" name="Column1" tableColumnId="1"/>
      <queryTableField id="2" name="Column2" tableColumnId="2"/>
      <queryTableField id="33" name="Column3" tableColumnId="33"/>
      <queryTableField id="306" name="Column4" tableColumnId="12"/>
      <queryTableField id="307" name="Column5" tableColumnId="13"/>
      <queryTableField id="308" name="Column6" tableColumnId="14"/>
      <queryTableField id="309" name="Column7" tableColumnId="15"/>
      <queryTableField id="310" name="Column8"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8B2CAB2B-9A9F-417C-A2CB-860B1B471C8F}" autoFormatId="16" applyNumberFormats="0" applyBorderFormats="0" applyFontFormats="0" applyPatternFormats="0" applyAlignmentFormats="0" applyWidthHeightFormats="0">
  <queryTableRefresh nextId="37">
    <queryTableFields count="16">
      <queryTableField id="17" name="paymentDate" tableColumnId="17"/>
      <queryTableField id="18" name="amount" tableColumnId="18"/>
      <queryTableField id="19" name="currency" tableColumnId="19"/>
      <queryTableField id="20" name="description" tableColumnId="20"/>
      <queryTableField id="21" name="flag" tableColumnId="21"/>
      <queryTableField id="22" name="frequency" tableColumnId="22"/>
      <queryTableField id="23" name="date" tableColumnId="23"/>
      <queryTableField id="24" name="symbol" tableColumnId="24"/>
      <queryTableField id="25" name="declaredDate" tableColumnId="25"/>
      <queryTableField id="26" name="exDate" tableColumnId="26"/>
      <queryTableField id="27" name="recordDate" tableColumnId="27"/>
      <queryTableField id="28" name="Year" tableColumnId="1"/>
      <queryTableField id="30" name="Quarter" tableColumnId="2"/>
      <queryTableField id="32" name="DayOfWeek" tableColumnId="4"/>
      <queryTableField id="33" name="Month" tableColumnId="5"/>
      <queryTableField id="35" name="YearQuarte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DBB1C805-BC34-4518-9F6E-899015EAC8A3}" autoFormatId="16" applyNumberFormats="0" applyBorderFormats="0" applyFontFormats="0" applyPatternFormats="0" applyAlignmentFormats="0" applyWidthHeightFormats="0">
  <queryTableRefresh nextId="9">
    <queryTableFields count="4">
      <queryTableField id="1" name="date" tableColumnId="1"/>
      <queryTableField id="5" name="Price" tableColumnId="5"/>
      <queryTableField id="6" name="Volume (m)" tableColumnId="6"/>
      <queryTableField id="4" name="symbol"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D22B45ED-44B0-49E8-8B4B-58CCC40D3F96}" autoFormatId="16" applyNumberFormats="0" applyBorderFormats="0" applyFontFormats="0" applyPatternFormats="0" applyAlignmentFormats="0" applyWidthHeightFormats="0">
  <queryTableRefresh nextId="16">
    <queryTableFields count="12">
      <queryTableField id="4" name="symbol" tableColumnId="4"/>
      <queryTableField id="1" name="date" tableColumnId="1"/>
      <queryTableField id="2" name="Price" tableColumnId="2"/>
      <queryTableField id="3" name="Volume (m)" tableColumnId="3"/>
      <queryTableField id="5" name="paymentDate" tableColumnId="5"/>
      <queryTableField id="13" name="Dividend" tableColumnId="12"/>
      <queryTableField id="7" name="currency" tableColumnId="7"/>
      <queryTableField id="8" name="description" tableColumnId="8"/>
      <queryTableField id="9" name="frequency" tableColumnId="9"/>
      <queryTableField id="10" name="Year" tableColumnId="10"/>
      <queryTableField id="11" name="Quarter" tableColumnId="11"/>
      <queryTableField id="15" name="DayOfWeek"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1DE82AA5-ADD4-48BF-9AA1-46FBFEF783B4}" autoFormatId="16" applyNumberFormats="0" applyBorderFormats="0" applyFontFormats="0" applyPatternFormats="0" applyAlignmentFormats="0" applyWidthHeightFormats="0">
  <queryTableRefresh nextId="5">
    <queryTableFields count="2">
      <queryTableField id="3" name="Column1" tableColumnId="1"/>
      <queryTableField id="4" name="Column2"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AF13518-4205-49F3-86A4-C481C52E08EB}" name="PeriodType" displayName="PeriodType" ref="A45:B48" totalsRowShown="0">
  <autoFilter ref="A45:B48" xr:uid="{9E08BCE6-E22E-40D8-817B-46F3AFA7C5A4}"/>
  <tableColumns count="2">
    <tableColumn id="1" xr3:uid="{CCBD209D-1750-4EB1-A9B1-4D431C64377C}" name="Period_type"/>
    <tableColumn id="2" xr3:uid="{E4E9A375-3BFC-4720-A7E1-7FB03F886E2A}" name="ReccomendedPeriod" dataCellStyle="Go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BFB6AD-C1D8-4717-8EA0-C863FF94173A}" name="PriceRangeSettings" displayName="PriceRangeSettings" ref="A51:E52" totalsRowShown="0" dataDxfId="77">
  <autoFilter ref="A51:E52" xr:uid="{B3F68DB2-352B-459D-ACEE-00E2DDE3E24D}"/>
  <tableColumns count="5">
    <tableColumn id="2" xr3:uid="{653937AA-A2FD-4974-B6F8-D376CD3D5987}" name="Type" dataDxfId="76" dataCellStyle="Good"/>
    <tableColumn id="1" xr3:uid="{B75303B1-8EA4-49C7-B4D0-BDB307982829}" name="Period" dataDxfId="75" dataCellStyle="Good"/>
    <tableColumn id="3" xr3:uid="{9212A2E0-ED3D-472E-AABC-CE0349B04B83}" name="Day Count" dataDxfId="74" dataCellStyle="Good">
      <calculatedColumnFormula>IF(A52="y",360,30)*(B52+1)</calculatedColumnFormula>
    </tableColumn>
    <tableColumn id="4" xr3:uid="{A4CDC4E1-D09D-46FA-9F6B-6FB117730286}" name="From" dataDxfId="73" dataCellStyle="Good">
      <calculatedColumnFormula>+E52-C52</calculatedColumnFormula>
    </tableColumn>
    <tableColumn id="5" xr3:uid="{242AE9A9-4D4B-4788-B371-AF78F1C5E410}" name="To" dataDxfId="72" dataCellStyle="Good">
      <calculatedColumnFormula>TODAY()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210D95-142B-47CD-BFF7-23EF5D987C7E}" name="FetchFundies" displayName="FetchFundies" ref="A1:H184" tableType="queryTable" totalsRowShown="0" headerRowDxfId="71" dataDxfId="70">
  <autoFilter ref="A1:H184" xr:uid="{83BA2366-EDAD-484B-A963-47FB18A01F1D}"/>
  <tableColumns count="8">
    <tableColumn id="1" xr3:uid="{76E787BF-A632-4B48-9E15-54DCB13483AB}" uniqueName="1" name="Column1" queryTableFieldId="1" dataDxfId="69"/>
    <tableColumn id="2" xr3:uid="{5C4FC54D-7594-41D0-86B9-1F4337E5FC45}" uniqueName="2" name="Column2" queryTableFieldId="2" dataDxfId="68"/>
    <tableColumn id="33" xr3:uid="{8FFBEE35-BE3D-44C4-87E9-B2E9B939F3F8}" uniqueName="33" name="Column3" queryTableFieldId="33" dataDxfId="67"/>
    <tableColumn id="12" xr3:uid="{D88CC1FD-5EBC-4D56-B85F-E2DB49230D3C}" uniqueName="12" name="Column4" queryTableFieldId="306"/>
    <tableColumn id="13" xr3:uid="{463C5AF5-9EDB-427B-B8ED-D0524D24570B}" uniqueName="13" name="Column5" queryTableFieldId="307"/>
    <tableColumn id="14" xr3:uid="{948EEC0D-5606-4992-AA99-34C36907BD76}" uniqueName="14" name="Column6" queryTableFieldId="308"/>
    <tableColumn id="15" xr3:uid="{9779A20C-E8A0-4229-8C3E-C8DFA5B60CC4}" uniqueName="15" name="Column7" queryTableFieldId="309"/>
    <tableColumn id="16" xr3:uid="{DCF1897B-9BBE-4BCC-B89D-50D3E1520D10}" uniqueName="16" name="Column8" queryTableFieldId="3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197E34-D23C-4769-B2FB-788F81B0DCE1}" name="FetchDividends" displayName="FetchDividends" ref="A1:P22" tableType="queryTable" totalsRowShown="0">
  <autoFilter ref="A1:P22" xr:uid="{9AF37D05-98C3-4B0C-9930-C8E805A1A432}"/>
  <tableColumns count="16">
    <tableColumn id="17" xr3:uid="{A74D6133-A8DD-4839-A553-9151F35E40A9}" uniqueName="17" name="paymentDate" queryTableFieldId="17" dataDxfId="66"/>
    <tableColumn id="18" xr3:uid="{D040D44A-68DF-4C3C-BC6B-D4CBE56A3AD9}" uniqueName="18" name="amount" queryTableFieldId="18"/>
    <tableColumn id="19" xr3:uid="{43F84EE0-8609-40A0-BBA6-C0527FC2A0DD}" uniqueName="19" name="currency" queryTableFieldId="19"/>
    <tableColumn id="20" xr3:uid="{A426C1C0-DDDD-42D0-A6C7-E0DEA9EEE27A}" uniqueName="20" name="description" queryTableFieldId="20"/>
    <tableColumn id="21" xr3:uid="{2928AAE0-4188-4A8C-8ABB-E0DED6AB0779}" uniqueName="21" name="flag" queryTableFieldId="21"/>
    <tableColumn id="22" xr3:uid="{4AE70FD3-C05C-4B05-8587-3B382AD24975}" uniqueName="22" name="frequency" queryTableFieldId="22"/>
    <tableColumn id="23" xr3:uid="{E140CEB0-88C4-4F7D-8698-83293F40A073}" uniqueName="23" name="date" queryTableFieldId="23" dataDxfId="65"/>
    <tableColumn id="24" xr3:uid="{2BC3327A-A743-4055-A447-A75D43B447EB}" uniqueName="24" name="symbol" queryTableFieldId="24"/>
    <tableColumn id="25" xr3:uid="{8ADBED04-1E09-494B-8234-7DA9B111A54E}" uniqueName="25" name="declaredDate" queryTableFieldId="25" dataDxfId="64"/>
    <tableColumn id="26" xr3:uid="{845C671F-685D-4F98-88A6-1A017EE7B9E4}" uniqueName="26" name="exDate" queryTableFieldId="26" dataDxfId="63"/>
    <tableColumn id="27" xr3:uid="{7011DBDE-865A-4E94-94C7-8A3DA943A351}" uniqueName="27" name="recordDate" queryTableFieldId="27" dataDxfId="62"/>
    <tableColumn id="1" xr3:uid="{53E52837-E6A9-4A76-943B-F9D32357B342}" uniqueName="1" name="Year" queryTableFieldId="28"/>
    <tableColumn id="2" xr3:uid="{E3F1168A-50CC-4F6B-B7BE-A0415050441A}" uniqueName="2" name="Quarter" queryTableFieldId="30"/>
    <tableColumn id="4" xr3:uid="{1BCB53E8-6FD6-421D-B83B-94E54143E56B}" uniqueName="4" name="DayOfWeek" queryTableFieldId="32"/>
    <tableColumn id="5" xr3:uid="{410FFDCD-0803-4ED8-AD19-3912921504EB}" uniqueName="5" name="Month" queryTableFieldId="33"/>
    <tableColumn id="3" xr3:uid="{6F43D080-EE75-46AA-8D9D-F4A74C88EB6F}" uniqueName="3" name="YearQuarter"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8000B3-7308-4F85-9BEE-FE4ED16606DC}" name="FetchPrices" displayName="FetchPrices" ref="A1:D1988" tableType="queryTable" totalsRowShown="0">
  <autoFilter ref="A1:D1988" xr:uid="{23516B2B-D071-4BC6-A419-B7DC1E21803C}"/>
  <tableColumns count="4">
    <tableColumn id="1" xr3:uid="{7026C866-3052-41D2-BF18-5FE9AB319CAE}" uniqueName="1" name="date" queryTableFieldId="1" dataDxfId="61"/>
    <tableColumn id="5" xr3:uid="{61FC7CEF-CCDD-4027-A203-BDFD0C3CBEC0}" uniqueName="5" name="Price" queryTableFieldId="5"/>
    <tableColumn id="6" xr3:uid="{1E34BCED-8E32-48C4-9D95-311501E4521B}" uniqueName="6" name="Volume (m)" queryTableFieldId="6"/>
    <tableColumn id="4" xr3:uid="{68685F06-6B3E-48D5-A0E1-8FACF5DF5ECE}" uniqueName="4" name="symbo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55E6BA8-1254-43F3-A70C-6D4118DAF1C9}" name="PriceVolDividend" displayName="PriceVolDividend" ref="A1:L1096" tableType="queryTable" totalsRowShown="0">
  <autoFilter ref="A1:L1096" xr:uid="{678EAB87-2DD3-4040-A946-53239C8E7B7B}"/>
  <tableColumns count="12">
    <tableColumn id="4" xr3:uid="{85B27D22-93B3-4364-AB56-606A7BB80CA4}" uniqueName="4" name="symbol" queryTableFieldId="4"/>
    <tableColumn id="1" xr3:uid="{4D77B301-69BA-4B68-B052-7D57795CB90D}" uniqueName="1" name="date" queryTableFieldId="1" dataDxfId="60"/>
    <tableColumn id="2" xr3:uid="{4D639455-B69E-4A46-A486-C302FF728D01}" uniqueName="2" name="Price" queryTableFieldId="2"/>
    <tableColumn id="3" xr3:uid="{3D56CD1D-FD9F-4E99-913F-6594A82E4E42}" uniqueName="3" name="Volume (m)" queryTableFieldId="3"/>
    <tableColumn id="5" xr3:uid="{F71F234B-4AD7-4F64-B8D4-D8619840DA05}" uniqueName="5" name="paymentDate" queryTableFieldId="5" dataDxfId="59"/>
    <tableColumn id="12" xr3:uid="{17CB4D36-8F0B-4ECF-886B-7CC90A389AD8}" uniqueName="12" name="Dividend" queryTableFieldId="13"/>
    <tableColumn id="7" xr3:uid="{6EFF18A5-DEAE-482A-ACF9-90558BFB989D}" uniqueName="7" name="currency" queryTableFieldId="7"/>
    <tableColumn id="8" xr3:uid="{D06EA282-8D57-48E9-AE85-48EC9FFB3633}" uniqueName="8" name="description" queryTableFieldId="8"/>
    <tableColumn id="9" xr3:uid="{70F48CD0-512F-4A2A-83C1-9A486FD22DB0}" uniqueName="9" name="frequency" queryTableFieldId="9"/>
    <tableColumn id="10" xr3:uid="{26B2C5A6-FD84-4F8D-8816-CF1B296907C7}" uniqueName="10" name="Year" queryTableFieldId="10"/>
    <tableColumn id="11" xr3:uid="{ADCED616-E1E1-483B-B229-7BBB8104E826}" uniqueName="11" name="Quarter" queryTableFieldId="11"/>
    <tableColumn id="13" xr3:uid="{6C9C2DD6-6EB0-47C0-B32E-45545F972270}" uniqueName="13" name="DayOfWeek" queryTableField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480A37-90DC-477B-8F79-9058ED3DEE82}" name="Fundamentals" displayName="Fundamentals" ref="A2:H3" totalsRowShown="0">
  <autoFilter ref="A2:H3" xr:uid="{279B5235-C9CF-48E2-9944-FD537F0E9D81}"/>
  <tableColumns count="8">
    <tableColumn id="1" xr3:uid="{238632D3-09C6-4AA1-B75D-F520A3E0B6A5}" name="Token">
      <calculatedColumnFormula>+my_token</calculatedColumnFormula>
    </tableColumn>
    <tableColumn id="9" xr3:uid="{75013CCD-7E57-4E32-BEE4-C610D9A509EA}" name="Secret_Token">
      <calculatedColumnFormula>+Secret_Token</calculatedColumnFormula>
    </tableColumn>
    <tableColumn id="2" xr3:uid="{B4D6433A-0B52-4CF4-8942-C4786A5C6F6E}" name="Source"/>
    <tableColumn id="3" xr3:uid="{3F3D925E-4C2E-48CB-A540-6F0D1EA8FD8F}" name="Ticker">
      <calculatedColumnFormula>+Ticker</calculatedColumnFormula>
    </tableColumn>
    <tableColumn id="4" xr3:uid="{29FFE4B5-A6BD-49CB-B914-FCC739969255}" name="Period_type">
      <calculatedColumnFormula>period_type</calculatedColumnFormula>
    </tableColumn>
    <tableColumn id="5" xr3:uid="{7CD243EB-9142-4BD3-8B57-018F1B18AB33}" name="No_of_periods">
      <calculatedColumnFormula>no_of_periods</calculatedColumnFormula>
    </tableColumn>
    <tableColumn id="6" xr3:uid="{BA3EDACB-328E-487B-9891-C22EE095FF64}" name="Base_Url"/>
    <tableColumn id="7" xr3:uid="{CDD229C7-F9CA-4F82-A683-1073E716F4DA}" name="Full_URL">
      <calculatedColumnFormula>+Fundamentals[[#This Row],[Base_Url]]&amp;Fundamentals[[#This Row],[Source]]&amp;"/"&amp;Fundamentals[[#This Row],[Ticker]]&amp;"/"&amp;Fundamentals[[#This Row],[Period_type]]&amp;"?token="&amp;Fundamentals[[#This Row],[Token]]&amp;"&amp;range="&amp;Fundamentals[[#This Row],[No_of_periods]]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3E680F-D37A-4C70-8C3A-809524952E6D}" name="Prices" displayName="Prices" ref="A9:H10" totalsRowShown="0">
  <autoFilter ref="A9:H10" xr:uid="{EAD6A2EB-6A4A-4E87-9A9E-74026409BDF0}"/>
  <tableColumns count="8">
    <tableColumn id="1" xr3:uid="{99D8DEBE-61E9-426D-B0E6-A3EB58AA9C7B}" name="Token">
      <calculatedColumnFormula>+my_token</calculatedColumnFormula>
    </tableColumn>
    <tableColumn id="9" xr3:uid="{739DDE33-2D66-42E9-9B02-AFACA7552EF4}" name="Secret_Token">
      <calculatedColumnFormula>+Secret_Token</calculatedColumnFormula>
    </tableColumn>
    <tableColumn id="2" xr3:uid="{D6140127-A81A-4C97-84B2-10CB851FB866}" name="Source"/>
    <tableColumn id="3" xr3:uid="{1480D176-5840-4F5E-869B-3B8516A52891}" name="Ticker">
      <calculatedColumnFormula>+Ticker</calculatedColumnFormula>
    </tableColumn>
    <tableColumn id="4" xr3:uid="{6DFD31BC-FD91-4030-A017-EB1EA039A199}" name="from">
      <calculatedColumnFormula array="1">TEXT(YEAR(PriceRangeSettings[From]),"0000")&amp;TEXT(MONTH(PriceRangeSettings[From]),"00")&amp;TEXT(DAY(PriceRangeSettings[From]),"00")</calculatedColumnFormula>
    </tableColumn>
    <tableColumn id="5" xr3:uid="{98F90890-71A0-4339-BFD0-FF6A8E5163B1}" name="to" dataDxfId="58">
      <calculatedColumnFormula array="1">TEXT(YEAR(PriceRangeSettings[To]),"0000")&amp;TEXT(MONTH(PriceRangeSettings[To]),"00")&amp;TEXT(DAY(PriceRangeSettings[To]),"00")</calculatedColumnFormula>
    </tableColumn>
    <tableColumn id="6" xr3:uid="{73D651BF-B300-40CE-81F9-261560042A20}" name="Base_Url" dataCellStyle="Hyperlink"/>
    <tableColumn id="7" xr3:uid="{0B78BE4F-8032-4A3C-883B-A0E1EFBAC3B3}" name="Full_URL">
      <calculatedColumnFormula>+Prices[[#This Row],[Base_Url]]&amp;Prices[[#This Row],[Source]]&amp;"/"&amp;Prices[[#This Row],[Ticker]]&amp;"?from="&amp;Prices[[#This Row],[from]]&amp;"&amp;to="&amp;Prices[[#This Row],[to]]&amp;"&amp;token="&amp;Prices[[#This Row],[Token]]</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2851E3-380C-4C03-8941-890527CEBEEB}" name="Dividends" displayName="Dividends" ref="A13:H14" totalsRowShown="0" headerRowDxfId="57" dataDxfId="56" tableBorderDxfId="55">
  <autoFilter ref="A13:H14" xr:uid="{972A6802-36B6-410C-A3EB-DC52BCE51137}"/>
  <tableColumns count="8">
    <tableColumn id="1" xr3:uid="{0FB90C62-D4CC-4F9F-8DC2-AEF6EA6CE563}" name="Token" dataDxfId="54">
      <calculatedColumnFormula>+my_token</calculatedColumnFormula>
    </tableColumn>
    <tableColumn id="2" xr3:uid="{6EF83A9C-CB6F-4C93-B21F-FE5025F267B7}" name="Secret_Token" dataDxfId="53">
      <calculatedColumnFormula>+Secret_Token</calculatedColumnFormula>
    </tableColumn>
    <tableColumn id="3" xr3:uid="{2D4C0371-4474-4BD8-870C-880846B49AED}" name="Source" dataDxfId="52"/>
    <tableColumn id="4" xr3:uid="{D33D79BD-2E9A-4D9A-9750-C3E1B72C1347}" name="Ticker" dataDxfId="51">
      <calculatedColumnFormula>+Ticker</calculatedColumnFormula>
    </tableColumn>
    <tableColumn id="5" xr3:uid="{8A570F0E-E9CE-4D17-94B6-5B948F2C6EE8}" name="Period" dataDxfId="50"/>
    <tableColumn id="9" xr3:uid="{0318ACD7-822B-467D-8452-A1C09CF7A614}" name="last" dataDxfId="49"/>
    <tableColumn id="6" xr3:uid="{66D9DFF9-E28F-478C-B0DA-12DDD09965D7}" name="Base_Url" dataDxfId="48" dataCellStyle="Hyperlink"/>
    <tableColumn id="7" xr3:uid="{836B8091-E0FD-4E15-8482-2C276C7B0D87}" name="Full_URL" dataDxfId="47">
      <calculatedColumnFormula>+Dividends[[#This Row],[Base_Url]]&amp;Dividends[[#This Row],[Ticker]]&amp;"/"&amp;Dividends[[#This Row],[Source]]&amp;"/"&amp;Dividends[[#This Row],[Period]]&amp;"?token="&amp;Dividends[[#This Row],[Token]]&amp;Dividends[[#This Row],[last]]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30D440-5C4D-4B4A-8038-F74D00C9B7B1}" name="account" displayName="account" ref="A17:D18" totalsRowShown="0" headerRowDxfId="46" dataDxfId="45" tableBorderDxfId="44">
  <autoFilter ref="A17:D18" xr:uid="{58FDAB01-AF34-433A-A97D-0EF10C3B075F}"/>
  <tableColumns count="4">
    <tableColumn id="1" xr3:uid="{35A50AD1-4B2D-4559-83CE-EF8077704F63}" name="Token" dataDxfId="43">
      <calculatedColumnFormula>+Secret_Token</calculatedColumnFormula>
    </tableColumn>
    <tableColumn id="2" xr3:uid="{79C98E43-7E42-4315-9DE7-E9E45B565F85}" name="Secret_Token" dataDxfId="42">
      <calculatedColumnFormula>+Secret_Token</calculatedColumnFormula>
    </tableColumn>
    <tableColumn id="6" xr3:uid="{71EF19D2-DF12-4EFB-A63F-CA5A1D1DA6ED}" name="Base_Url" dataDxfId="41" dataCellStyle="Hyperlink"/>
    <tableColumn id="7" xr3:uid="{88AC803F-BD7C-4516-A76A-037ED0F4C0AF}" name="Full_URL" dataDxfId="40">
      <calculatedColumnFormula>+account[[#This Row],[Base_Url]]&amp;account[[#This Row],[Secret_Token]]</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B1F3CBA-13C9-4057-8AEE-93ACDB47B38D}" name="asReported" displayName="asReported" ref="A21:G22" totalsRowShown="0" headerRowDxfId="39" dataDxfId="37" headerRowBorderDxfId="38" tableBorderDxfId="36">
  <autoFilter ref="A21:G22" xr:uid="{5C528831-C86F-4026-AE15-000C38B695B9}"/>
  <tableColumns count="7">
    <tableColumn id="1" xr3:uid="{F877EA20-E8AC-4AC7-988A-F9AA1E76988C}" name="Token" dataDxfId="35">
      <calculatedColumnFormula>+my_token</calculatedColumnFormula>
    </tableColumn>
    <tableColumn id="2" xr3:uid="{59BD89CD-9D64-429D-B1CD-6094258717D8}" name="Base_URL" dataDxfId="34" dataCellStyle="Hyperlink"/>
    <tableColumn id="3" xr3:uid="{B076B821-D2D9-4A94-B18A-92B1F7266105}" name="Source" dataDxfId="33"/>
    <tableColumn id="4" xr3:uid="{F23E94B5-BB45-45E5-8399-5F06990EA7D8}" name="Ticker" dataDxfId="32">
      <calculatedColumnFormula>+Ticker</calculatedColumnFormula>
    </tableColumn>
    <tableColumn id="5" xr3:uid="{4B01630A-B04F-4AEF-908B-F3C88321CED5}" name="Report" dataDxfId="31"/>
    <tableColumn id="8" xr3:uid="{9DD2B03B-07C0-4830-BA41-9F679EFEB602}" name="Period" dataDxfId="30"/>
    <tableColumn id="7" xr3:uid="{8244928A-079D-485B-933E-4BD3504E321F}" name="Full_URL" dataDxfId="29" dataCellStyle="Hyperlink">
      <calculatedColumnFormula>+asReported[[#This Row],[Base_URL]]&amp;"/"&amp;asReported[[#This Row],[Source]]&amp;"/"&amp;asReported[[#This Row],[Ticker]]&amp;"/"&amp;asReported[[#This Row],[Report]]&amp;"?"&amp;asReported[[#This Row],[Period]]&amp;"&amp;token="&amp;asReported[[#This Row],[Token]]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1C5D2BA-A424-4EEE-9F0F-1DAC273BEE07}" name="Recommendation10" displayName="Recommendation10" ref="A25:E26" totalsRowShown="0" headerRowDxfId="28" dataDxfId="26" headerRowBorderDxfId="27" tableBorderDxfId="25">
  <autoFilter ref="A25:E26" xr:uid="{7C10191A-6B8E-4DCB-BFF0-00C92C9FC877}"/>
  <tableColumns count="5">
    <tableColumn id="1" xr3:uid="{D749E7C0-8CA0-460A-893D-D7792C69A975}" name="Token" dataDxfId="24">
      <calculatedColumnFormula>+my_token</calculatedColumnFormula>
    </tableColumn>
    <tableColumn id="2" xr3:uid="{841767E9-BB99-42E8-9105-8DAF17EBA09C}" name="Base_URL" dataDxfId="23" dataCellStyle="Hyperlink"/>
    <tableColumn id="3" xr3:uid="{AB9FCABF-BC49-4B6F-8824-E42198662A45}" name="Source" dataDxfId="22"/>
    <tableColumn id="4" xr3:uid="{CF6EB5D9-22B6-42ED-B4FE-71689E076044}" name="Ticker" dataDxfId="21">
      <calculatedColumnFormula>+Ticker</calculatedColumnFormula>
    </tableColumn>
    <tableColumn id="7" xr3:uid="{7610060D-1987-4293-825E-6D7AC605E9D1}" name="Full_URL" dataDxfId="20" dataCellStyle="Hyperlink">
      <calculatedColumnFormula>+Recommendation10[[#This Row],[Base_URL]]&amp;Recommendation10[[#This Row],[Ticker]]&amp;"/"&amp;Recommendation10[[#This Row],[Source]]&amp;"?token="&amp;Recommendation10[[#This Row],[Token]]</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6B589-8B9F-461F-B02A-47A97625364C}" name="Estimates_Annual" displayName="Estimates_Annual" ref="A29:F30" totalsRowShown="0" headerRowDxfId="19" dataDxfId="17" headerRowBorderDxfId="18" tableBorderDxfId="16">
  <autoFilter ref="A29:F30" xr:uid="{3398E57B-9693-47E0-A6E6-CDC098F4961F}"/>
  <tableColumns count="6">
    <tableColumn id="1" xr3:uid="{3C3D0159-76F9-451D-B5B0-F0A0CB7BA8D5}" name="Token" dataDxfId="15">
      <calculatedColumnFormula>+my_token</calculatedColumnFormula>
    </tableColumn>
    <tableColumn id="2" xr3:uid="{7A255C70-045E-4AC8-AF7B-A560669E33F5}" name="Base_URL" dataDxfId="14" dataCellStyle="Hyperlink"/>
    <tableColumn id="3" xr3:uid="{4EEE3D47-672E-4320-9C5B-E8A67361A2C1}" name="Source" dataDxfId="13"/>
    <tableColumn id="5" xr3:uid="{45D69C34-E3BB-4958-B958-BDA534C0867E}" name="Period" dataDxfId="12"/>
    <tableColumn id="4" xr3:uid="{39EE793F-DE26-491D-92EF-FAF41478FBB0}" name="Ticker" dataDxfId="11">
      <calculatedColumnFormula>+Ticker</calculatedColumnFormula>
    </tableColumn>
    <tableColumn id="7" xr3:uid="{8216139A-1C34-4B87-B594-E8ED8BBB8064}" name="Full_URL" dataDxfId="10" dataCellStyle="Hyperlink">
      <calculatedColumnFormula>+Estimates_Annual[[#This Row],[Base_URL]]&amp;Estimates_Annual[[#This Row],[Ticker]]&amp;"/"&amp;Estimates_Annual[[#This Row],[Source]]&amp;"?token="&amp;Estimates_Annual[[#This Row],[Token]]&amp;"&amp;period="&amp;Estimates_Annual[[#This Row],[Period]]</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2EAA6C6-ED40-4B7E-9D36-DB9E9BD2E8DA}" name="Estimates_Quarter" displayName="Estimates_Quarter" ref="A33:F34" totalsRowShown="0" headerRowDxfId="9" dataDxfId="7" headerRowBorderDxfId="8" tableBorderDxfId="6">
  <autoFilter ref="A33:F34" xr:uid="{88589152-CB7D-438A-8DB4-7918C2212E5D}"/>
  <tableColumns count="6">
    <tableColumn id="1" xr3:uid="{E068249B-3F84-4A19-A9CA-E28D6A53F019}" name="Token" dataDxfId="5">
      <calculatedColumnFormula>+my_token</calculatedColumnFormula>
    </tableColumn>
    <tableColumn id="2" xr3:uid="{96D80E7F-EA09-410D-826B-DD325FEA0416}" name="Base_URL" dataDxfId="4" dataCellStyle="Hyperlink"/>
    <tableColumn id="3" xr3:uid="{87062808-12EF-4022-B4F7-3B4A17DC8AF6}" name="Source" dataDxfId="3"/>
    <tableColumn id="5" xr3:uid="{1D8010AE-04E2-4095-A130-A51FEC9C86C5}" name="Period" dataDxfId="2"/>
    <tableColumn id="4" xr3:uid="{9620ACC4-F686-4467-934E-29F476CFD3BC}" name="Ticker" dataDxfId="1">
      <calculatedColumnFormula>+Ticker</calculatedColumnFormula>
    </tableColumn>
    <tableColumn id="7" xr3:uid="{5F2ECFED-3074-46B6-A4DD-699D8308EE0E}" name="Full_URL" dataDxfId="0" dataCellStyle="Hyperlink">
      <calculatedColumnFormula>+Estimates_Quarter[[#This Row],[Base_URL]]&amp;Estimates_Quarter[[#This Row],[Ticker]]&amp;"/"&amp;Estimates_Quarter[[#This Row],[Source]]&amp;"?token="&amp;Estimates_Quarter[[#This Row],[Token]]&amp;"&amp;period="&amp;Estimates_Quarter[[#This Row],[Period]]</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D42D95-22A8-4F14-8847-24AD6296B50C}" name="PeriodOptions" displayName="PeriodOptions" ref="A36:A38" totalsRowShown="0">
  <autoFilter ref="A36:A38" xr:uid="{CE190C85-6D2C-4E45-B1B5-94EE492C46B1}"/>
  <tableColumns count="1">
    <tableColumn id="1" xr3:uid="{A957A806-DE29-443B-A129-680CF522DC28}" name="Perio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2B29-1CC9-473F-9370-992CAF44CD4A}" name="fetchAccount" displayName="fetchAccount" ref="A1:B10" tableType="queryTable" totalsRowShown="0">
  <autoFilter ref="A1:B10" xr:uid="{ECF48D0C-0931-47D0-B869-1724F7B74720}"/>
  <tableColumns count="2">
    <tableColumn id="1" xr3:uid="{B7ABEB28-CB48-4391-8C47-B0528D00E341}" uniqueName="1" name="Column1" queryTableFieldId="3"/>
    <tableColumn id="2" xr3:uid="{4461ABF9-0559-41D2-820C-D3CC52598DD6}" uniqueName="2" name="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iexcloud.io/cloud-login" TargetMode="Externa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5" Type="http://schemas.openxmlformats.org/officeDocument/2006/relationships/drawing" Target="../drawings/drawing1.xml"/><Relationship Id="rId4" Type="http://schemas.openxmlformats.org/officeDocument/2006/relationships/hyperlink" Target="mailto:community@iexcloud.io"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https://iexcloud.io/console/" TargetMode="External"/><Relationship Id="rId1" Type="http://schemas.openxmlformats.org/officeDocument/2006/relationships/hyperlink" Target="https://iexcloud.io/docs/api/"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investopedia.com/terms/d/dupontanalysis.asp" TargetMode="External"/><Relationship Id="rId1" Type="http://schemas.openxmlformats.org/officeDocument/2006/relationships/hyperlink" Target="https://www.investopedia.com/terms/w/workingcapital.asp"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bin"/><Relationship Id="rId13" Type="http://schemas.openxmlformats.org/officeDocument/2006/relationships/table" Target="../tables/table11.xml"/><Relationship Id="rId3" Type="http://schemas.openxmlformats.org/officeDocument/2006/relationships/hyperlink" Target="https://cloud.iexapis.com/stable/stock/" TargetMode="External"/><Relationship Id="rId7" Type="http://schemas.openxmlformats.org/officeDocument/2006/relationships/hyperlink" Target="https://cloud.iexapis.com/stable/stock/" TargetMode="Externa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hyperlink" Target="https://cloud.iexapis.com/stable/account/metadata?token=" TargetMode="External"/><Relationship Id="rId16" Type="http://schemas.openxmlformats.org/officeDocument/2006/relationships/table" Target="../tables/table14.xml"/><Relationship Id="rId1" Type="http://schemas.openxmlformats.org/officeDocument/2006/relationships/hyperlink" Target="https://cloud.iexapis.com/stable/stock/" TargetMode="External"/><Relationship Id="rId6" Type="http://schemas.openxmlformats.org/officeDocument/2006/relationships/hyperlink" Target="https://cloud.iexapis.com/stable/stock/" TargetMode="External"/><Relationship Id="rId11" Type="http://schemas.openxmlformats.org/officeDocument/2006/relationships/table" Target="../tables/table9.xml"/><Relationship Id="rId5" Type="http://schemas.openxmlformats.org/officeDocument/2006/relationships/hyperlink" Target="https://cloud.iexapis.com/stable/stock/" TargetMode="Externa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hyperlink" Target="https://cloud.iexapis.com/stable/time-series/" TargetMode="External"/><Relationship Id="rId9" Type="http://schemas.openxmlformats.org/officeDocument/2006/relationships/table" Target="../tables/table7.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ECED7-9B52-4BC1-B9F8-7BB0C6550A09}">
  <sheetPr codeName="Sheet1"/>
  <dimension ref="A3:L26"/>
  <sheetViews>
    <sheetView showGridLines="0" zoomScale="70" zoomScaleNormal="70" workbookViewId="0">
      <selection activeCell="F10" sqref="F10"/>
    </sheetView>
  </sheetViews>
  <sheetFormatPr defaultColWidth="9.140625" defaultRowHeight="23.25" x14ac:dyDescent="0.35"/>
  <cols>
    <col min="1" max="1" width="162" style="82" customWidth="1"/>
    <col min="2" max="2" width="77.42578125" style="83" bestFit="1" customWidth="1"/>
    <col min="3" max="16384" width="9.140625" style="81"/>
  </cols>
  <sheetData>
    <row r="3" spans="1:12" x14ac:dyDescent="0.35">
      <c r="B3" s="83" t="s">
        <v>609</v>
      </c>
    </row>
    <row r="4" spans="1:12" x14ac:dyDescent="0.35">
      <c r="A4" s="206" t="s">
        <v>817</v>
      </c>
      <c r="B4" s="207"/>
    </row>
    <row r="5" spans="1:12" ht="24" thickBot="1" x14ac:dyDescent="0.4">
      <c r="A5" s="208" t="s">
        <v>818</v>
      </c>
      <c r="B5" s="209"/>
    </row>
    <row r="6" spans="1:12" x14ac:dyDescent="0.35">
      <c r="A6" s="85" t="s">
        <v>459</v>
      </c>
      <c r="B6" s="86" t="s">
        <v>460</v>
      </c>
    </row>
    <row r="7" spans="1:12" ht="46.5" x14ac:dyDescent="0.35">
      <c r="A7" s="87" t="s">
        <v>819</v>
      </c>
      <c r="B7" s="88"/>
    </row>
    <row r="8" spans="1:12" ht="46.5" x14ac:dyDescent="0.35">
      <c r="A8" s="89" t="s">
        <v>645</v>
      </c>
      <c r="B8" s="90" t="s">
        <v>790</v>
      </c>
    </row>
    <row r="9" spans="1:12" ht="46.5" x14ac:dyDescent="0.35">
      <c r="A9" s="87" t="s">
        <v>647</v>
      </c>
      <c r="B9" s="90" t="s">
        <v>646</v>
      </c>
      <c r="L9" s="84"/>
    </row>
    <row r="10" spans="1:12" ht="46.5" x14ac:dyDescent="0.35">
      <c r="A10" s="87" t="s">
        <v>648</v>
      </c>
      <c r="B10" s="88"/>
    </row>
    <row r="11" spans="1:12" x14ac:dyDescent="0.35">
      <c r="A11" s="87" t="s">
        <v>649</v>
      </c>
      <c r="B11" s="90" t="s">
        <v>466</v>
      </c>
    </row>
    <row r="12" spans="1:12" x14ac:dyDescent="0.35">
      <c r="A12" s="87" t="s">
        <v>650</v>
      </c>
      <c r="B12" s="90"/>
    </row>
    <row r="13" spans="1:12" x14ac:dyDescent="0.35">
      <c r="A13" s="87" t="s">
        <v>695</v>
      </c>
      <c r="B13" s="90"/>
    </row>
    <row r="14" spans="1:12" ht="46.5" x14ac:dyDescent="0.35">
      <c r="A14" s="87" t="s">
        <v>696</v>
      </c>
      <c r="B14" s="90"/>
    </row>
    <row r="15" spans="1:12" x14ac:dyDescent="0.35">
      <c r="A15" s="87"/>
      <c r="B15" s="90"/>
    </row>
    <row r="16" spans="1:12" x14ac:dyDescent="0.35">
      <c r="A16" s="92" t="s">
        <v>461</v>
      </c>
      <c r="B16" s="88"/>
    </row>
    <row r="17" spans="1:2" x14ac:dyDescent="0.35">
      <c r="A17" s="87" t="s">
        <v>651</v>
      </c>
      <c r="B17" s="90" t="s">
        <v>646</v>
      </c>
    </row>
    <row r="18" spans="1:2" ht="30" x14ac:dyDescent="0.35">
      <c r="A18" s="87" t="s">
        <v>669</v>
      </c>
      <c r="B18" s="91"/>
    </row>
    <row r="19" spans="1:2" ht="30" x14ac:dyDescent="0.35">
      <c r="A19" s="87" t="s">
        <v>670</v>
      </c>
      <c r="B19" s="91"/>
    </row>
    <row r="20" spans="1:2" ht="46.5" x14ac:dyDescent="0.35">
      <c r="A20" s="87" t="s">
        <v>743</v>
      </c>
      <c r="B20" s="91"/>
    </row>
    <row r="21" spans="1:2" x14ac:dyDescent="0.35">
      <c r="A21" s="87" t="s">
        <v>652</v>
      </c>
      <c r="B21" s="88"/>
    </row>
    <row r="22" spans="1:2" x14ac:dyDescent="0.35">
      <c r="A22" s="87" t="s">
        <v>653</v>
      </c>
      <c r="B22" s="88"/>
    </row>
    <row r="23" spans="1:2" x14ac:dyDescent="0.35">
      <c r="A23" s="87" t="s">
        <v>801</v>
      </c>
      <c r="B23" s="88"/>
    </row>
    <row r="24" spans="1:2" x14ac:dyDescent="0.35">
      <c r="A24" s="87" t="s">
        <v>664</v>
      </c>
      <c r="B24" s="88"/>
    </row>
    <row r="25" spans="1:2" x14ac:dyDescent="0.35">
      <c r="A25" s="87" t="s">
        <v>800</v>
      </c>
      <c r="B25" s="88"/>
    </row>
    <row r="26" spans="1:2" ht="24" thickBot="1" x14ac:dyDescent="0.4">
      <c r="A26" s="93" t="s">
        <v>654</v>
      </c>
      <c r="B26" s="94"/>
    </row>
  </sheetData>
  <hyperlinks>
    <hyperlink ref="B11" r:id="rId1" display="https://intercom.help/iexcloud/en/articles/4645760-2020-data-migration-updates-to-financial-statements" xr:uid="{67F6CB0E-A7AA-49AC-8478-2F8EC239BB84}"/>
    <hyperlink ref="B9" r:id="rId2" location="/register" xr:uid="{E326EFB5-1A5A-426D-9FAF-6D4712241511}"/>
    <hyperlink ref="B17" r:id="rId3" location="/register" xr:uid="{07546AA7-51BF-4C93-8A22-C577C64299A8}"/>
    <hyperlink ref="B8" r:id="rId4" display="mailto:community@iexcloud.io" xr:uid="{6A2A565F-CF41-404D-9942-1A57A62C6FCE}"/>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J52"/>
  <sheetViews>
    <sheetView tabSelected="1" workbookViewId="0">
      <selection activeCell="C31" sqref="C31"/>
    </sheetView>
  </sheetViews>
  <sheetFormatPr defaultColWidth="17.140625" defaultRowHeight="15" x14ac:dyDescent="0.25"/>
  <cols>
    <col min="2" max="2" width="39.42578125" customWidth="1"/>
    <col min="3" max="3" width="22.42578125" style="169" customWidth="1"/>
  </cols>
  <sheetData>
    <row r="1" spans="1:10" x14ac:dyDescent="0.25">
      <c r="A1" s="174"/>
      <c r="B1" s="175"/>
      <c r="C1" s="175"/>
      <c r="D1" s="175"/>
      <c r="E1" s="175"/>
      <c r="F1" s="175"/>
      <c r="G1" s="175"/>
      <c r="H1" s="175"/>
      <c r="I1" s="176"/>
    </row>
    <row r="2" spans="1:10" x14ac:dyDescent="0.25">
      <c r="A2" s="177"/>
      <c r="B2" s="178"/>
      <c r="C2" s="178"/>
      <c r="D2" s="178"/>
      <c r="E2" s="178"/>
      <c r="F2" s="178"/>
      <c r="G2" s="178"/>
      <c r="H2" s="178"/>
      <c r="I2" s="179"/>
      <c r="J2" s="205"/>
    </row>
    <row r="3" spans="1:10" x14ac:dyDescent="0.25">
      <c r="A3" s="177"/>
      <c r="B3" s="178"/>
      <c r="C3" s="178"/>
      <c r="D3" s="178"/>
      <c r="E3" s="178"/>
      <c r="F3" s="178"/>
      <c r="G3" s="178"/>
      <c r="H3" s="178"/>
      <c r="I3" s="179"/>
    </row>
    <row r="4" spans="1:10" x14ac:dyDescent="0.25">
      <c r="A4" s="177" t="s">
        <v>447</v>
      </c>
      <c r="B4" s="164" t="s">
        <v>852</v>
      </c>
      <c r="C4" s="180"/>
      <c r="D4" s="211" t="s">
        <v>667</v>
      </c>
      <c r="E4" s="211"/>
      <c r="F4" s="211"/>
      <c r="G4" s="211"/>
      <c r="H4" s="211"/>
      <c r="I4" s="212"/>
    </row>
    <row r="5" spans="1:10" x14ac:dyDescent="0.25">
      <c r="A5" s="177" t="s">
        <v>671</v>
      </c>
      <c r="B5" s="178" t="e">
        <f>_xlfn.WEBSERVICE("https://cloud.iexapis.com/stable/stock/"&amp;Ticker&amp;"/stats/companyName?token="&amp;my_token)</f>
        <v>#VALUE!</v>
      </c>
      <c r="C5" s="178"/>
      <c r="D5" s="211" t="s">
        <v>788</v>
      </c>
      <c r="E5" s="211"/>
      <c r="F5" s="211"/>
      <c r="G5" s="211"/>
      <c r="H5" s="211"/>
      <c r="I5" s="212"/>
    </row>
    <row r="6" spans="1:10" x14ac:dyDescent="0.25">
      <c r="A6" s="177" t="s">
        <v>787</v>
      </c>
      <c r="B6" s="173" t="s">
        <v>181</v>
      </c>
      <c r="C6" s="181"/>
      <c r="D6" s="211" t="s">
        <v>798</v>
      </c>
      <c r="E6" s="211"/>
      <c r="F6" s="211"/>
      <c r="G6" s="211"/>
      <c r="H6" s="211"/>
      <c r="I6" s="212"/>
    </row>
    <row r="7" spans="1:10" x14ac:dyDescent="0.25">
      <c r="A7" s="177" t="s">
        <v>758</v>
      </c>
      <c r="B7" s="178" t="str">
        <f>VLOOKUP(period_type,PeriodType[],2,FALSE)</f>
        <v>7y</v>
      </c>
      <c r="C7" s="178"/>
      <c r="D7" s="213" t="s">
        <v>810</v>
      </c>
      <c r="E7" s="213"/>
      <c r="F7" s="213"/>
      <c r="G7" s="213"/>
      <c r="H7" s="213"/>
      <c r="I7" s="214"/>
    </row>
    <row r="8" spans="1:10" x14ac:dyDescent="0.25">
      <c r="A8" s="177"/>
      <c r="B8" s="178"/>
      <c r="C8" s="178"/>
      <c r="D8" s="193"/>
      <c r="E8" s="193"/>
      <c r="F8" s="193"/>
      <c r="G8" s="193"/>
      <c r="H8" s="193"/>
      <c r="I8" s="194"/>
    </row>
    <row r="9" spans="1:10" x14ac:dyDescent="0.25">
      <c r="A9" s="177"/>
      <c r="B9" s="178"/>
      <c r="C9" s="178"/>
      <c r="D9" s="193"/>
      <c r="E9" s="193"/>
      <c r="F9" s="193"/>
      <c r="G9" s="193"/>
      <c r="H9" s="193"/>
      <c r="I9" s="194"/>
    </row>
    <row r="10" spans="1:10" x14ac:dyDescent="0.25">
      <c r="A10" s="177" t="s">
        <v>672</v>
      </c>
      <c r="B10" s="178" t="b">
        <f>Price_Vol!D2=Ticker</f>
        <v>1</v>
      </c>
      <c r="C10" s="178"/>
      <c r="D10" s="193"/>
      <c r="E10" s="193"/>
      <c r="F10" s="193"/>
      <c r="G10" s="193"/>
      <c r="H10" s="193"/>
      <c r="I10" s="194"/>
    </row>
    <row r="11" spans="1:10" x14ac:dyDescent="0.25">
      <c r="A11" s="177" t="s">
        <v>673</v>
      </c>
      <c r="B11" s="178" t="b">
        <f>VLOOKUP("symbol",FetchFundies[],2,FALSE)=Ticker</f>
        <v>1</v>
      </c>
      <c r="C11" s="178"/>
      <c r="D11" s="193"/>
      <c r="E11" s="193"/>
      <c r="F11" s="193"/>
      <c r="G11" s="193"/>
      <c r="H11" s="193"/>
      <c r="I11" s="194"/>
    </row>
    <row r="12" spans="1:10" x14ac:dyDescent="0.25">
      <c r="A12" s="177" t="s">
        <v>689</v>
      </c>
      <c r="B12" s="182" t="b">
        <f>IF(Dividends!H22=Ticker,TRUE,"No Dividends Loaded, ignore Dividend Chart")</f>
        <v>1</v>
      </c>
      <c r="C12" s="178"/>
      <c r="D12" s="193"/>
      <c r="E12" s="193"/>
      <c r="F12" s="193"/>
      <c r="G12" s="193"/>
      <c r="H12" s="193"/>
      <c r="I12" s="194"/>
    </row>
    <row r="13" spans="1:10" ht="15" hidden="1" customHeight="1" x14ac:dyDescent="0.25">
      <c r="A13" s="177" t="s">
        <v>770</v>
      </c>
      <c r="B13" s="182" t="e">
        <f>IF(#REF!=Ticker,TRUE,FALSE)</f>
        <v>#REF!</v>
      </c>
      <c r="C13" s="182"/>
      <c r="D13" s="193"/>
      <c r="E13" s="193"/>
      <c r="F13" s="193"/>
      <c r="G13" s="193"/>
      <c r="H13" s="193"/>
      <c r="I13" s="194"/>
    </row>
    <row r="14" spans="1:10" x14ac:dyDescent="0.25">
      <c r="A14" s="177"/>
      <c r="B14" s="178"/>
      <c r="C14" s="178"/>
      <c r="D14" s="193"/>
      <c r="E14" s="193"/>
      <c r="F14" s="193"/>
      <c r="G14" s="193"/>
      <c r="H14" s="193"/>
      <c r="I14" s="194"/>
    </row>
    <row r="15" spans="1:10" x14ac:dyDescent="0.25">
      <c r="A15" s="177" t="s">
        <v>611</v>
      </c>
      <c r="B15" s="173" t="s">
        <v>433</v>
      </c>
      <c r="C15" s="181"/>
      <c r="D15" s="193"/>
      <c r="E15" s="193"/>
      <c r="F15" s="193"/>
      <c r="G15" s="193"/>
      <c r="H15" s="193"/>
      <c r="I15" s="194"/>
    </row>
    <row r="16" spans="1:10" x14ac:dyDescent="0.25">
      <c r="A16" s="177"/>
      <c r="B16" s="183">
        <f>IF(B15="Y",1000000,1)</f>
        <v>1000000</v>
      </c>
      <c r="C16" s="178"/>
      <c r="D16" s="195"/>
      <c r="E16" s="193"/>
      <c r="F16" s="193"/>
      <c r="G16" s="193"/>
      <c r="H16" s="193"/>
      <c r="I16" s="194"/>
    </row>
    <row r="17" spans="1:9" x14ac:dyDescent="0.25">
      <c r="A17" s="177"/>
      <c r="B17" s="183"/>
      <c r="C17" s="178"/>
      <c r="D17" s="195"/>
      <c r="E17" s="193"/>
      <c r="F17" s="193"/>
      <c r="G17" s="193"/>
      <c r="H17" s="193"/>
      <c r="I17" s="194"/>
    </row>
    <row r="18" spans="1:9" x14ac:dyDescent="0.25">
      <c r="A18" s="185" t="s">
        <v>816</v>
      </c>
      <c r="B18" s="183"/>
      <c r="C18" s="178"/>
      <c r="D18" s="195"/>
      <c r="E18" s="193"/>
      <c r="F18" s="193"/>
      <c r="G18" s="193"/>
      <c r="H18" s="193"/>
      <c r="I18" s="194"/>
    </row>
    <row r="19" spans="1:9" x14ac:dyDescent="0.25">
      <c r="A19" s="177" t="s">
        <v>456</v>
      </c>
      <c r="B19" s="173"/>
      <c r="C19" s="181"/>
      <c r="D19" s="211" t="s">
        <v>805</v>
      </c>
      <c r="E19" s="211"/>
      <c r="F19" s="211"/>
      <c r="G19" s="211"/>
      <c r="H19" s="211"/>
      <c r="I19" s="212"/>
    </row>
    <row r="20" spans="1:9" ht="18" customHeight="1" x14ac:dyDescent="0.25">
      <c r="A20" s="177" t="s">
        <v>692</v>
      </c>
      <c r="B20" s="198"/>
      <c r="C20" s="184"/>
      <c r="D20" s="211" t="s">
        <v>797</v>
      </c>
      <c r="E20" s="211"/>
      <c r="F20" s="211"/>
      <c r="G20" s="211"/>
      <c r="H20" s="211"/>
      <c r="I20" s="212"/>
    </row>
    <row r="21" spans="1:9" ht="15" hidden="1" customHeight="1" x14ac:dyDescent="0.25">
      <c r="A21" s="177" t="s">
        <v>737</v>
      </c>
      <c r="B21" s="178" t="s">
        <v>795</v>
      </c>
      <c r="C21" s="178"/>
      <c r="D21" s="178"/>
      <c r="E21" s="178"/>
      <c r="F21" s="178"/>
      <c r="G21" s="178"/>
      <c r="H21" s="178"/>
      <c r="I21" s="179"/>
    </row>
    <row r="22" spans="1:9" x14ac:dyDescent="0.25">
      <c r="A22" s="177"/>
      <c r="B22" s="178"/>
      <c r="C22" s="178"/>
      <c r="D22" s="178"/>
      <c r="E22" s="178"/>
      <c r="F22" s="178"/>
      <c r="G22" s="178"/>
      <c r="H22" s="178"/>
      <c r="I22" s="179"/>
    </row>
    <row r="23" spans="1:9" x14ac:dyDescent="0.25">
      <c r="A23" s="185" t="s">
        <v>802</v>
      </c>
      <c r="B23" s="172"/>
      <c r="C23" s="186"/>
      <c r="D23" s="186"/>
      <c r="E23" s="186"/>
      <c r="F23" s="186"/>
      <c r="G23" s="186"/>
      <c r="H23" s="178"/>
      <c r="I23" s="179"/>
    </row>
    <row r="24" spans="1:9" x14ac:dyDescent="0.25">
      <c r="A24" s="199" t="str">
        <f ca="1">"https://cloud.iexapis.com/stable/files/download/NEW_CONSTRUCTS_REPORT?token="&amp;my_token&amp;"&amp;symbol="&amp;Ticker&amp;"&amp;date="&amp;TEXT(TODAY()-1,"YYYYMMDD")</f>
        <v>https://cloud.iexapis.com/stable/files/download/NEW_CONSTRUCTS_REPORT?token=&amp;symbol=IBM&amp;date=20210425</v>
      </c>
      <c r="B24" s="186"/>
      <c r="C24" s="186"/>
      <c r="D24" s="186"/>
      <c r="E24" s="186"/>
      <c r="F24" s="186"/>
      <c r="G24" s="186"/>
      <c r="H24" s="178"/>
      <c r="I24" s="179"/>
    </row>
    <row r="25" spans="1:9" ht="15.75" thickBot="1" x14ac:dyDescent="0.3">
      <c r="A25" s="200" t="s">
        <v>803</v>
      </c>
      <c r="B25" s="186"/>
      <c r="C25" s="186"/>
      <c r="D25" s="186"/>
      <c r="E25" s="186"/>
      <c r="F25" s="186"/>
      <c r="G25" s="186"/>
      <c r="H25" s="178"/>
      <c r="I25" s="179"/>
    </row>
    <row r="26" spans="1:9" ht="15.75" thickBot="1" x14ac:dyDescent="0.3">
      <c r="A26" s="187"/>
      <c r="B26" s="201"/>
      <c r="C26" s="188"/>
      <c r="D26" s="192"/>
      <c r="E26" s="192"/>
      <c r="F26" s="192"/>
      <c r="G26" s="192"/>
      <c r="H26" s="192"/>
      <c r="I26" s="189"/>
    </row>
    <row r="27" spans="1:9" ht="15.75" thickBot="1" x14ac:dyDescent="0.3"/>
    <row r="28" spans="1:9" x14ac:dyDescent="0.25">
      <c r="A28" s="202" t="s">
        <v>804</v>
      </c>
      <c r="B28" s="176"/>
    </row>
    <row r="29" spans="1:9" x14ac:dyDescent="0.25">
      <c r="A29" s="177" t="str">
        <f>+account!A7</f>
        <v>creditLimit</v>
      </c>
      <c r="B29" s="203">
        <f>+account!B7</f>
        <v>50000</v>
      </c>
      <c r="C29" s="170"/>
      <c r="D29" s="23"/>
      <c r="E29" s="138"/>
    </row>
    <row r="30" spans="1:9" x14ac:dyDescent="0.25">
      <c r="A30" s="177" t="str">
        <f>+account!A9</f>
        <v>creditsUsed</v>
      </c>
      <c r="B30" s="203">
        <f>+account!B9</f>
        <v>49754</v>
      </c>
      <c r="C30" s="170"/>
      <c r="D30" s="163"/>
      <c r="E30" s="138"/>
    </row>
    <row r="31" spans="1:9" x14ac:dyDescent="0.25">
      <c r="A31" s="177" t="str">
        <f>+account!A4</f>
        <v>subscriptionTermType</v>
      </c>
      <c r="B31" s="203" t="str">
        <f>+account!B4</f>
        <v>annual</v>
      </c>
      <c r="C31" s="170"/>
    </row>
    <row r="32" spans="1:9" ht="15.75" thickBot="1" x14ac:dyDescent="0.3">
      <c r="A32" s="187" t="str">
        <f>+account!A5</f>
        <v>tierName</v>
      </c>
      <c r="B32" s="204" t="str">
        <f>+account!B5</f>
        <v>start</v>
      </c>
      <c r="C32" s="170"/>
    </row>
    <row r="33" spans="1:3" x14ac:dyDescent="0.25">
      <c r="B33" s="105"/>
      <c r="C33" s="170"/>
    </row>
    <row r="34" spans="1:3" x14ac:dyDescent="0.25">
      <c r="B34" s="105"/>
      <c r="C34" s="170"/>
    </row>
    <row r="35" spans="1:3" x14ac:dyDescent="0.25">
      <c r="B35" s="105"/>
      <c r="C35" s="170"/>
    </row>
    <row r="36" spans="1:3" x14ac:dyDescent="0.25">
      <c r="B36" s="105"/>
      <c r="C36" s="170"/>
    </row>
    <row r="37" spans="1:3" x14ac:dyDescent="0.25">
      <c r="B37" s="105"/>
      <c r="C37" s="170"/>
    </row>
    <row r="38" spans="1:3" x14ac:dyDescent="0.25">
      <c r="B38" s="105"/>
      <c r="C38" s="170"/>
    </row>
    <row r="39" spans="1:3" x14ac:dyDescent="0.25">
      <c r="B39" s="105"/>
      <c r="C39" s="170"/>
    </row>
    <row r="40" spans="1:3" x14ac:dyDescent="0.25">
      <c r="B40" s="105"/>
      <c r="C40" s="170"/>
    </row>
    <row r="41" spans="1:3" x14ac:dyDescent="0.25">
      <c r="B41" s="105"/>
      <c r="C41" s="170"/>
    </row>
    <row r="42" spans="1:3" x14ac:dyDescent="0.25">
      <c r="B42" s="105"/>
      <c r="C42" s="170"/>
    </row>
    <row r="43" spans="1:3" x14ac:dyDescent="0.25">
      <c r="B43" s="105"/>
      <c r="C43" s="170"/>
    </row>
    <row r="44" spans="1:3" x14ac:dyDescent="0.25">
      <c r="A44" t="s">
        <v>814</v>
      </c>
      <c r="B44" s="105"/>
      <c r="C44" s="170"/>
    </row>
    <row r="45" spans="1:3" x14ac:dyDescent="0.25">
      <c r="A45" t="s">
        <v>700</v>
      </c>
      <c r="B45" t="s">
        <v>809</v>
      </c>
      <c r="C45" s="171"/>
    </row>
    <row r="46" spans="1:3" x14ac:dyDescent="0.25">
      <c r="A46" t="s">
        <v>181</v>
      </c>
      <c r="B46" s="103" t="s">
        <v>799</v>
      </c>
    </row>
    <row r="47" spans="1:3" x14ac:dyDescent="0.25">
      <c r="A47" t="s">
        <v>694</v>
      </c>
      <c r="B47" s="103" t="s">
        <v>807</v>
      </c>
    </row>
    <row r="48" spans="1:3" x14ac:dyDescent="0.25">
      <c r="A48" t="s">
        <v>687</v>
      </c>
      <c r="B48" s="103" t="s">
        <v>808</v>
      </c>
    </row>
    <row r="50" spans="1:5" x14ac:dyDescent="0.25">
      <c r="A50" s="190" t="s">
        <v>811</v>
      </c>
    </row>
    <row r="51" spans="1:5" x14ac:dyDescent="0.25">
      <c r="A51" t="s">
        <v>720</v>
      </c>
      <c r="B51" t="s">
        <v>719</v>
      </c>
      <c r="C51" t="s">
        <v>722</v>
      </c>
      <c r="D51" t="s">
        <v>812</v>
      </c>
      <c r="E51" t="s">
        <v>813</v>
      </c>
    </row>
    <row r="52" spans="1:5" x14ac:dyDescent="0.25">
      <c r="A52" s="196" t="s">
        <v>721</v>
      </c>
      <c r="B52" s="196">
        <v>7</v>
      </c>
      <c r="C52" s="190">
        <f>IF(A52="y",360,30)*(B52+1)</f>
        <v>2880</v>
      </c>
      <c r="D52" s="191">
        <f ca="1">+E52-C52</f>
        <v>41432</v>
      </c>
      <c r="E52" s="191">
        <f ca="1">TODAY()</f>
        <v>44312</v>
      </c>
    </row>
  </sheetData>
  <mergeCells count="6">
    <mergeCell ref="D20:I20"/>
    <mergeCell ref="D4:I4"/>
    <mergeCell ref="D5:I5"/>
    <mergeCell ref="D6:I6"/>
    <mergeCell ref="D7:I7"/>
    <mergeCell ref="D19:I19"/>
  </mergeCells>
  <conditionalFormatting sqref="B10:B11">
    <cfRule type="cellIs" dxfId="81" priority="4" operator="equal">
      <formula>FALSE</formula>
    </cfRule>
    <cfRule type="cellIs" dxfId="80" priority="5" operator="equal">
      <formula>TRUE</formula>
    </cfRule>
    <cfRule type="iconSet" priority="6">
      <iconSet>
        <cfvo type="percent" val="0"/>
        <cfvo type="percent" val="33"/>
        <cfvo type="percent" val="67"/>
      </iconSet>
    </cfRule>
  </conditionalFormatting>
  <conditionalFormatting sqref="B13:C13 B12">
    <cfRule type="cellIs" dxfId="79" priority="7" operator="notEqual">
      <formula>TRUE</formula>
    </cfRule>
    <cfRule type="cellIs" dxfId="78" priority="8" operator="equal">
      <formula>TRUE</formula>
    </cfRule>
    <cfRule type="iconSet" priority="9">
      <iconSet>
        <cfvo type="percent" val="0"/>
        <cfvo type="percent" val="33"/>
        <cfvo type="percent" val="67"/>
      </iconSet>
    </cfRule>
  </conditionalFormatting>
  <dataValidations disablePrompts="1" count="5">
    <dataValidation allowBlank="1" showInputMessage="1" showErrorMessage="1" promptTitle="Period" prompt="select ltm or annual" sqref="B22:C22 C19" xr:uid="{F2C7849C-F3F1-4DE5-9607-A02B8A8A28AE}"/>
    <dataValidation allowBlank="1" showInputMessage="1" showErrorMessage="1" promptTitle="Select Y/N" prompt="Select Y for data in millions" sqref="B15:C18" xr:uid="{979BA900-3DA6-4455-B5B7-7C91791EC669}"/>
    <dataValidation type="list" allowBlank="1" showInputMessage="1" showErrorMessage="1" promptTitle="Select Period Type" prompt="Select annual, ttm or quarterly" sqref="B6:C6" xr:uid="{E6E87EE2-E342-4201-97EA-B48F9812A7F9}">
      <formula1>$A$46:$A$48</formula1>
    </dataValidation>
    <dataValidation type="whole" allowBlank="1" showInputMessage="1" showErrorMessage="1" promptTitle="Number of Period" sqref="A52" xr:uid="{DC8C7C98-8337-4EA2-B303-3C18634C46B9}">
      <formula1>1</formula1>
      <formula2>100</formula2>
    </dataValidation>
    <dataValidation type="whole" allowBlank="1" showInputMessage="1" showErrorMessage="1" promptTitle="Number of Period" prompt="Choose the number of periods" sqref="B52" xr:uid="{71080D04-A286-456A-A519-A7B07DBC1CFC}">
      <formula1>1</formula1>
      <formula2>100</formula2>
    </dataValidation>
  </dataValidations>
  <hyperlinks>
    <hyperlink ref="A23" r:id="rId1" location="new-constructs" display="Latest New Constructs Report" xr:uid="{17077BB9-D0D5-4CF9-8B5F-E23746CD1853}"/>
    <hyperlink ref="D7" location="ReccomendedPeriod" display="This is the reccomended # of periods for the period type.  You can over write this, or edit the defaults here--&gt;" xr:uid="{F5B39D78-A5CF-40F8-92E1-5FA8445DACA3}"/>
    <hyperlink ref="A18" r:id="rId2" xr:uid="{DDBDCC19-23D9-4944-BCD3-64247626C037}"/>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un_All_WebQueries" altText="Once you have selected the stock, hit the button to update.">
                <anchor moveWithCells="1" sizeWithCells="1">
                  <from>
                    <xdr:col>2</xdr:col>
                    <xdr:colOff>76200</xdr:colOff>
                    <xdr:row>8</xdr:row>
                    <xdr:rowOff>180975</xdr:rowOff>
                  </from>
                  <to>
                    <xdr:col>2</xdr:col>
                    <xdr:colOff>1219200</xdr:colOff>
                    <xdr:row>11</xdr:row>
                    <xdr:rowOff>180975</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Period Type" prompt="y for years_x000a_q for quarters" xr:uid="{17FE00B5-8F37-4028-9416-C3B545EB3649}">
          <x14:formula1>
            <xm:f>URL_Builder!$A$37:$A$38</xm:f>
          </x14:formula1>
          <xm:sqref>A52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FC04D-D6FB-4D43-978A-E66E753F9449}">
  <sheetPr codeName="Sheet2"/>
  <dimension ref="A2:D19"/>
  <sheetViews>
    <sheetView workbookViewId="0">
      <selection activeCell="B14" sqref="B14"/>
    </sheetView>
  </sheetViews>
  <sheetFormatPr defaultColWidth="8.85546875" defaultRowHeight="15" x14ac:dyDescent="0.25"/>
  <cols>
    <col min="1" max="1" width="2.42578125" style="36" customWidth="1"/>
    <col min="2" max="2" width="70" style="7" customWidth="1"/>
    <col min="3" max="3" width="3.42578125" customWidth="1"/>
    <col min="4" max="4" width="37.140625" customWidth="1"/>
  </cols>
  <sheetData>
    <row r="2" spans="1:4" ht="36" x14ac:dyDescent="0.55000000000000004">
      <c r="A2" s="216" t="s">
        <v>674</v>
      </c>
      <c r="B2" s="216"/>
    </row>
    <row r="3" spans="1:4" ht="36" customHeight="1" x14ac:dyDescent="0.25">
      <c r="A3" s="217" t="s">
        <v>663</v>
      </c>
      <c r="B3" s="217"/>
    </row>
    <row r="4" spans="1:4" s="96" customFormat="1" ht="21" x14ac:dyDescent="0.35">
      <c r="A4" s="217" t="s">
        <v>184</v>
      </c>
      <c r="B4" s="217"/>
      <c r="C4" s="215" t="s">
        <v>644</v>
      </c>
      <c r="D4" s="215"/>
    </row>
    <row r="5" spans="1:4" s="96" customFormat="1" ht="23.25" customHeight="1" x14ac:dyDescent="0.35">
      <c r="A5" s="215" t="s">
        <v>431</v>
      </c>
      <c r="B5" s="215"/>
      <c r="C5" s="36"/>
      <c r="D5" s="137" t="s">
        <v>638</v>
      </c>
    </row>
    <row r="6" spans="1:4" s="96" customFormat="1" ht="23.25" customHeight="1" x14ac:dyDescent="0.35">
      <c r="A6" s="95"/>
      <c r="B6" s="97" t="s">
        <v>424</v>
      </c>
      <c r="C6" s="36"/>
      <c r="D6" s="137" t="s">
        <v>641</v>
      </c>
    </row>
    <row r="7" spans="1:4" s="96" customFormat="1" ht="23.25" customHeight="1" x14ac:dyDescent="0.35">
      <c r="A7" s="95"/>
      <c r="B7" s="97" t="s">
        <v>421</v>
      </c>
      <c r="C7" s="36"/>
      <c r="D7" s="137" t="s">
        <v>642</v>
      </c>
    </row>
    <row r="8" spans="1:4" s="96" customFormat="1" ht="23.25" customHeight="1" x14ac:dyDescent="0.35">
      <c r="A8" s="95"/>
      <c r="B8" s="97" t="s">
        <v>429</v>
      </c>
      <c r="C8" s="36"/>
      <c r="D8" s="137" t="s">
        <v>448</v>
      </c>
    </row>
    <row r="9" spans="1:4" s="96" customFormat="1" ht="23.25" customHeight="1" x14ac:dyDescent="0.35">
      <c r="A9" s="215" t="s">
        <v>432</v>
      </c>
      <c r="B9" s="215"/>
      <c r="C9" s="36"/>
      <c r="D9" s="137" t="s">
        <v>451</v>
      </c>
    </row>
    <row r="10" spans="1:4" s="96" customFormat="1" ht="23.25" customHeight="1" x14ac:dyDescent="0.35">
      <c r="A10" s="99"/>
      <c r="B10" s="99"/>
      <c r="C10" s="36"/>
      <c r="D10" s="137" t="s">
        <v>643</v>
      </c>
    </row>
    <row r="11" spans="1:4" s="96" customFormat="1" ht="23.25" customHeight="1" x14ac:dyDescent="0.35">
      <c r="A11" s="215" t="s">
        <v>610</v>
      </c>
      <c r="B11" s="215"/>
      <c r="D11" s="137" t="s">
        <v>754</v>
      </c>
    </row>
    <row r="12" spans="1:4" s="96" customFormat="1" ht="23.25" customHeight="1" x14ac:dyDescent="0.35">
      <c r="A12" s="95"/>
      <c r="B12" s="97" t="s">
        <v>454</v>
      </c>
    </row>
    <row r="13" spans="1:4" s="96" customFormat="1" ht="23.25" customHeight="1" x14ac:dyDescent="0.35">
      <c r="A13" s="95"/>
      <c r="B13" s="97" t="s">
        <v>619</v>
      </c>
    </row>
    <row r="14" spans="1:4" s="96" customFormat="1" ht="23.25" customHeight="1" x14ac:dyDescent="0.35">
      <c r="A14" s="95"/>
      <c r="B14" s="97" t="s">
        <v>616</v>
      </c>
    </row>
    <row r="15" spans="1:4" s="96" customFormat="1" ht="23.25" customHeight="1" x14ac:dyDescent="0.35">
      <c r="A15" s="95"/>
      <c r="B15" s="97" t="s">
        <v>451</v>
      </c>
    </row>
    <row r="16" spans="1:4" s="96" customFormat="1" ht="23.25" customHeight="1" x14ac:dyDescent="0.35">
      <c r="A16" s="95"/>
      <c r="B16" s="97" t="s">
        <v>457</v>
      </c>
    </row>
    <row r="17" spans="1:2" s="96" customFormat="1" ht="23.25" customHeight="1" x14ac:dyDescent="0.35">
      <c r="A17" s="95"/>
      <c r="B17" s="98" t="s">
        <v>440</v>
      </c>
    </row>
    <row r="18" spans="1:2" s="96" customFormat="1" ht="23.25" customHeight="1" x14ac:dyDescent="0.35">
      <c r="A18" s="95"/>
      <c r="B18" s="97" t="s">
        <v>623</v>
      </c>
    </row>
    <row r="19" spans="1:2" s="96" customFormat="1" ht="23.25" customHeight="1" x14ac:dyDescent="0.35">
      <c r="A19" s="95"/>
      <c r="B19" s="97" t="s">
        <v>416</v>
      </c>
    </row>
  </sheetData>
  <mergeCells count="7">
    <mergeCell ref="C4:D4"/>
    <mergeCell ref="A9:B9"/>
    <mergeCell ref="A11:B11"/>
    <mergeCell ref="A5:B5"/>
    <mergeCell ref="A2:B2"/>
    <mergeCell ref="A4:B4"/>
    <mergeCell ref="A3:B3"/>
  </mergeCells>
  <hyperlinks>
    <hyperlink ref="A4" location="Income_Statement" display="Income Statement   " xr:uid="{DCEDF150-A4F0-4B47-A1AC-12E032873D9B}"/>
    <hyperlink ref="A5" location="Balance_Sheet___Assets" display="Balance Sheet - Assets" xr:uid="{FA87B4DC-3A32-46C6-8C03-B7479D72F174}"/>
    <hyperlink ref="B6" location="Current_Assets" display="Current Assets" xr:uid="{F7B9DC49-91F9-4BF5-B482-89ED93BCE2F6}"/>
    <hyperlink ref="B8" location="Current_Investment_Liabilities" display="Current/Investment Liabilities" xr:uid="{A0EB0C03-3412-433A-9A28-3230AF988F2E}"/>
    <hyperlink ref="A9" location="Cash_Flow_Statement" display="Cash Flow Statement" xr:uid="{1C2A7496-90B2-4D91-B216-15E641DD2D32}"/>
    <hyperlink ref="A11" location="Calculated_Fields_and_Ratios" display="Calculated Fields and Ratios" xr:uid="{21624548-22E7-4B02-90E0-F3359E987EBF}"/>
    <hyperlink ref="B12" location="Per_Share_Data" display="Per Share Data" xr:uid="{B3FAB35F-572C-4432-BF8C-CFA099A7F6F0}"/>
    <hyperlink ref="B13" location="Valuation_Inputs" display="Valuation Inputs" xr:uid="{0B4639E3-470D-4173-8FAE-57F2D4E437F6}"/>
    <hyperlink ref="B14" location="Valuation_Ratios" display="Valuation Ratios" xr:uid="{4B8D66F3-5B18-496C-BD48-E8FE8D152E86}"/>
    <hyperlink ref="B15" location="Margin_Analysis" display="Margin Analysis" xr:uid="{91F2BF0B-5634-400A-AD61-7F6EED14EAC4}"/>
    <hyperlink ref="B16" location="Growth_Analysis" display="Growth Analysis" xr:uid="{96A2FDC3-BC80-44C1-BAA8-13AEE7E89FBB}"/>
    <hyperlink ref="B17" location="Dupont_Analysis" display="Dupont Analysis" xr:uid="{82727AE8-21A1-4394-8AC7-1691FACCE292}"/>
    <hyperlink ref="B18" location="Leverage_Ratios" display="Leverage Ratios" xr:uid="{A9774AC2-7117-4C70-9A1A-E3E207113D67}"/>
    <hyperlink ref="B19" location="Cash_Conversion_Cycle" display="Cash Conversion Cycle" xr:uid="{A338B241-D9F7-4D9D-9D7F-4FFA06586DAA}"/>
    <hyperlink ref="B7" location="Fixed_Assets" display="Fixed Assets" xr:uid="{AF19BB3F-DA74-47F2-AC27-36BC8334D91F}"/>
    <hyperlink ref="C4:D4" location="Charts!A1" display="Charts" xr:uid="{6B578B04-490F-4E1A-8C1D-4D07EDE3B637}"/>
    <hyperlink ref="A3" location="Settings!A1" display="Settings" xr:uid="{D7072DD7-65B5-4B8E-ACF5-64D285B0882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6DFE6-71EC-43EE-84BF-9E14697D03A9}">
  <sheetPr codeName="Sheet3">
    <tabColor theme="4"/>
    <pageSetUpPr fitToPage="1"/>
  </sheetPr>
  <dimension ref="A1:ES221"/>
  <sheetViews>
    <sheetView zoomScaleNormal="100" workbookViewId="0">
      <pane xSplit="3" ySplit="12" topLeftCell="D13" activePane="bottomRight" state="frozen"/>
      <selection activeCell="A2" sqref="A2"/>
      <selection pane="topRight" activeCell="A2" sqref="A2"/>
      <selection pane="bottomLeft" activeCell="A2" sqref="A2"/>
      <selection pane="bottomRight" sqref="A1:XFD9"/>
    </sheetView>
  </sheetViews>
  <sheetFormatPr defaultColWidth="10.140625" defaultRowHeight="15" x14ac:dyDescent="0.25"/>
  <cols>
    <col min="1" max="1" width="49.7109375" hidden="1" customWidth="1"/>
    <col min="2" max="2" width="2.42578125" style="104" customWidth="1"/>
    <col min="3" max="3" width="70" style="7" bestFit="1" customWidth="1"/>
    <col min="4" max="9" width="19.42578125" style="105" customWidth="1"/>
    <col min="10" max="10" width="6.42578125" style="105" customWidth="1"/>
    <col min="11" max="11" width="10.140625" style="123" customWidth="1"/>
    <col min="12" max="12" width="68.7109375" style="105" customWidth="1"/>
    <col min="13" max="35" width="20" style="105" customWidth="1"/>
    <col min="251" max="252" width="10.140625" customWidth="1"/>
    <col min="253" max="253" width="85" customWidth="1"/>
    <col min="254" max="254" width="10.140625" customWidth="1"/>
    <col min="255" max="291" width="20" customWidth="1"/>
    <col min="507" max="508" width="10.140625" customWidth="1"/>
    <col min="509" max="509" width="85" customWidth="1"/>
    <col min="510" max="510" width="10.140625" customWidth="1"/>
    <col min="511" max="547" width="20" customWidth="1"/>
    <col min="763" max="764" width="10.140625" customWidth="1"/>
    <col min="765" max="765" width="85" customWidth="1"/>
    <col min="766" max="766" width="10.140625" customWidth="1"/>
    <col min="767" max="803" width="20" customWidth="1"/>
    <col min="1019" max="1020" width="10.140625" customWidth="1"/>
    <col min="1021" max="1021" width="85" customWidth="1"/>
    <col min="1022" max="1022" width="10.140625" customWidth="1"/>
    <col min="1023" max="1059" width="20" customWidth="1"/>
    <col min="1275" max="1276" width="10.140625" customWidth="1"/>
    <col min="1277" max="1277" width="85" customWidth="1"/>
    <col min="1278" max="1278" width="10.140625" customWidth="1"/>
    <col min="1279" max="1315" width="20" customWidth="1"/>
    <col min="1531" max="1532" width="10.140625" customWidth="1"/>
    <col min="1533" max="1533" width="85" customWidth="1"/>
    <col min="1534" max="1534" width="10.140625" customWidth="1"/>
    <col min="1535" max="1571" width="20" customWidth="1"/>
    <col min="1787" max="1788" width="10.140625" customWidth="1"/>
    <col min="1789" max="1789" width="85" customWidth="1"/>
    <col min="1790" max="1790" width="10.140625" customWidth="1"/>
    <col min="1791" max="1827" width="20" customWidth="1"/>
    <col min="2043" max="2044" width="10.140625" customWidth="1"/>
    <col min="2045" max="2045" width="85" customWidth="1"/>
    <col min="2046" max="2046" width="10.140625" customWidth="1"/>
    <col min="2047" max="2083" width="20" customWidth="1"/>
    <col min="2299" max="2300" width="10.140625" customWidth="1"/>
    <col min="2301" max="2301" width="85" customWidth="1"/>
    <col min="2302" max="2302" width="10.140625" customWidth="1"/>
    <col min="2303" max="2339" width="20" customWidth="1"/>
    <col min="2555" max="2556" width="10.140625" customWidth="1"/>
    <col min="2557" max="2557" width="85" customWidth="1"/>
    <col min="2558" max="2558" width="10.140625" customWidth="1"/>
    <col min="2559" max="2595" width="20" customWidth="1"/>
    <col min="2811" max="2812" width="10.140625" customWidth="1"/>
    <col min="2813" max="2813" width="85" customWidth="1"/>
    <col min="2814" max="2814" width="10.140625" customWidth="1"/>
    <col min="2815" max="2851" width="20" customWidth="1"/>
    <col min="3067" max="3068" width="10.140625" customWidth="1"/>
    <col min="3069" max="3069" width="85" customWidth="1"/>
    <col min="3070" max="3070" width="10.140625" customWidth="1"/>
    <col min="3071" max="3107" width="20" customWidth="1"/>
    <col min="3323" max="3324" width="10.140625" customWidth="1"/>
    <col min="3325" max="3325" width="85" customWidth="1"/>
    <col min="3326" max="3326" width="10.140625" customWidth="1"/>
    <col min="3327" max="3363" width="20" customWidth="1"/>
    <col min="3579" max="3580" width="10.140625" customWidth="1"/>
    <col min="3581" max="3581" width="85" customWidth="1"/>
    <col min="3582" max="3582" width="10.140625" customWidth="1"/>
    <col min="3583" max="3619" width="20" customWidth="1"/>
    <col min="3835" max="3836" width="10.140625" customWidth="1"/>
    <col min="3837" max="3837" width="85" customWidth="1"/>
    <col min="3838" max="3838" width="10.140625" customWidth="1"/>
    <col min="3839" max="3875" width="20" customWidth="1"/>
    <col min="4091" max="4092" width="10.140625" customWidth="1"/>
    <col min="4093" max="4093" width="85" customWidth="1"/>
    <col min="4094" max="4094" width="10.140625" customWidth="1"/>
    <col min="4095" max="4131" width="20" customWidth="1"/>
    <col min="4347" max="4348" width="10.140625" customWidth="1"/>
    <col min="4349" max="4349" width="85" customWidth="1"/>
    <col min="4350" max="4350" width="10.140625" customWidth="1"/>
    <col min="4351" max="4387" width="20" customWidth="1"/>
    <col min="4603" max="4604" width="10.140625" customWidth="1"/>
    <col min="4605" max="4605" width="85" customWidth="1"/>
    <col min="4606" max="4606" width="10.140625" customWidth="1"/>
    <col min="4607" max="4643" width="20" customWidth="1"/>
    <col min="4859" max="4860" width="10.140625" customWidth="1"/>
    <col min="4861" max="4861" width="85" customWidth="1"/>
    <col min="4862" max="4862" width="10.140625" customWidth="1"/>
    <col min="4863" max="4899" width="20" customWidth="1"/>
    <col min="5115" max="5116" width="10.140625" customWidth="1"/>
    <col min="5117" max="5117" width="85" customWidth="1"/>
    <col min="5118" max="5118" width="10.140625" customWidth="1"/>
    <col min="5119" max="5155" width="20" customWidth="1"/>
    <col min="5371" max="5372" width="10.140625" customWidth="1"/>
    <col min="5373" max="5373" width="85" customWidth="1"/>
    <col min="5374" max="5374" width="10.140625" customWidth="1"/>
    <col min="5375" max="5411" width="20" customWidth="1"/>
    <col min="5627" max="5628" width="10.140625" customWidth="1"/>
    <col min="5629" max="5629" width="85" customWidth="1"/>
    <col min="5630" max="5630" width="10.140625" customWidth="1"/>
    <col min="5631" max="5667" width="20" customWidth="1"/>
    <col min="5883" max="5884" width="10.140625" customWidth="1"/>
    <col min="5885" max="5885" width="85" customWidth="1"/>
    <col min="5886" max="5886" width="10.140625" customWidth="1"/>
    <col min="5887" max="5923" width="20" customWidth="1"/>
    <col min="6139" max="6140" width="10.140625" customWidth="1"/>
    <col min="6141" max="6141" width="85" customWidth="1"/>
    <col min="6142" max="6142" width="10.140625" customWidth="1"/>
    <col min="6143" max="6179" width="20" customWidth="1"/>
    <col min="6395" max="6396" width="10.140625" customWidth="1"/>
    <col min="6397" max="6397" width="85" customWidth="1"/>
    <col min="6398" max="6398" width="10.140625" customWidth="1"/>
    <col min="6399" max="6435" width="20" customWidth="1"/>
    <col min="6651" max="6652" width="10.140625" customWidth="1"/>
    <col min="6653" max="6653" width="85" customWidth="1"/>
    <col min="6654" max="6654" width="10.140625" customWidth="1"/>
    <col min="6655" max="6691" width="20" customWidth="1"/>
    <col min="6907" max="6908" width="10.140625" customWidth="1"/>
    <col min="6909" max="6909" width="85" customWidth="1"/>
    <col min="6910" max="6910" width="10.140625" customWidth="1"/>
    <col min="6911" max="6947" width="20" customWidth="1"/>
    <col min="7163" max="7164" width="10.140625" customWidth="1"/>
    <col min="7165" max="7165" width="85" customWidth="1"/>
    <col min="7166" max="7166" width="10.140625" customWidth="1"/>
    <col min="7167" max="7203" width="20" customWidth="1"/>
    <col min="7419" max="7420" width="10.140625" customWidth="1"/>
    <col min="7421" max="7421" width="85" customWidth="1"/>
    <col min="7422" max="7422" width="10.140625" customWidth="1"/>
    <col min="7423" max="7459" width="20" customWidth="1"/>
    <col min="7675" max="7676" width="10.140625" customWidth="1"/>
    <col min="7677" max="7677" width="85" customWidth="1"/>
    <col min="7678" max="7678" width="10.140625" customWidth="1"/>
    <col min="7679" max="7715" width="20" customWidth="1"/>
    <col min="7931" max="7932" width="10.140625" customWidth="1"/>
    <col min="7933" max="7933" width="85" customWidth="1"/>
    <col min="7934" max="7934" width="10.140625" customWidth="1"/>
    <col min="7935" max="7971" width="20" customWidth="1"/>
    <col min="8187" max="8188" width="10.140625" customWidth="1"/>
    <col min="8189" max="8189" width="85" customWidth="1"/>
    <col min="8190" max="8190" width="10.140625" customWidth="1"/>
    <col min="8191" max="8227" width="20" customWidth="1"/>
    <col min="8443" max="8444" width="10.140625" customWidth="1"/>
    <col min="8445" max="8445" width="85" customWidth="1"/>
    <col min="8446" max="8446" width="10.140625" customWidth="1"/>
    <col min="8447" max="8483" width="20" customWidth="1"/>
    <col min="8699" max="8700" width="10.140625" customWidth="1"/>
    <col min="8701" max="8701" width="85" customWidth="1"/>
    <col min="8702" max="8702" width="10.140625" customWidth="1"/>
    <col min="8703" max="8739" width="20" customWidth="1"/>
    <col min="8955" max="8956" width="10.140625" customWidth="1"/>
    <col min="8957" max="8957" width="85" customWidth="1"/>
    <col min="8958" max="8958" width="10.140625" customWidth="1"/>
    <col min="8959" max="8995" width="20" customWidth="1"/>
    <col min="9211" max="9212" width="10.140625" customWidth="1"/>
    <col min="9213" max="9213" width="85" customWidth="1"/>
    <col min="9214" max="9214" width="10.140625" customWidth="1"/>
    <col min="9215" max="9251" width="20" customWidth="1"/>
    <col min="9467" max="9468" width="10.140625" customWidth="1"/>
    <col min="9469" max="9469" width="85" customWidth="1"/>
    <col min="9470" max="9470" width="10.140625" customWidth="1"/>
    <col min="9471" max="9507" width="20" customWidth="1"/>
    <col min="9723" max="9724" width="10.140625" customWidth="1"/>
    <col min="9725" max="9725" width="85" customWidth="1"/>
    <col min="9726" max="9726" width="10.140625" customWidth="1"/>
    <col min="9727" max="9763" width="20" customWidth="1"/>
    <col min="9979" max="9980" width="10.140625" customWidth="1"/>
    <col min="9981" max="9981" width="85" customWidth="1"/>
    <col min="9982" max="9982" width="10.140625" customWidth="1"/>
    <col min="9983" max="10019" width="20" customWidth="1"/>
    <col min="10235" max="10236" width="10.140625" customWidth="1"/>
    <col min="10237" max="10237" width="85" customWidth="1"/>
    <col min="10238" max="10238" width="10.140625" customWidth="1"/>
    <col min="10239" max="10275" width="20" customWidth="1"/>
    <col min="10491" max="10492" width="10.140625" customWidth="1"/>
    <col min="10493" max="10493" width="85" customWidth="1"/>
    <col min="10494" max="10494" width="10.140625" customWidth="1"/>
    <col min="10495" max="10531" width="20" customWidth="1"/>
    <col min="10747" max="10748" width="10.140625" customWidth="1"/>
    <col min="10749" max="10749" width="85" customWidth="1"/>
    <col min="10750" max="10750" width="10.140625" customWidth="1"/>
    <col min="10751" max="10787" width="20" customWidth="1"/>
    <col min="11003" max="11004" width="10.140625" customWidth="1"/>
    <col min="11005" max="11005" width="85" customWidth="1"/>
    <col min="11006" max="11006" width="10.140625" customWidth="1"/>
    <col min="11007" max="11043" width="20" customWidth="1"/>
    <col min="11259" max="11260" width="10.140625" customWidth="1"/>
    <col min="11261" max="11261" width="85" customWidth="1"/>
    <col min="11262" max="11262" width="10.140625" customWidth="1"/>
    <col min="11263" max="11299" width="20" customWidth="1"/>
    <col min="11515" max="11516" width="10.140625" customWidth="1"/>
    <col min="11517" max="11517" width="85" customWidth="1"/>
    <col min="11518" max="11518" width="10.140625" customWidth="1"/>
    <col min="11519" max="11555" width="20" customWidth="1"/>
    <col min="11771" max="11772" width="10.140625" customWidth="1"/>
    <col min="11773" max="11773" width="85" customWidth="1"/>
    <col min="11774" max="11774" width="10.140625" customWidth="1"/>
    <col min="11775" max="11811" width="20" customWidth="1"/>
    <col min="12027" max="12028" width="10.140625" customWidth="1"/>
    <col min="12029" max="12029" width="85" customWidth="1"/>
    <col min="12030" max="12030" width="10.140625" customWidth="1"/>
    <col min="12031" max="12067" width="20" customWidth="1"/>
    <col min="12283" max="12284" width="10.140625" customWidth="1"/>
    <col min="12285" max="12285" width="85" customWidth="1"/>
    <col min="12286" max="12286" width="10.140625" customWidth="1"/>
    <col min="12287" max="12323" width="20" customWidth="1"/>
    <col min="12539" max="12540" width="10.140625" customWidth="1"/>
    <col min="12541" max="12541" width="85" customWidth="1"/>
    <col min="12542" max="12542" width="10.140625" customWidth="1"/>
    <col min="12543" max="12579" width="20" customWidth="1"/>
    <col min="12795" max="12796" width="10.140625" customWidth="1"/>
    <col min="12797" max="12797" width="85" customWidth="1"/>
    <col min="12798" max="12798" width="10.140625" customWidth="1"/>
    <col min="12799" max="12835" width="20" customWidth="1"/>
    <col min="13051" max="13052" width="10.140625" customWidth="1"/>
    <col min="13053" max="13053" width="85" customWidth="1"/>
    <col min="13054" max="13054" width="10.140625" customWidth="1"/>
    <col min="13055" max="13091" width="20" customWidth="1"/>
    <col min="13307" max="13308" width="10.140625" customWidth="1"/>
    <col min="13309" max="13309" width="85" customWidth="1"/>
    <col min="13310" max="13310" width="10.140625" customWidth="1"/>
    <col min="13311" max="13347" width="20" customWidth="1"/>
    <col min="13563" max="13564" width="10.140625" customWidth="1"/>
    <col min="13565" max="13565" width="85" customWidth="1"/>
    <col min="13566" max="13566" width="10.140625" customWidth="1"/>
    <col min="13567" max="13603" width="20" customWidth="1"/>
    <col min="13819" max="13820" width="10.140625" customWidth="1"/>
    <col min="13821" max="13821" width="85" customWidth="1"/>
    <col min="13822" max="13822" width="10.140625" customWidth="1"/>
    <col min="13823" max="13859" width="20" customWidth="1"/>
    <col min="14075" max="14076" width="10.140625" customWidth="1"/>
    <col min="14077" max="14077" width="85" customWidth="1"/>
    <col min="14078" max="14078" width="10.140625" customWidth="1"/>
    <col min="14079" max="14115" width="20" customWidth="1"/>
    <col min="14331" max="14332" width="10.140625" customWidth="1"/>
    <col min="14333" max="14333" width="85" customWidth="1"/>
    <col min="14334" max="14334" width="10.140625" customWidth="1"/>
    <col min="14335" max="14371" width="20" customWidth="1"/>
    <col min="14587" max="14588" width="10.140625" customWidth="1"/>
    <col min="14589" max="14589" width="85" customWidth="1"/>
    <col min="14590" max="14590" width="10.140625" customWidth="1"/>
    <col min="14591" max="14627" width="20" customWidth="1"/>
    <col min="14843" max="14844" width="10.140625" customWidth="1"/>
    <col min="14845" max="14845" width="85" customWidth="1"/>
    <col min="14846" max="14846" width="10.140625" customWidth="1"/>
    <col min="14847" max="14883" width="20" customWidth="1"/>
    <col min="15099" max="15100" width="10.140625" customWidth="1"/>
    <col min="15101" max="15101" width="85" customWidth="1"/>
    <col min="15102" max="15102" width="10.140625" customWidth="1"/>
    <col min="15103" max="15139" width="20" customWidth="1"/>
    <col min="15355" max="15356" width="10.140625" customWidth="1"/>
    <col min="15357" max="15357" width="85" customWidth="1"/>
    <col min="15358" max="15358" width="10.140625" customWidth="1"/>
    <col min="15359" max="15395" width="20" customWidth="1"/>
    <col min="15611" max="15612" width="10.140625" customWidth="1"/>
    <col min="15613" max="15613" width="85" customWidth="1"/>
    <col min="15614" max="15614" width="10.140625" customWidth="1"/>
    <col min="15615" max="15651" width="20" customWidth="1"/>
    <col min="15867" max="15868" width="10.140625" customWidth="1"/>
    <col min="15869" max="15869" width="85" customWidth="1"/>
    <col min="15870" max="15870" width="10.140625" customWidth="1"/>
    <col min="15871" max="15907" width="20" customWidth="1"/>
    <col min="16123" max="16124" width="10.140625" customWidth="1"/>
    <col min="16125" max="16125" width="85" customWidth="1"/>
    <col min="16126" max="16126" width="10.140625" customWidth="1"/>
    <col min="16127" max="16163" width="20" customWidth="1"/>
  </cols>
  <sheetData>
    <row r="1" spans="1:38" ht="18.75" hidden="1" x14ac:dyDescent="0.3">
      <c r="D1" s="156">
        <f t="shared" ref="D1:F1" si="0">IF(E1&gt;1,E1-1,0)</f>
        <v>2</v>
      </c>
      <c r="E1" s="156">
        <f t="shared" si="0"/>
        <v>3</v>
      </c>
      <c r="F1" s="156">
        <f t="shared" si="0"/>
        <v>4</v>
      </c>
      <c r="G1" s="156">
        <f>IF(H1&gt;1,H1-1,0)</f>
        <v>5</v>
      </c>
      <c r="H1" s="156">
        <f t="shared" ref="H1" si="1">IF(I1&gt;1,I1-1,0)</f>
        <v>6</v>
      </c>
      <c r="I1" s="156">
        <f>MATCH(MAX(Fundies!183:183),Fundies!183:183)-1</f>
        <v>7</v>
      </c>
    </row>
    <row r="2" spans="1:38" ht="36" hidden="1" x14ac:dyDescent="0.35">
      <c r="A2" t="s">
        <v>182</v>
      </c>
      <c r="B2" s="142"/>
      <c r="C2" s="142"/>
      <c r="D2" s="141">
        <f>IFERROR(VLOOKUP($A2,FetchFundies[],D$1+1,FALSE),0)/86400000+25569</f>
        <v>42369</v>
      </c>
      <c r="E2" s="141">
        <f>IFERROR(VLOOKUP($A2,FetchFundies[],E$1+1,FALSE),0)/86400000+25569</f>
        <v>42735</v>
      </c>
      <c r="F2" s="141">
        <f>IFERROR(VLOOKUP($A2,FetchFundies[],F$1+1,FALSE),0)/86400000+25569</f>
        <v>43100</v>
      </c>
      <c r="G2" s="141">
        <f>IFERROR(VLOOKUP($A2,FetchFundies[],G$1+1,FALSE),0)/86400000+25569</f>
        <v>43465</v>
      </c>
      <c r="H2" s="141">
        <f>IFERROR(VLOOKUP($A2,FetchFundies[],H$1+1,FALSE),0)/86400000+25569</f>
        <v>43830</v>
      </c>
      <c r="I2" s="141">
        <f>MAX(Fundies!183:183)/86400000+25569</f>
        <v>44196</v>
      </c>
    </row>
    <row r="3" spans="1:38" ht="36" hidden="1" x14ac:dyDescent="0.25">
      <c r="A3" t="s">
        <v>728</v>
      </c>
      <c r="B3" s="142"/>
      <c r="C3" s="142"/>
      <c r="D3" s="158">
        <f t="shared" ref="D3:H3" si="2">YEAR(D2)</f>
        <v>2015</v>
      </c>
      <c r="E3" s="158">
        <f t="shared" si="2"/>
        <v>2016</v>
      </c>
      <c r="F3" s="158">
        <f t="shared" si="2"/>
        <v>2017</v>
      </c>
      <c r="G3" s="158">
        <f t="shared" si="2"/>
        <v>2018</v>
      </c>
      <c r="H3" s="158">
        <f t="shared" si="2"/>
        <v>2019</v>
      </c>
      <c r="I3" s="158">
        <f>YEAR(I2)</f>
        <v>2020</v>
      </c>
    </row>
    <row r="4" spans="1:38" ht="36" hidden="1" x14ac:dyDescent="0.25">
      <c r="A4" t="s">
        <v>752</v>
      </c>
      <c r="B4" s="142"/>
      <c r="C4" s="142"/>
      <c r="D4" s="48">
        <f t="shared" ref="D4:H4" si="3">ROUNDUP(MONTH(D2)/3,0)</f>
        <v>4</v>
      </c>
      <c r="E4" s="48">
        <f t="shared" si="3"/>
        <v>4</v>
      </c>
      <c r="F4" s="48">
        <f t="shared" si="3"/>
        <v>4</v>
      </c>
      <c r="G4" s="48">
        <f t="shared" si="3"/>
        <v>4</v>
      </c>
      <c r="H4" s="48">
        <f t="shared" si="3"/>
        <v>4</v>
      </c>
      <c r="I4" s="48">
        <f>ROUNDUP(MONTH(I2)/3,0)</f>
        <v>4</v>
      </c>
    </row>
    <row r="5" spans="1:38" s="1" customFormat="1" hidden="1" x14ac:dyDescent="0.25">
      <c r="A5" s="1" t="s">
        <v>765</v>
      </c>
      <c r="B5" s="27"/>
      <c r="C5" s="1" t="s">
        <v>766</v>
      </c>
      <c r="D5" s="158"/>
      <c r="E5" s="158" t="str">
        <f>+E3&amp;"Q"&amp;E4</f>
        <v>2016Q4</v>
      </c>
      <c r="F5" s="158" t="str">
        <f>+F3&amp;"Q"&amp;F4</f>
        <v>2017Q4</v>
      </c>
      <c r="G5" s="158" t="str">
        <f>+G3&amp;"Q"&amp;G4</f>
        <v>2018Q4</v>
      </c>
      <c r="H5" s="158" t="str">
        <f>+H3&amp;"Q"&amp;H4</f>
        <v>2019Q4</v>
      </c>
      <c r="I5" s="158" t="str">
        <f>+I3&amp;"Q"&amp;I4</f>
        <v>2020Q4</v>
      </c>
      <c r="J5" s="9"/>
      <c r="K5" s="43"/>
      <c r="L5" s="13"/>
      <c r="M5" s="9"/>
      <c r="N5" s="9"/>
      <c r="O5" s="9"/>
      <c r="P5" s="9"/>
      <c r="Q5" s="9"/>
      <c r="R5" s="9"/>
      <c r="S5" s="9"/>
      <c r="T5" s="9"/>
      <c r="U5" s="9"/>
      <c r="V5" s="9"/>
      <c r="W5" s="9"/>
      <c r="X5" s="9"/>
      <c r="Y5" s="9"/>
      <c r="Z5" s="9"/>
      <c r="AA5" s="9"/>
      <c r="AB5" s="9"/>
      <c r="AC5" s="9"/>
      <c r="AD5" s="9"/>
      <c r="AE5" s="9"/>
      <c r="AF5" s="9"/>
      <c r="AG5" s="9"/>
      <c r="AH5" s="9"/>
      <c r="AI5" s="9"/>
    </row>
    <row r="6" spans="1:38" s="1" customFormat="1" hidden="1" x14ac:dyDescent="0.25">
      <c r="B6" s="27"/>
      <c r="C6" s="1" t="s">
        <v>767</v>
      </c>
      <c r="D6" s="158"/>
      <c r="E6" s="158" t="str">
        <f>IF(E4=4,E3&amp;"Q3",IF(E4=3,E3&amp;"Q2",IF(E4=2,E3&amp;"Q1",IF(E4=1,E3-1&amp;"Q4"))))</f>
        <v>2016Q3</v>
      </c>
      <c r="F6" s="158" t="str">
        <f>IF(F4=4,F3&amp;"Q3",IF(F4=3,F3&amp;"Q2",IF(F4=2,F3&amp;"Q1",IF(F4=1,F3-1&amp;"Q4"))))</f>
        <v>2017Q3</v>
      </c>
      <c r="G6" s="158" t="str">
        <f>IF(G4=4,G3&amp;"Q3",IF(G4=3,G3&amp;"Q2",IF(G4=2,G3&amp;"Q1",IF(G4=1,G3-1&amp;"Q4"))))</f>
        <v>2018Q3</v>
      </c>
      <c r="H6" s="158" t="str">
        <f>IF(H4=4,H3&amp;"Q3",IF(H4=3,H3&amp;"Q2",IF(H4=2,H3&amp;"Q1",IF(H4=1,H3-1&amp;"Q4"))))</f>
        <v>2019Q3</v>
      </c>
      <c r="I6" s="158" t="str">
        <f>IF(I4=4,I3&amp;"Q3",IF(I4=3,I3&amp;"Q2",IF(I4=2,I3&amp;"Q1",IF(I4=1,I3-1&amp;"Q4"))))</f>
        <v>2020Q3</v>
      </c>
      <c r="J6" s="9"/>
      <c r="K6" s="43"/>
      <c r="L6" s="13"/>
      <c r="M6" s="9"/>
      <c r="N6" s="9"/>
      <c r="O6" s="9"/>
      <c r="P6" s="9"/>
      <c r="Q6" s="9"/>
      <c r="R6" s="9"/>
      <c r="S6" s="9"/>
      <c r="T6" s="9"/>
      <c r="U6" s="9"/>
      <c r="V6" s="9"/>
      <c r="W6" s="9"/>
      <c r="X6" s="9"/>
      <c r="Y6" s="9"/>
      <c r="Z6" s="9"/>
      <c r="AA6" s="9"/>
      <c r="AB6" s="9"/>
      <c r="AC6" s="9"/>
      <c r="AD6" s="9"/>
      <c r="AE6" s="9"/>
      <c r="AF6" s="9"/>
      <c r="AG6" s="9"/>
      <c r="AH6" s="9"/>
      <c r="AI6" s="9"/>
    </row>
    <row r="7" spans="1:38" s="1" customFormat="1" hidden="1" x14ac:dyDescent="0.25">
      <c r="B7" s="27"/>
      <c r="C7" s="1" t="s">
        <v>768</v>
      </c>
      <c r="D7" s="158"/>
      <c r="E7" s="158" t="str">
        <f>IF(E4=4,E3&amp;"Q2",IF(E4=3,E3&amp;"Q1",IF(E4=2,E3-1&amp;"Q4",IF(E4=1,E3-1&amp;"Q3"))))</f>
        <v>2016Q2</v>
      </c>
      <c r="F7" s="158" t="str">
        <f>IF(F4=4,F3&amp;"Q2",IF(F4=3,F3&amp;"Q1",IF(F4=2,F3-1&amp;"Q4",IF(F4=1,F3-1&amp;"Q3"))))</f>
        <v>2017Q2</v>
      </c>
      <c r="G7" s="158" t="str">
        <f>IF(G4=4,G3&amp;"Q2",IF(G4=3,G3&amp;"Q1",IF(G4=2,G3-1&amp;"Q4",IF(G4=1,G3-1&amp;"Q3"))))</f>
        <v>2018Q2</v>
      </c>
      <c r="H7" s="158" t="str">
        <f>IF(H4=4,H3&amp;"Q2",IF(H4=3,H3&amp;"Q1",IF(H4=2,H3-1&amp;"Q4",IF(H4=1,H3-1&amp;"Q3"))))</f>
        <v>2019Q2</v>
      </c>
      <c r="I7" s="158" t="str">
        <f>IF(I4=4,I3&amp;"Q2",IF(I4=3,I3&amp;"Q1",IF(I4=2,I3-1&amp;"Q4",IF(I4=1,I3-1&amp;"Q3"))))</f>
        <v>2020Q2</v>
      </c>
      <c r="J7" s="9"/>
      <c r="K7" s="43"/>
      <c r="L7" s="13"/>
      <c r="M7" s="9"/>
      <c r="N7" s="9"/>
      <c r="O7" s="9"/>
      <c r="P7" s="9"/>
      <c r="Q7" s="9"/>
      <c r="R7" s="9"/>
      <c r="S7" s="9"/>
      <c r="T7" s="9"/>
      <c r="U7" s="9"/>
      <c r="V7" s="9"/>
      <c r="W7" s="9"/>
      <c r="X7" s="9"/>
      <c r="Y7" s="9"/>
      <c r="Z7" s="9"/>
      <c r="AA7" s="9"/>
      <c r="AB7" s="9"/>
      <c r="AC7" s="9"/>
      <c r="AD7" s="9"/>
      <c r="AE7" s="9"/>
      <c r="AF7" s="9"/>
      <c r="AG7" s="9"/>
      <c r="AH7" s="9"/>
      <c r="AI7" s="9"/>
    </row>
    <row r="8" spans="1:38" s="1" customFormat="1" hidden="1" x14ac:dyDescent="0.25">
      <c r="B8" s="27"/>
      <c r="C8" s="1" t="s">
        <v>769</v>
      </c>
      <c r="D8" s="158"/>
      <c r="E8" s="158" t="str">
        <f>IF(E4=4,E3&amp;"Q1",IF(E4=3,E3-1&amp;"Q4",IF(E4=2,E3-1&amp;"Q3",IF(E4=1,E3-1&amp;"Q2"))))</f>
        <v>2016Q1</v>
      </c>
      <c r="F8" s="158" t="str">
        <f>IF(F4=4,F3&amp;"Q1",IF(F4=3,F3-1&amp;"Q4",IF(F4=2,F3-1&amp;"Q3",IF(F4=1,F3-1&amp;"Q2"))))</f>
        <v>2017Q1</v>
      </c>
      <c r="G8" s="158" t="str">
        <f>IF(G4=4,G3&amp;"Q1",IF(G4=3,G3-1&amp;"Q4",IF(G4=2,G3-1&amp;"Q3",IF(G4=1,G3-1&amp;"Q2"))))</f>
        <v>2018Q1</v>
      </c>
      <c r="H8" s="158" t="str">
        <f>IF(H4=4,H3&amp;"Q1",IF(H4=3,H3-1&amp;"Q4",IF(H4=2,H3-1&amp;"Q3",IF(H4=1,H3-1&amp;"Q2"))))</f>
        <v>2019Q1</v>
      </c>
      <c r="I8" s="158" t="str">
        <f>IF(I4=4,I3&amp;"Q1",IF(I4=3,I3-1&amp;"Q4",IF(I4=2,I3-1&amp;"Q3",IF(I4=1,I3-1&amp;"Q2"))))</f>
        <v>2020Q1</v>
      </c>
      <c r="J8" s="9"/>
      <c r="K8" s="43"/>
      <c r="L8" s="13"/>
      <c r="M8" s="9"/>
      <c r="N8" s="9"/>
      <c r="O8" s="9"/>
      <c r="P8" s="9"/>
      <c r="Q8" s="9"/>
      <c r="R8" s="9"/>
      <c r="S8" s="9"/>
      <c r="T8" s="9"/>
      <c r="U8" s="9"/>
      <c r="V8" s="9"/>
      <c r="W8" s="9"/>
      <c r="X8" s="9"/>
      <c r="Y8" s="9"/>
      <c r="Z8" s="9"/>
      <c r="AA8" s="9"/>
      <c r="AB8" s="9"/>
      <c r="AC8" s="9"/>
      <c r="AD8" s="9"/>
      <c r="AE8" s="9"/>
      <c r="AF8" s="9"/>
      <c r="AG8" s="9"/>
      <c r="AH8" s="9"/>
      <c r="AI8" s="9"/>
    </row>
    <row r="9" spans="1:38" ht="36" hidden="1" x14ac:dyDescent="0.35">
      <c r="B9" s="142"/>
      <c r="C9" s="142"/>
      <c r="D9" s="141"/>
      <c r="E9" s="141"/>
      <c r="F9" s="141"/>
      <c r="G9" s="141"/>
      <c r="H9" s="141"/>
      <c r="I9" s="141"/>
    </row>
    <row r="10" spans="1:38" ht="51.75" customHeight="1" x14ac:dyDescent="0.35">
      <c r="A10" t="s">
        <v>179</v>
      </c>
      <c r="B10" s="142" t="e">
        <f>IF(Settings!B11,SUBSTITUTE(Settings!B5,"""",""),"Go to settings and hit Load")</f>
        <v>#VALUE!</v>
      </c>
      <c r="C10" s="142"/>
      <c r="D10" s="16">
        <f>VLOOKUP($A10,FetchFundies[],D$1+1)</f>
        <v>52.702772404900102</v>
      </c>
      <c r="E10" s="106"/>
      <c r="F10" s="50"/>
      <c r="G10" s="50"/>
      <c r="K10" s="220" t="s">
        <v>665</v>
      </c>
    </row>
    <row r="11" spans="1:38" ht="23.25" x14ac:dyDescent="0.35">
      <c r="B11" s="221" t="str">
        <f>IF(Millions=1000000,"   Amounts in millions, except per share data","   Amounts in USD")</f>
        <v xml:space="preserve">   Amounts in millions, except per share data</v>
      </c>
      <c r="C11" s="221"/>
      <c r="D11" s="153">
        <f t="shared" ref="D11:F11" si="4">IFERROR(D2,"")</f>
        <v>42369</v>
      </c>
      <c r="E11" s="153">
        <f t="shared" si="4"/>
        <v>42735</v>
      </c>
      <c r="F11" s="153">
        <f t="shared" si="4"/>
        <v>43100</v>
      </c>
      <c r="G11" s="153">
        <f>IFERROR(G2,"")</f>
        <v>43465</v>
      </c>
      <c r="H11" s="153">
        <f>+H2</f>
        <v>43830</v>
      </c>
      <c r="I11" s="153">
        <f>MAX(Fundies!183:183)/86400000+25569</f>
        <v>44196</v>
      </c>
      <c r="J11" s="51"/>
      <c r="K11" s="220"/>
      <c r="L11" s="52" t="s">
        <v>439</v>
      </c>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row>
    <row r="12" spans="1:38" x14ac:dyDescent="0.25">
      <c r="A12" t="s">
        <v>147</v>
      </c>
      <c r="C12" s="139" t="str" cm="1">
        <f t="array" ref="C12">"Period ending: "&amp;TEXT(DATEVALUE(VLOOKUP($A12,FetchFundies[],I$1+1,FALSE)),"mmmmmmmm")&amp;" / "&amp;Fundamentals[Period_type]</f>
        <v>Period ending: December / annual</v>
      </c>
    </row>
    <row r="13" spans="1:38" s="55" customFormat="1" ht="23.25" x14ac:dyDescent="0.25">
      <c r="A13" s="42"/>
      <c r="B13" s="219" t="s">
        <v>184</v>
      </c>
      <c r="C13" s="219"/>
      <c r="D13" s="53"/>
      <c r="E13" s="53"/>
      <c r="F13" s="53"/>
      <c r="G13" s="53"/>
      <c r="H13" s="53"/>
      <c r="I13" s="53"/>
      <c r="J13" s="54"/>
      <c r="K13" s="43" t="str">
        <f>IF(B13&lt;&gt;"","y",IF(SUM(E13:I13)=0,"","y"))</f>
        <v>y</v>
      </c>
      <c r="L13" s="54"/>
      <c r="M13" s="54"/>
      <c r="N13" s="54"/>
      <c r="O13" s="54"/>
      <c r="P13" s="54"/>
      <c r="Q13" s="54"/>
      <c r="R13" s="54"/>
      <c r="S13" s="54"/>
      <c r="T13" s="54"/>
      <c r="U13" s="54"/>
      <c r="V13" s="54"/>
      <c r="W13" s="54"/>
      <c r="X13" s="54"/>
      <c r="Y13" s="54"/>
      <c r="Z13" s="54"/>
      <c r="AA13" s="54"/>
      <c r="AB13" s="54"/>
      <c r="AC13" s="54"/>
      <c r="AD13" s="54"/>
      <c r="AE13" s="54"/>
      <c r="AF13" s="54"/>
      <c r="AG13" s="54"/>
      <c r="AH13" s="54"/>
      <c r="AI13" s="54"/>
    </row>
    <row r="14" spans="1:38" s="108" customFormat="1" ht="23.25" x14ac:dyDescent="0.25">
      <c r="A14" s="42"/>
      <c r="B14" s="124" t="s">
        <v>185</v>
      </c>
      <c r="C14" s="101"/>
      <c r="D14" s="107"/>
      <c r="E14" s="107"/>
      <c r="F14" s="107"/>
      <c r="G14" s="107"/>
      <c r="H14" s="107"/>
      <c r="I14" s="107"/>
      <c r="J14" s="107"/>
      <c r="K14" s="43" t="str">
        <f>IF(B14&lt;&gt;"","y",IF(SUM(E14:I14)=0,"","y"))</f>
        <v>y</v>
      </c>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row>
    <row r="15" spans="1:38" s="2" customFormat="1" x14ac:dyDescent="0.25">
      <c r="A15" s="1" t="s">
        <v>188</v>
      </c>
      <c r="B15" s="34"/>
      <c r="C15" s="7" t="s">
        <v>187</v>
      </c>
      <c r="D15" s="16">
        <f>IFERROR(VLOOKUP($A15,FetchFundies[],D$1+1,FALSE)/Millions,0)</f>
        <v>81742</v>
      </c>
      <c r="E15" s="16">
        <f>IFERROR(VLOOKUP($A15,FetchFundies[],E$1+1,FALSE)/Millions,0)</f>
        <v>79920</v>
      </c>
      <c r="F15" s="16">
        <f>IFERROR(VLOOKUP($A15,FetchFundies[],F$1+1,FALSE)/Millions,0)</f>
        <v>79139</v>
      </c>
      <c r="G15" s="16">
        <f>IFERROR(VLOOKUP($A15,FetchFundies[],G$1+1,FALSE)/Millions,0)</f>
        <v>79590</v>
      </c>
      <c r="H15" s="16">
        <f>IFERROR(VLOOKUP($A15,FetchFundies[],H$1+1,FALSE)/Millions,0)</f>
        <v>77147</v>
      </c>
      <c r="I15" s="16">
        <f>IFERROR(VLOOKUP($A15,FetchFundies[],I$1+1,FALSE)/Millions,0)</f>
        <v>73621</v>
      </c>
      <c r="J15" s="3"/>
      <c r="K15" s="43" t="str">
        <f t="shared" ref="K15:K78" si="5">IF(B15&lt;&gt;"","y",IF(SUM(E15:I15)=0,"","y"))</f>
        <v>y</v>
      </c>
      <c r="L15" s="13" t="s">
        <v>584</v>
      </c>
      <c r="M15" s="3"/>
      <c r="N15" s="3"/>
      <c r="O15" s="3"/>
      <c r="P15" s="3"/>
      <c r="Q15" s="3"/>
      <c r="R15" s="3"/>
      <c r="S15" s="3"/>
      <c r="T15" s="3"/>
      <c r="U15" s="3"/>
      <c r="V15" s="3"/>
      <c r="W15" s="3"/>
      <c r="X15" s="3"/>
      <c r="Y15" s="3"/>
      <c r="Z15" s="3"/>
      <c r="AA15" s="3"/>
      <c r="AB15" s="3"/>
      <c r="AC15" s="3"/>
      <c r="AD15" s="3"/>
      <c r="AE15" s="3"/>
      <c r="AF15" s="3"/>
      <c r="AG15" s="3"/>
      <c r="AH15" s="3"/>
      <c r="AI15" s="3"/>
    </row>
    <row r="16" spans="1:38" s="2" customFormat="1" x14ac:dyDescent="0.25">
      <c r="A16" s="1" t="s">
        <v>192</v>
      </c>
      <c r="B16" s="34"/>
      <c r="C16" s="7" t="s">
        <v>191</v>
      </c>
      <c r="D16" s="16">
        <f>IFERROR(VLOOKUP($A16,FetchFundies[],D$1+1,FALSE)/Millions,0)</f>
        <v>0</v>
      </c>
      <c r="E16" s="16">
        <f>IFERROR(VLOOKUP($A16,FetchFundies[],E$1+1,FALSE)/Millions,0)</f>
        <v>0</v>
      </c>
      <c r="F16" s="16">
        <f>IFERROR(VLOOKUP($A16,FetchFundies[],F$1+1,FALSE)/Millions,0)</f>
        <v>0</v>
      </c>
      <c r="G16" s="16">
        <f>IFERROR(VLOOKUP($A16,FetchFundies[],G$1+1,FALSE)/Millions,0)</f>
        <v>0</v>
      </c>
      <c r="H16" s="16">
        <f>IFERROR(VLOOKUP($A16,FetchFundies[],H$1+1,FALSE)/Millions,0)</f>
        <v>0</v>
      </c>
      <c r="I16" s="16">
        <f>IFERROR(VLOOKUP($A16,FetchFundies[],I$1+1,FALSE)/Millions,0)</f>
        <v>0</v>
      </c>
      <c r="J16" s="3"/>
      <c r="K16" s="43" t="str">
        <f t="shared" si="5"/>
        <v/>
      </c>
      <c r="L16" s="13" t="s">
        <v>583</v>
      </c>
      <c r="M16" s="3"/>
      <c r="N16" s="3"/>
      <c r="O16" s="3"/>
      <c r="P16" s="3"/>
      <c r="Q16" s="3"/>
      <c r="R16" s="3"/>
      <c r="S16" s="3"/>
      <c r="T16" s="3"/>
      <c r="U16" s="3"/>
      <c r="V16" s="3"/>
      <c r="W16" s="3"/>
      <c r="X16" s="3"/>
      <c r="Y16" s="3"/>
      <c r="Z16" s="3"/>
      <c r="AA16" s="3"/>
      <c r="AB16" s="3"/>
      <c r="AC16" s="3"/>
      <c r="AD16" s="3"/>
      <c r="AE16" s="3"/>
      <c r="AF16" s="3"/>
      <c r="AG16" s="3"/>
      <c r="AH16" s="3"/>
      <c r="AI16" s="3"/>
    </row>
    <row r="17" spans="1:149" s="2" customFormat="1" x14ac:dyDescent="0.25">
      <c r="A17" s="1" t="s">
        <v>195</v>
      </c>
      <c r="B17" s="34"/>
      <c r="C17" s="7" t="s">
        <v>194</v>
      </c>
      <c r="D17" s="16">
        <f>IFERROR(VLOOKUP($A17,FetchFundies[],D$1+1,FALSE)/Millions,0)</f>
        <v>0</v>
      </c>
      <c r="E17" s="16">
        <f>IFERROR(VLOOKUP($A17,FetchFundies[],E$1+1,FALSE)/Millions,0)</f>
        <v>0</v>
      </c>
      <c r="F17" s="16">
        <f>IFERROR(VLOOKUP($A17,FetchFundies[],F$1+1,FALSE)/Millions,0)</f>
        <v>0</v>
      </c>
      <c r="G17" s="16">
        <f>IFERROR(VLOOKUP($A17,FetchFundies[],G$1+1,FALSE)/Millions,0)</f>
        <v>0</v>
      </c>
      <c r="H17" s="16">
        <f>IFERROR(VLOOKUP($A17,FetchFundies[],H$1+1,FALSE)/Millions,0)</f>
        <v>0</v>
      </c>
      <c r="I17" s="16">
        <f>IFERROR(VLOOKUP($A17,FetchFundies[],I$1+1,FALSE)/Millions,0)</f>
        <v>0</v>
      </c>
      <c r="J17" s="3"/>
      <c r="K17" s="43" t="str">
        <f t="shared" si="5"/>
        <v/>
      </c>
      <c r="L17" s="13" t="s">
        <v>585</v>
      </c>
      <c r="M17" s="3"/>
      <c r="N17" s="3"/>
      <c r="O17" s="3"/>
      <c r="P17" s="3"/>
      <c r="Q17" s="3"/>
      <c r="R17" s="3"/>
      <c r="S17" s="3"/>
      <c r="T17" s="3"/>
      <c r="U17" s="3"/>
      <c r="V17" s="3"/>
      <c r="W17" s="3"/>
      <c r="X17" s="3"/>
      <c r="Y17" s="3"/>
      <c r="Z17" s="3"/>
      <c r="AA17" s="3"/>
      <c r="AB17" s="3"/>
      <c r="AC17" s="3"/>
      <c r="AD17" s="3"/>
      <c r="AE17" s="3"/>
      <c r="AF17" s="3"/>
      <c r="AG17" s="3"/>
      <c r="AH17" s="3"/>
      <c r="AI17" s="3"/>
    </row>
    <row r="18" spans="1:149" s="109" customFormat="1" ht="15.75" x14ac:dyDescent="0.25">
      <c r="A18" s="1" t="s">
        <v>199</v>
      </c>
      <c r="B18" s="56"/>
      <c r="C18" s="57" t="s">
        <v>198</v>
      </c>
      <c r="D18" s="58">
        <f t="shared" ref="D18:I18" si="6">IF(ISERROR(D15+D16+D17)," ",D15+D16+D17)</f>
        <v>81742</v>
      </c>
      <c r="E18" s="58">
        <f t="shared" si="6"/>
        <v>79920</v>
      </c>
      <c r="F18" s="58">
        <f t="shared" si="6"/>
        <v>79139</v>
      </c>
      <c r="G18" s="58">
        <f t="shared" si="6"/>
        <v>79590</v>
      </c>
      <c r="H18" s="58">
        <f t="shared" si="6"/>
        <v>77147</v>
      </c>
      <c r="I18" s="58">
        <f t="shared" si="6"/>
        <v>73621</v>
      </c>
      <c r="J18" s="59"/>
      <c r="K18" s="43" t="str">
        <f t="shared" si="5"/>
        <v>y</v>
      </c>
      <c r="L18" s="13" t="s">
        <v>581</v>
      </c>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c r="CE18" s="59"/>
      <c r="CF18" s="59"/>
      <c r="CG18" s="59"/>
      <c r="CH18" s="59"/>
      <c r="CI18" s="59"/>
      <c r="CJ18" s="59"/>
      <c r="CK18" s="59"/>
      <c r="CL18" s="59"/>
      <c r="CM18" s="59"/>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row>
    <row r="19" spans="1:149" s="108" customFormat="1" ht="23.25" x14ac:dyDescent="0.25">
      <c r="A19" s="42"/>
      <c r="B19" s="127"/>
      <c r="C19" s="127"/>
      <c r="D19" s="62"/>
      <c r="E19" s="62"/>
      <c r="F19" s="62"/>
      <c r="G19" s="62"/>
      <c r="H19" s="62"/>
      <c r="I19" s="62"/>
      <c r="J19" s="63"/>
      <c r="K19" s="43" t="str">
        <f t="shared" si="5"/>
        <v/>
      </c>
      <c r="L19" s="44"/>
      <c r="M19" s="63"/>
      <c r="N19" s="63"/>
      <c r="O19" s="63"/>
      <c r="P19" s="63"/>
      <c r="Q19" s="63"/>
      <c r="R19" s="63"/>
      <c r="S19" s="63"/>
      <c r="T19" s="63"/>
      <c r="U19" s="63"/>
      <c r="V19" s="63"/>
      <c r="W19" s="63"/>
      <c r="X19" s="63"/>
      <c r="Y19" s="63"/>
      <c r="Z19" s="63"/>
      <c r="AA19" s="63"/>
      <c r="AB19" s="63"/>
      <c r="AC19" s="63"/>
      <c r="AD19" s="63"/>
      <c r="AE19" s="63"/>
      <c r="AF19" s="63"/>
      <c r="AG19" s="63"/>
      <c r="AH19" s="63"/>
      <c r="AI19" s="63"/>
    </row>
    <row r="20" spans="1:149" s="2" customFormat="1" x14ac:dyDescent="0.25">
      <c r="A20" s="1" t="s">
        <v>113</v>
      </c>
      <c r="B20" s="34"/>
      <c r="C20" s="7" t="s">
        <v>202</v>
      </c>
      <c r="D20" s="16">
        <f>IFERROR(VLOOKUP($A20,FetchFundies[],D$1+1,FALSE)/Millions,0)</f>
        <v>0</v>
      </c>
      <c r="E20" s="16">
        <f>IFERROR(VLOOKUP($A20,FetchFundies[],E$1+1,FALSE)/Millions,0)</f>
        <v>0</v>
      </c>
      <c r="F20" s="16">
        <f>IFERROR(VLOOKUP($A20,FetchFundies[],F$1+1,FALSE)/Millions,0)</f>
        <v>0</v>
      </c>
      <c r="G20" s="16">
        <f>IFERROR(VLOOKUP($A20,FetchFundies[],G$1+1,FALSE)/Millions,0)</f>
        <v>0</v>
      </c>
      <c r="H20" s="16">
        <f>IFERROR(VLOOKUP($A20,FetchFundies[],H$1+1,FALSE)/Millions,0)</f>
        <v>0</v>
      </c>
      <c r="I20" s="16">
        <f>IFERROR(VLOOKUP($A20,FetchFundies[],I$1+1,FALSE)/Millions,0)</f>
        <v>0</v>
      </c>
      <c r="J20" s="3"/>
      <c r="K20" s="43" t="str">
        <f t="shared" si="5"/>
        <v/>
      </c>
      <c r="L20" s="13" t="s">
        <v>551</v>
      </c>
      <c r="M20" s="3"/>
      <c r="N20" s="3"/>
      <c r="O20" s="3"/>
      <c r="P20" s="3"/>
      <c r="Q20" s="3"/>
      <c r="R20" s="3"/>
      <c r="S20" s="3"/>
      <c r="T20" s="3"/>
      <c r="U20" s="3"/>
      <c r="V20" s="3"/>
      <c r="W20" s="3"/>
      <c r="X20" s="3"/>
      <c r="Y20" s="3"/>
      <c r="Z20" s="3"/>
      <c r="AA20" s="3"/>
      <c r="AB20" s="3"/>
      <c r="AC20" s="3"/>
      <c r="AD20" s="3"/>
      <c r="AE20" s="3"/>
      <c r="AF20" s="3"/>
      <c r="AG20" s="3"/>
      <c r="AH20" s="3"/>
      <c r="AI20" s="3"/>
    </row>
    <row r="21" spans="1:149" s="2" customFormat="1" x14ac:dyDescent="0.25">
      <c r="A21" s="1" t="s">
        <v>115</v>
      </c>
      <c r="B21" s="34"/>
      <c r="C21" s="7" t="s">
        <v>205</v>
      </c>
      <c r="D21" s="16">
        <f>IFERROR(VLOOKUP($A21,FetchFundies[],D$1+1,FALSE)/Millions,0)</f>
        <v>0</v>
      </c>
      <c r="E21" s="16">
        <f>IFERROR(VLOOKUP($A21,FetchFundies[],E$1+1,FALSE)/Millions,0)</f>
        <v>0</v>
      </c>
      <c r="F21" s="16">
        <f>IFERROR(VLOOKUP($A21,FetchFundies[],F$1+1,FALSE)/Millions,0)</f>
        <v>0</v>
      </c>
      <c r="G21" s="16">
        <f>IFERROR(VLOOKUP($A21,FetchFundies[],G$1+1,FALSE)/Millions,0)</f>
        <v>0</v>
      </c>
      <c r="H21" s="16">
        <f>IFERROR(VLOOKUP($A21,FetchFundies[],H$1+1,FALSE)/Millions,0)</f>
        <v>0</v>
      </c>
      <c r="I21" s="16">
        <f>IFERROR(VLOOKUP($A21,FetchFundies[],I$1+1,FALSE)/Millions,0)</f>
        <v>0</v>
      </c>
      <c r="J21" s="3"/>
      <c r="K21" s="43" t="str">
        <f t="shared" si="5"/>
        <v/>
      </c>
      <c r="L21" s="13" t="s">
        <v>553</v>
      </c>
      <c r="M21" s="3"/>
      <c r="N21" s="3"/>
      <c r="O21" s="3"/>
      <c r="P21" s="3"/>
      <c r="Q21" s="3"/>
      <c r="R21" s="3"/>
      <c r="S21" s="3"/>
      <c r="T21" s="3"/>
      <c r="U21" s="3"/>
      <c r="V21" s="3"/>
      <c r="W21" s="3"/>
      <c r="X21" s="3"/>
      <c r="Y21" s="3"/>
      <c r="Z21" s="3"/>
      <c r="AA21" s="3"/>
      <c r="AB21" s="3"/>
      <c r="AC21" s="3"/>
      <c r="AD21" s="3"/>
      <c r="AE21" s="3"/>
      <c r="AF21" s="3"/>
      <c r="AG21" s="3"/>
      <c r="AH21" s="3"/>
      <c r="AI21" s="3"/>
    </row>
    <row r="22" spans="1:149" s="2" customFormat="1" x14ac:dyDescent="0.25">
      <c r="A22" s="1" t="s">
        <v>116</v>
      </c>
      <c r="B22" s="34"/>
      <c r="C22" s="7" t="s">
        <v>207</v>
      </c>
      <c r="D22" s="16">
        <f>IFERROR(VLOOKUP($A22,FetchFundies[],D$1+1,FALSE)/Millions,0)</f>
        <v>0</v>
      </c>
      <c r="E22" s="16">
        <f>IFERROR(VLOOKUP($A22,FetchFundies[],E$1+1,FALSE)/Millions,0)</f>
        <v>0</v>
      </c>
      <c r="F22" s="16">
        <f>IFERROR(VLOOKUP($A22,FetchFundies[],F$1+1,FALSE)/Millions,0)</f>
        <v>0</v>
      </c>
      <c r="G22" s="16">
        <f>IFERROR(VLOOKUP($A22,FetchFundies[],G$1+1,FALSE)/Millions,0)</f>
        <v>0</v>
      </c>
      <c r="H22" s="16">
        <f>IFERROR(VLOOKUP($A22,FetchFundies[],H$1+1,FALSE)/Millions,0)</f>
        <v>0</v>
      </c>
      <c r="I22" s="16">
        <f>IFERROR(VLOOKUP($A22,FetchFundies[],I$1+1,FALSE)/Millions,0)</f>
        <v>0</v>
      </c>
      <c r="J22" s="3"/>
      <c r="K22" s="43" t="str">
        <f t="shared" si="5"/>
        <v/>
      </c>
      <c r="L22" s="13" t="s">
        <v>554</v>
      </c>
      <c r="M22" s="3"/>
      <c r="N22" s="3"/>
      <c r="O22" s="3"/>
      <c r="P22" s="3"/>
      <c r="Q22" s="3"/>
      <c r="R22" s="3"/>
      <c r="S22" s="3"/>
      <c r="T22" s="3"/>
      <c r="U22" s="3"/>
      <c r="V22" s="3"/>
      <c r="W22" s="3"/>
      <c r="X22" s="3"/>
      <c r="Y22" s="3"/>
      <c r="Z22" s="3"/>
      <c r="AA22" s="3"/>
      <c r="AB22" s="3"/>
      <c r="AC22" s="3"/>
      <c r="AD22" s="3"/>
      <c r="AE22" s="3"/>
      <c r="AF22" s="3"/>
      <c r="AG22" s="3"/>
      <c r="AH22" s="3"/>
      <c r="AI22" s="3"/>
    </row>
    <row r="23" spans="1:149" s="2" customFormat="1" x14ac:dyDescent="0.25">
      <c r="A23" s="1" t="s">
        <v>114</v>
      </c>
      <c r="B23" s="34"/>
      <c r="C23" s="7" t="s">
        <v>210</v>
      </c>
      <c r="D23" s="16">
        <f>IFERROR(VLOOKUP($A23,FetchFundies[],D$1+1,FALSE)/Millions,0)</f>
        <v>682</v>
      </c>
      <c r="E23" s="16">
        <f>IFERROR(VLOOKUP($A23,FetchFundies[],E$1+1,FALSE)/Millions,0)</f>
        <v>1631</v>
      </c>
      <c r="F23" s="16">
        <f>IFERROR(VLOOKUP($A23,FetchFundies[],F$1+1,FALSE)/Millions,0)</f>
        <v>1466</v>
      </c>
      <c r="G23" s="16">
        <f>IFERROR(VLOOKUP($A23,FetchFundies[],G$1+1,FALSE)/Millions,0)</f>
        <v>1026</v>
      </c>
      <c r="H23" s="16">
        <f>IFERROR(VLOOKUP($A23,FetchFundies[],H$1+1,FALSE)/Millions,0)</f>
        <v>648</v>
      </c>
      <c r="I23" s="16">
        <f>IFERROR(VLOOKUP($A23,FetchFundies[],I$1+1,FALSE)/Millions,0)</f>
        <v>626</v>
      </c>
      <c r="J23" s="3"/>
      <c r="K23" s="43" t="str">
        <f t="shared" si="5"/>
        <v>y</v>
      </c>
      <c r="L23" s="13" t="s">
        <v>552</v>
      </c>
      <c r="M23" s="3"/>
      <c r="N23" s="3"/>
      <c r="O23" s="3"/>
      <c r="P23" s="3"/>
      <c r="Q23" s="3"/>
      <c r="R23" s="3"/>
      <c r="S23" s="3"/>
      <c r="T23" s="3"/>
      <c r="U23" s="3"/>
      <c r="V23" s="3"/>
      <c r="W23" s="3"/>
      <c r="X23" s="3"/>
      <c r="Y23" s="3"/>
      <c r="Z23" s="3"/>
      <c r="AA23" s="3"/>
      <c r="AB23" s="3"/>
      <c r="AC23" s="3"/>
      <c r="AD23" s="3"/>
      <c r="AE23" s="3"/>
      <c r="AF23" s="3"/>
      <c r="AG23" s="3"/>
      <c r="AH23" s="3"/>
      <c r="AI23" s="3"/>
    </row>
    <row r="24" spans="1:149" s="109" customFormat="1" ht="15.75" x14ac:dyDescent="0.25">
      <c r="A24" s="1" t="s">
        <v>112</v>
      </c>
      <c r="B24" s="56"/>
      <c r="C24" s="57" t="s">
        <v>675</v>
      </c>
      <c r="D24" s="58">
        <f t="shared" ref="D24:I24" si="7">IF(ISERROR(D20+D21+D22+D23)," ",D20+D21+D22+D23)</f>
        <v>682</v>
      </c>
      <c r="E24" s="58">
        <f t="shared" si="7"/>
        <v>1631</v>
      </c>
      <c r="F24" s="58">
        <f t="shared" si="7"/>
        <v>1466</v>
      </c>
      <c r="G24" s="58">
        <f t="shared" si="7"/>
        <v>1026</v>
      </c>
      <c r="H24" s="58">
        <f t="shared" si="7"/>
        <v>648</v>
      </c>
      <c r="I24" s="58">
        <f t="shared" si="7"/>
        <v>626</v>
      </c>
      <c r="J24" s="59"/>
      <c r="K24" s="43" t="str">
        <f t="shared" si="5"/>
        <v>y</v>
      </c>
      <c r="L24" s="13" t="s">
        <v>550</v>
      </c>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c r="CE24" s="59"/>
      <c r="CF24" s="59"/>
      <c r="CG24" s="59"/>
      <c r="CH24" s="59"/>
      <c r="CI24" s="59"/>
      <c r="CJ24" s="59"/>
      <c r="CK24" s="59"/>
      <c r="CL24" s="59"/>
      <c r="CM24" s="59"/>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row>
    <row r="25" spans="1:149" s="46" customFormat="1" ht="23.25" x14ac:dyDescent="0.25">
      <c r="A25" s="42"/>
      <c r="B25" s="127" t="s">
        <v>186</v>
      </c>
      <c r="C25" s="127"/>
      <c r="D25" s="45"/>
      <c r="E25" s="45"/>
      <c r="F25" s="45"/>
      <c r="G25" s="45"/>
      <c r="H25" s="45"/>
      <c r="I25" s="45"/>
      <c r="J25" s="63"/>
      <c r="K25" s="43" t="str">
        <f t="shared" si="5"/>
        <v>y</v>
      </c>
      <c r="L25" s="44"/>
      <c r="M25" s="63"/>
      <c r="N25" s="63"/>
      <c r="O25" s="63"/>
      <c r="P25" s="63"/>
      <c r="Q25" s="63"/>
      <c r="R25" s="63"/>
      <c r="S25" s="63"/>
      <c r="T25" s="63"/>
      <c r="U25" s="63"/>
      <c r="V25" s="63"/>
      <c r="W25" s="63"/>
      <c r="X25" s="63"/>
      <c r="Y25" s="63"/>
      <c r="Z25" s="63"/>
      <c r="AA25" s="63"/>
      <c r="AB25" s="63"/>
      <c r="AC25" s="63"/>
      <c r="AD25" s="63"/>
      <c r="AE25" s="63"/>
      <c r="AF25" s="63"/>
      <c r="AG25" s="63"/>
      <c r="AH25" s="63"/>
      <c r="AI25" s="63"/>
    </row>
    <row r="26" spans="1:149" s="2" customFormat="1" x14ac:dyDescent="0.25">
      <c r="A26" s="1" t="s">
        <v>159</v>
      </c>
      <c r="B26" s="34"/>
      <c r="C26" s="7" t="s">
        <v>214</v>
      </c>
      <c r="D26" s="16">
        <f>IFERROR(VLOOKUP($A26,FetchFundies[],D$1+1,FALSE)/Millions,0)</f>
        <v>41057</v>
      </c>
      <c r="E26" s="16">
        <f>IFERROR(VLOOKUP($A26,FetchFundies[],E$1+1,FALSE)/Millions,0)</f>
        <v>41624</v>
      </c>
      <c r="F26" s="16">
        <f>IFERROR(VLOOKUP($A26,FetchFundies[],F$1+1,FALSE)/Millions,0)</f>
        <v>42913</v>
      </c>
      <c r="G26" s="16">
        <f>IFERROR(VLOOKUP($A26,FetchFundies[],G$1+1,FALSE)/Millions,0)</f>
        <v>42655</v>
      </c>
      <c r="H26" s="16">
        <f>IFERROR(VLOOKUP($A26,FetchFundies[],H$1+1,FALSE)/Millions,0)</f>
        <v>40658</v>
      </c>
      <c r="I26" s="16">
        <f>IFERROR(VLOOKUP($A26,FetchFundies[],I$1+1,FALSE)/Millions,0)</f>
        <v>38046</v>
      </c>
      <c r="J26" s="3"/>
      <c r="K26" s="43" t="str">
        <f t="shared" si="5"/>
        <v>y</v>
      </c>
      <c r="L26" s="13" t="s">
        <v>582</v>
      </c>
      <c r="M26" s="3"/>
      <c r="N26" s="3"/>
      <c r="O26" s="3"/>
      <c r="P26" s="3"/>
      <c r="Q26" s="3"/>
      <c r="R26" s="3"/>
      <c r="S26" s="3"/>
      <c r="T26" s="3"/>
      <c r="U26" s="3"/>
      <c r="V26" s="3"/>
      <c r="W26" s="3"/>
      <c r="X26" s="3"/>
      <c r="Y26" s="3"/>
      <c r="Z26" s="3"/>
      <c r="AA26" s="3"/>
      <c r="AB26" s="3"/>
      <c r="AC26" s="3"/>
      <c r="AD26" s="3"/>
      <c r="AE26" s="3"/>
      <c r="AF26" s="3"/>
      <c r="AG26" s="3"/>
      <c r="AH26" s="3"/>
      <c r="AI26" s="3"/>
    </row>
    <row r="27" spans="1:149" s="4" customFormat="1" x14ac:dyDescent="0.25">
      <c r="A27" s="1" t="s">
        <v>218</v>
      </c>
      <c r="B27" s="30"/>
      <c r="C27" s="7" t="s">
        <v>217</v>
      </c>
      <c r="D27" s="16">
        <f>IFERROR(VLOOKUP($A27,FetchFundies[],D$1+1,FALSE)/Millions,0)</f>
        <v>0</v>
      </c>
      <c r="E27" s="16">
        <f>IFERROR(VLOOKUP($A27,FetchFundies[],E$1+1,FALSE)/Millions,0)</f>
        <v>0</v>
      </c>
      <c r="F27" s="16">
        <f>IFERROR(VLOOKUP($A27,FetchFundies[],F$1+1,FALSE)/Millions,0)</f>
        <v>0</v>
      </c>
      <c r="G27" s="16">
        <f>IFERROR(VLOOKUP($A27,FetchFundies[],G$1+1,FALSE)/Millions,0)</f>
        <v>0</v>
      </c>
      <c r="H27" s="16">
        <f>IFERROR(VLOOKUP($A27,FetchFundies[],H$1+1,FALSE)/Millions,0)</f>
        <v>0</v>
      </c>
      <c r="I27" s="16">
        <f>IFERROR(VLOOKUP($A27,FetchFundies[],I$1+1,FALSE)/Millions,0)</f>
        <v>0</v>
      </c>
      <c r="K27" s="43" t="str">
        <f t="shared" si="5"/>
        <v/>
      </c>
      <c r="L27" s="13" t="s">
        <v>501</v>
      </c>
    </row>
    <row r="28" spans="1:149" s="109" customFormat="1" ht="15.75" x14ac:dyDescent="0.25">
      <c r="A28" s="1" t="s">
        <v>163</v>
      </c>
      <c r="B28" s="56"/>
      <c r="C28" s="57" t="s">
        <v>221</v>
      </c>
      <c r="D28" s="58">
        <f>IFERROR(VLOOKUP($A28,FetchFundies[],D$1+1,FALSE)/Millions,0)</f>
        <v>41057</v>
      </c>
      <c r="E28" s="58">
        <f>IFERROR(VLOOKUP($A28,FetchFundies[],E$1+1,FALSE)/Millions,0)</f>
        <v>41624</v>
      </c>
      <c r="F28" s="58">
        <f>IFERROR(VLOOKUP($A28,FetchFundies[],F$1+1,FALSE)/Millions,0)</f>
        <v>42913</v>
      </c>
      <c r="G28" s="58">
        <f>IFERROR(VLOOKUP($A28,FetchFundies[],G$1+1,FALSE)/Millions,0)</f>
        <v>42655</v>
      </c>
      <c r="H28" s="58">
        <f>IFERROR(VLOOKUP($A28,FetchFundies[],H$1+1,FALSE)/Millions,0)</f>
        <v>40658</v>
      </c>
      <c r="I28" s="58">
        <f>IFERROR(VLOOKUP($A28,FetchFundies[],I$1+1,FALSE)/Millions,0)</f>
        <v>38046</v>
      </c>
      <c r="J28" s="59"/>
      <c r="K28" s="43" t="str">
        <f t="shared" si="5"/>
        <v>y</v>
      </c>
      <c r="L28" s="13" t="s">
        <v>586</v>
      </c>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c r="CE28" s="59"/>
      <c r="CF28" s="59"/>
      <c r="CG28" s="59"/>
      <c r="CH28" s="59"/>
      <c r="CI28" s="59"/>
      <c r="CJ28" s="59"/>
      <c r="CK28" s="59"/>
      <c r="CL28" s="59"/>
      <c r="CM28" s="59"/>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row>
    <row r="29" spans="1:149" s="109" customFormat="1" ht="15.75" x14ac:dyDescent="0.25">
      <c r="A29" s="1" t="s">
        <v>151</v>
      </c>
      <c r="B29" s="56"/>
      <c r="C29" s="64" t="s">
        <v>223</v>
      </c>
      <c r="D29" s="65">
        <f t="shared" ref="D29:I29" si="8">IF(ISERROR(D18-D28)," ",D18-D28)</f>
        <v>40685</v>
      </c>
      <c r="E29" s="65">
        <f t="shared" si="8"/>
        <v>38296</v>
      </c>
      <c r="F29" s="65">
        <f t="shared" si="8"/>
        <v>36226</v>
      </c>
      <c r="G29" s="65">
        <f t="shared" si="8"/>
        <v>36935</v>
      </c>
      <c r="H29" s="65">
        <f t="shared" si="8"/>
        <v>36489</v>
      </c>
      <c r="I29" s="65">
        <f t="shared" si="8"/>
        <v>35575</v>
      </c>
      <c r="J29" s="59"/>
      <c r="K29" s="43" t="str">
        <f t="shared" si="5"/>
        <v>y</v>
      </c>
      <c r="L29" s="13" t="s">
        <v>223</v>
      </c>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c r="CE29" s="59"/>
      <c r="CF29" s="59"/>
      <c r="CG29" s="59"/>
      <c r="CH29" s="59"/>
      <c r="CI29" s="59"/>
      <c r="CJ29" s="59"/>
      <c r="CK29" s="59"/>
      <c r="CL29" s="59"/>
      <c r="CM29" s="59"/>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row>
    <row r="30" spans="1:149" s="109" customFormat="1" ht="15.75" x14ac:dyDescent="0.25">
      <c r="A30" s="1" t="s">
        <v>234</v>
      </c>
      <c r="B30" s="67"/>
      <c r="C30" s="133" t="s">
        <v>676</v>
      </c>
      <c r="D30" s="134">
        <f t="shared" ref="D30:I30" si="9">IF(ISERROR(D29/D18)," ",D29/D18)</f>
        <v>0.49772454796799687</v>
      </c>
      <c r="E30" s="134">
        <f t="shared" si="9"/>
        <v>0.47917917917917918</v>
      </c>
      <c r="F30" s="134">
        <f t="shared" si="9"/>
        <v>0.45775155106837334</v>
      </c>
      <c r="G30" s="134">
        <f t="shared" si="9"/>
        <v>0.46406583741676088</v>
      </c>
      <c r="H30" s="134">
        <f t="shared" si="9"/>
        <v>0.47298015476946609</v>
      </c>
      <c r="I30" s="134">
        <f t="shared" si="9"/>
        <v>0.48321810353024275</v>
      </c>
      <c r="J30" s="68"/>
      <c r="K30" s="131" t="str">
        <f t="shared" si="5"/>
        <v>y</v>
      </c>
      <c r="L30" s="132" t="s">
        <v>613</v>
      </c>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9"/>
      <c r="CO30" s="69"/>
      <c r="CP30" s="69"/>
      <c r="CQ30" s="69"/>
      <c r="CR30" s="69"/>
      <c r="CS30" s="69"/>
      <c r="CT30" s="69"/>
      <c r="CU30" s="69"/>
      <c r="CV30" s="69"/>
      <c r="CW30" s="69"/>
      <c r="CX30" s="69"/>
      <c r="CY30" s="69"/>
      <c r="CZ30" s="69"/>
      <c r="DA30" s="69"/>
      <c r="DB30" s="69"/>
      <c r="DC30" s="69"/>
      <c r="DD30" s="69"/>
      <c r="DE30" s="69"/>
      <c r="DF30" s="69"/>
      <c r="DG30" s="69"/>
      <c r="DH30" s="69"/>
      <c r="DI30" s="69"/>
      <c r="DJ30" s="69"/>
      <c r="DK30" s="69"/>
      <c r="DL30" s="69"/>
      <c r="DM30" s="69"/>
      <c r="DN30" s="69"/>
      <c r="DO30" s="69"/>
      <c r="DP30" s="69"/>
      <c r="DQ30" s="69"/>
      <c r="DR30" s="69"/>
      <c r="DS30" s="69"/>
      <c r="DT30" s="69"/>
      <c r="DU30" s="69"/>
      <c r="DV30" s="69"/>
      <c r="DW30" s="69"/>
      <c r="DX30" s="69"/>
      <c r="DY30" s="69"/>
      <c r="DZ30" s="69"/>
      <c r="EA30" s="69"/>
      <c r="EB30" s="69"/>
      <c r="EC30" s="69"/>
      <c r="ED30" s="69"/>
      <c r="EE30" s="69"/>
      <c r="EF30" s="69"/>
      <c r="EG30" s="69"/>
      <c r="EH30" s="69"/>
      <c r="EI30" s="69"/>
      <c r="EJ30" s="69"/>
      <c r="EK30" s="69"/>
      <c r="EL30" s="69"/>
      <c r="EM30" s="69"/>
      <c r="EN30" s="69"/>
      <c r="EO30" s="69"/>
      <c r="EP30" s="69"/>
      <c r="EQ30" s="69"/>
      <c r="ER30" s="69"/>
      <c r="ES30" s="69"/>
    </row>
    <row r="31" spans="1:149" s="5" customFormat="1" x14ac:dyDescent="0.25">
      <c r="A31" s="1" t="s">
        <v>88</v>
      </c>
      <c r="B31" s="28"/>
      <c r="C31" s="7" t="s">
        <v>226</v>
      </c>
      <c r="D31" s="16">
        <f>IFERROR(VLOOKUP($A31,FetchFundies[],D$1+1,FALSE)/Millions,0)</f>
        <v>20430</v>
      </c>
      <c r="E31" s="16">
        <f>IFERROR(VLOOKUP($A31,FetchFundies[],E$1+1,FALSE)/Millions,0)</f>
        <v>21069</v>
      </c>
      <c r="F31" s="16">
        <f>IFERROR(VLOOKUP($A31,FetchFundies[],F$1+1,FALSE)/Millions,0)</f>
        <v>20107</v>
      </c>
      <c r="G31" s="16">
        <f>IFERROR(VLOOKUP($A31,FetchFundies[],G$1+1,FALSE)/Millions,0)</f>
        <v>19366</v>
      </c>
      <c r="H31" s="16">
        <f>IFERROR(VLOOKUP($A31,FetchFundies[],H$1+1,FALSE)/Millions,0)</f>
        <v>20604</v>
      </c>
      <c r="I31" s="16">
        <f>IFERROR(VLOOKUP($A31,FetchFundies[],I$1+1,FALSE)/Millions,0)</f>
        <v>23082</v>
      </c>
      <c r="J31" s="4"/>
      <c r="K31" s="43" t="str">
        <f t="shared" si="5"/>
        <v>y</v>
      </c>
      <c r="L31" s="13" t="s">
        <v>535</v>
      </c>
      <c r="M31" s="4"/>
      <c r="N31" s="4"/>
      <c r="O31" s="4"/>
      <c r="P31" s="4"/>
      <c r="Q31" s="4"/>
      <c r="R31" s="4"/>
      <c r="S31" s="4"/>
      <c r="T31" s="4"/>
      <c r="U31" s="4"/>
      <c r="V31" s="4"/>
      <c r="W31" s="4"/>
      <c r="X31" s="4"/>
      <c r="Y31" s="4"/>
      <c r="Z31" s="4"/>
      <c r="AA31" s="4"/>
      <c r="AB31" s="4"/>
      <c r="AC31" s="4"/>
      <c r="AD31" s="4"/>
      <c r="AE31" s="4"/>
      <c r="AF31" s="4"/>
      <c r="AG31" s="4"/>
      <c r="AH31" s="4"/>
      <c r="AI31" s="4"/>
    </row>
    <row r="32" spans="1:149" s="2" customFormat="1" x14ac:dyDescent="0.25">
      <c r="A32" s="1" t="s">
        <v>153</v>
      </c>
      <c r="B32" s="34"/>
      <c r="C32" s="7" t="s">
        <v>229</v>
      </c>
      <c r="D32" s="16">
        <f>IFERROR(VLOOKUP($A32,FetchFundies[],D$1+1,FALSE)/Millions,0)</f>
        <v>5247</v>
      </c>
      <c r="E32" s="16">
        <f>IFERROR(VLOOKUP($A32,FetchFundies[],E$1+1,FALSE)/Millions,0)</f>
        <v>5751</v>
      </c>
      <c r="F32" s="16">
        <f>IFERROR(VLOOKUP($A32,FetchFundies[],F$1+1,FALSE)/Millions,0)</f>
        <v>5787</v>
      </c>
      <c r="G32" s="16">
        <f>IFERROR(VLOOKUP($A32,FetchFundies[],G$1+1,FALSE)/Millions,0)</f>
        <v>5379</v>
      </c>
      <c r="H32" s="16">
        <f>IFERROR(VLOOKUP($A32,FetchFundies[],H$1+1,FALSE)/Millions,0)</f>
        <v>5989</v>
      </c>
      <c r="I32" s="16">
        <f>IFERROR(VLOOKUP($A32,FetchFundies[],I$1+1,FALSE)/Millions,0)</f>
        <v>6333</v>
      </c>
      <c r="J32" s="3"/>
      <c r="K32" s="43" t="str">
        <f t="shared" si="5"/>
        <v>y</v>
      </c>
      <c r="L32" s="13" t="s">
        <v>580</v>
      </c>
      <c r="M32" s="3"/>
      <c r="N32" s="3"/>
      <c r="O32" s="3"/>
      <c r="P32" s="3"/>
      <c r="Q32" s="3"/>
      <c r="R32" s="3"/>
      <c r="S32" s="3"/>
      <c r="T32" s="3"/>
      <c r="U32" s="3"/>
      <c r="V32" s="3"/>
      <c r="W32" s="3"/>
      <c r="X32" s="3"/>
      <c r="Y32" s="3"/>
      <c r="Z32" s="3"/>
      <c r="AA32" s="3"/>
      <c r="AB32" s="3"/>
      <c r="AC32" s="3"/>
      <c r="AD32" s="3"/>
      <c r="AE32" s="3"/>
      <c r="AF32" s="3"/>
      <c r="AG32" s="3"/>
      <c r="AH32" s="3"/>
      <c r="AI32" s="3"/>
    </row>
    <row r="33" spans="1:35" s="2" customFormat="1" x14ac:dyDescent="0.25">
      <c r="A33" s="1" t="s">
        <v>67</v>
      </c>
      <c r="B33" s="34"/>
      <c r="C33" s="7" t="s">
        <v>232</v>
      </c>
      <c r="D33" s="16">
        <f>IFERROR(VLOOKUP($A33,FetchFundies[],D$1+1,FALSE)/Millions,0)</f>
        <v>0</v>
      </c>
      <c r="E33" s="16">
        <f>IFERROR(VLOOKUP($A33,FetchFundies[],E$1+1,FALSE)/Millions,0)</f>
        <v>0</v>
      </c>
      <c r="F33" s="16">
        <f>IFERROR(VLOOKUP($A33,FetchFundies[],F$1+1,FALSE)/Millions,0)</f>
        <v>0</v>
      </c>
      <c r="G33" s="16">
        <f>IFERROR(VLOOKUP($A33,FetchFundies[],G$1+1,FALSE)/Millions,0)</f>
        <v>0</v>
      </c>
      <c r="H33" s="16">
        <f>IFERROR(VLOOKUP($A33,FetchFundies[],H$1+1,FALSE)/Millions,0)</f>
        <v>0</v>
      </c>
      <c r="I33" s="16">
        <f>IFERROR(VLOOKUP($A33,FetchFundies[],I$1+1,FALSE)/Millions,0)</f>
        <v>0</v>
      </c>
      <c r="J33" s="3"/>
      <c r="K33" s="43" t="str">
        <f t="shared" si="5"/>
        <v/>
      </c>
      <c r="L33" s="13" t="s">
        <v>517</v>
      </c>
      <c r="M33" s="3"/>
      <c r="N33" s="3"/>
      <c r="O33" s="3"/>
      <c r="P33" s="3"/>
      <c r="Q33" s="3"/>
      <c r="R33" s="3"/>
      <c r="S33" s="3"/>
      <c r="T33" s="3"/>
      <c r="U33" s="3"/>
      <c r="V33" s="3"/>
      <c r="W33" s="3"/>
      <c r="X33" s="3"/>
      <c r="Y33" s="3"/>
      <c r="Z33" s="3"/>
      <c r="AA33" s="3"/>
      <c r="AB33" s="3"/>
      <c r="AC33" s="3"/>
      <c r="AD33" s="3"/>
      <c r="AE33" s="3"/>
      <c r="AF33" s="3"/>
      <c r="AG33" s="3"/>
      <c r="AH33" s="3"/>
      <c r="AI33" s="3"/>
    </row>
    <row r="34" spans="1:35" s="2" customFormat="1" x14ac:dyDescent="0.25">
      <c r="A34" s="1" t="s">
        <v>98</v>
      </c>
      <c r="B34" s="34"/>
      <c r="C34" s="7" t="s">
        <v>235</v>
      </c>
      <c r="D34" s="16">
        <f>IFERROR(VLOOKUP($A34,FetchFundies[],D$1+1,FALSE)/Millions,0)</f>
        <v>0</v>
      </c>
      <c r="E34" s="16">
        <f>IFERROR(VLOOKUP($A34,FetchFundies[],E$1+1,FALSE)/Millions,0)</f>
        <v>0</v>
      </c>
      <c r="F34" s="16">
        <f>IFERROR(VLOOKUP($A34,FetchFundies[],F$1+1,FALSE)/Millions,0)</f>
        <v>0</v>
      </c>
      <c r="G34" s="16">
        <f>IFERROR(VLOOKUP($A34,FetchFundies[],G$1+1,FALSE)/Millions,0)</f>
        <v>0</v>
      </c>
      <c r="H34" s="16">
        <f>IFERROR(VLOOKUP($A34,FetchFundies[],H$1+1,FALSE)/Millions,0)</f>
        <v>0</v>
      </c>
      <c r="I34" s="16">
        <f>IFERROR(VLOOKUP($A34,FetchFundies[],I$1+1,FALSE)/Millions,0)</f>
        <v>0</v>
      </c>
      <c r="J34" s="3"/>
      <c r="K34" s="43" t="str">
        <f t="shared" si="5"/>
        <v/>
      </c>
      <c r="L34" s="13" t="s">
        <v>539</v>
      </c>
      <c r="M34" s="3"/>
      <c r="N34" s="3"/>
      <c r="O34" s="3"/>
      <c r="P34" s="3"/>
      <c r="Q34" s="3"/>
      <c r="R34" s="3"/>
      <c r="S34" s="3"/>
      <c r="T34" s="3"/>
      <c r="U34" s="3"/>
      <c r="V34" s="3"/>
      <c r="W34" s="3"/>
      <c r="X34" s="3"/>
      <c r="Y34" s="3"/>
      <c r="Z34" s="3"/>
      <c r="AA34" s="3"/>
      <c r="AB34" s="3"/>
      <c r="AC34" s="3"/>
      <c r="AD34" s="3"/>
      <c r="AE34" s="3"/>
      <c r="AF34" s="3"/>
      <c r="AG34" s="3"/>
      <c r="AH34" s="3"/>
      <c r="AI34" s="3"/>
    </row>
    <row r="35" spans="1:35" s="2" customFormat="1" x14ac:dyDescent="0.25">
      <c r="A35" s="1" t="s">
        <v>74</v>
      </c>
      <c r="B35" s="34"/>
      <c r="C35" s="7" t="s">
        <v>238</v>
      </c>
      <c r="D35" s="16">
        <f>IFERROR(VLOOKUP($A35,FetchFundies[],D$1+1,FALSE)/Millions,0)</f>
        <v>0</v>
      </c>
      <c r="E35" s="16">
        <f>IFERROR(VLOOKUP($A35,FetchFundies[],E$1+1,FALSE)/Millions,0)</f>
        <v>0</v>
      </c>
      <c r="F35" s="16">
        <f>IFERROR(VLOOKUP($A35,FetchFundies[],F$1+1,FALSE)/Millions,0)</f>
        <v>0</v>
      </c>
      <c r="G35" s="16">
        <f>IFERROR(VLOOKUP($A35,FetchFundies[],G$1+1,FALSE)/Millions,0)</f>
        <v>0</v>
      </c>
      <c r="H35" s="16">
        <f>IFERROR(VLOOKUP($A35,FetchFundies[],H$1+1,FALSE)/Millions,0)</f>
        <v>0</v>
      </c>
      <c r="I35" s="16">
        <f>IFERROR(VLOOKUP($A35,FetchFundies[],I$1+1,FALSE)/Millions,0)</f>
        <v>0</v>
      </c>
      <c r="J35" s="3"/>
      <c r="K35" s="43" t="str">
        <f t="shared" si="5"/>
        <v/>
      </c>
      <c r="L35" s="13" t="s">
        <v>523</v>
      </c>
      <c r="M35" s="3"/>
      <c r="N35" s="3"/>
      <c r="O35" s="3"/>
      <c r="P35" s="3"/>
      <c r="Q35" s="3"/>
      <c r="R35" s="3"/>
      <c r="S35" s="3"/>
      <c r="T35" s="3"/>
      <c r="U35" s="3"/>
      <c r="V35" s="3"/>
      <c r="W35" s="3"/>
      <c r="X35" s="3"/>
      <c r="Y35" s="3"/>
      <c r="Z35" s="3"/>
      <c r="AA35" s="3"/>
      <c r="AB35" s="3"/>
      <c r="AC35" s="3"/>
      <c r="AD35" s="3"/>
      <c r="AE35" s="3"/>
      <c r="AF35" s="3"/>
      <c r="AG35" s="3"/>
      <c r="AH35" s="3"/>
      <c r="AI35" s="3"/>
    </row>
    <row r="36" spans="1:35" s="2" customFormat="1" x14ac:dyDescent="0.25">
      <c r="A36" s="1" t="s">
        <v>89</v>
      </c>
      <c r="B36" s="34"/>
      <c r="C36" s="7" t="s">
        <v>241</v>
      </c>
      <c r="D36" s="16">
        <f>IFERROR(VLOOKUP($A36,FetchFundies[],D$1+1,FALSE)/Millions,0)</f>
        <v>0</v>
      </c>
      <c r="E36" s="16">
        <f>IFERROR(VLOOKUP($A36,FetchFundies[],E$1+1,FALSE)/Millions,0)</f>
        <v>0</v>
      </c>
      <c r="F36" s="16">
        <f>IFERROR(VLOOKUP($A36,FetchFundies[],F$1+1,FALSE)/Millions,0)</f>
        <v>0</v>
      </c>
      <c r="G36" s="16">
        <f>IFERROR(VLOOKUP($A36,FetchFundies[],G$1+1,FALSE)/Millions,0)</f>
        <v>0</v>
      </c>
      <c r="H36" s="16">
        <f>IFERROR(VLOOKUP($A36,FetchFundies[],H$1+1,FALSE)/Millions,0)</f>
        <v>0</v>
      </c>
      <c r="I36" s="16">
        <f>IFERROR(VLOOKUP($A36,FetchFundies[],I$1+1,FALSE)/Millions,0)</f>
        <v>0</v>
      </c>
      <c r="J36" s="3"/>
      <c r="K36" s="43" t="str">
        <f t="shared" si="5"/>
        <v/>
      </c>
      <c r="L36" s="13" t="s">
        <v>536</v>
      </c>
      <c r="M36" s="3"/>
      <c r="N36" s="3"/>
      <c r="O36" s="3"/>
      <c r="P36" s="3"/>
      <c r="Q36" s="3"/>
      <c r="R36" s="3"/>
      <c r="S36" s="3"/>
      <c r="T36" s="3"/>
      <c r="U36" s="3"/>
      <c r="V36" s="3"/>
      <c r="W36" s="3"/>
      <c r="X36" s="3"/>
      <c r="Y36" s="3"/>
      <c r="Z36" s="3"/>
      <c r="AA36" s="3"/>
      <c r="AB36" s="3"/>
      <c r="AC36" s="3"/>
      <c r="AD36" s="3"/>
      <c r="AE36" s="3"/>
      <c r="AF36" s="3"/>
      <c r="AG36" s="3"/>
      <c r="AH36" s="3"/>
      <c r="AI36" s="3"/>
    </row>
    <row r="37" spans="1:35" s="2" customFormat="1" x14ac:dyDescent="0.25">
      <c r="A37" s="1" t="s">
        <v>66</v>
      </c>
      <c r="B37" s="34"/>
      <c r="C37" s="7" t="s">
        <v>244</v>
      </c>
      <c r="D37" s="16">
        <f>IFERROR(VLOOKUP($A37,FetchFundies[],D$1+1,FALSE)/Millions,0)</f>
        <v>0</v>
      </c>
      <c r="E37" s="16">
        <f>IFERROR(VLOOKUP($A37,FetchFundies[],E$1+1,FALSE)/Millions,0)</f>
        <v>0</v>
      </c>
      <c r="F37" s="16">
        <f>IFERROR(VLOOKUP($A37,FetchFundies[],F$1+1,FALSE)/Millions,0)</f>
        <v>0</v>
      </c>
      <c r="G37" s="16">
        <f>IFERROR(VLOOKUP($A37,FetchFundies[],G$1+1,FALSE)/Millions,0)</f>
        <v>0</v>
      </c>
      <c r="H37" s="16">
        <f>IFERROR(VLOOKUP($A37,FetchFundies[],H$1+1,FALSE)/Millions,0)</f>
        <v>0</v>
      </c>
      <c r="I37" s="16">
        <f>IFERROR(VLOOKUP($A37,FetchFundies[],I$1+1,FALSE)/Millions,0)</f>
        <v>0</v>
      </c>
      <c r="J37" s="3"/>
      <c r="K37" s="43" t="str">
        <f t="shared" si="5"/>
        <v/>
      </c>
      <c r="L37" s="13" t="s">
        <v>516</v>
      </c>
      <c r="M37" s="3"/>
      <c r="N37" s="3"/>
      <c r="O37" s="3"/>
      <c r="P37" s="3"/>
      <c r="Q37" s="3"/>
      <c r="R37" s="3"/>
      <c r="S37" s="3"/>
      <c r="T37" s="3"/>
      <c r="U37" s="3"/>
      <c r="V37" s="3"/>
      <c r="W37" s="3"/>
      <c r="X37" s="3"/>
      <c r="Y37" s="3"/>
      <c r="Z37" s="3"/>
      <c r="AA37" s="3"/>
      <c r="AB37" s="3"/>
      <c r="AC37" s="3"/>
      <c r="AD37" s="3"/>
      <c r="AE37" s="3"/>
      <c r="AF37" s="3"/>
      <c r="AG37" s="3"/>
      <c r="AH37" s="3"/>
      <c r="AI37" s="3"/>
    </row>
    <row r="38" spans="1:35" s="2" customFormat="1" x14ac:dyDescent="0.25">
      <c r="A38" s="1" t="s">
        <v>71</v>
      </c>
      <c r="B38" s="34"/>
      <c r="C38" s="7" t="s">
        <v>246</v>
      </c>
      <c r="D38" s="16">
        <f>IFERROR(VLOOKUP($A38,FetchFundies[],D$1+1,FALSE)/Millions,0)</f>
        <v>0</v>
      </c>
      <c r="E38" s="16">
        <f>IFERROR(VLOOKUP($A38,FetchFundies[],E$1+1,FALSE)/Millions,0)</f>
        <v>0</v>
      </c>
      <c r="F38" s="16">
        <f>IFERROR(VLOOKUP($A38,FetchFundies[],F$1+1,FALSE)/Millions,0)</f>
        <v>0</v>
      </c>
      <c r="G38" s="16">
        <f>IFERROR(VLOOKUP($A38,FetchFundies[],G$1+1,FALSE)/Millions,0)</f>
        <v>0</v>
      </c>
      <c r="H38" s="16">
        <f>IFERROR(VLOOKUP($A38,FetchFundies[],H$1+1,FALSE)/Millions,0)</f>
        <v>0</v>
      </c>
      <c r="I38" s="16">
        <f>IFERROR(VLOOKUP($A38,FetchFundies[],I$1+1,FALSE)/Millions,0)</f>
        <v>0</v>
      </c>
      <c r="J38" s="3"/>
      <c r="K38" s="43" t="str">
        <f t="shared" si="5"/>
        <v/>
      </c>
      <c r="L38" s="13" t="s">
        <v>520</v>
      </c>
      <c r="M38" s="3"/>
      <c r="N38" s="3"/>
      <c r="O38" s="3"/>
      <c r="P38" s="3"/>
      <c r="Q38" s="3"/>
      <c r="R38" s="3"/>
      <c r="S38" s="3"/>
      <c r="T38" s="3"/>
      <c r="U38" s="3"/>
      <c r="V38" s="3"/>
      <c r="W38" s="3"/>
      <c r="X38" s="3"/>
      <c r="Y38" s="3"/>
      <c r="Z38" s="3"/>
      <c r="AA38" s="3"/>
      <c r="AB38" s="3"/>
      <c r="AC38" s="3"/>
      <c r="AD38" s="3"/>
      <c r="AE38" s="3"/>
      <c r="AF38" s="3"/>
      <c r="AG38" s="3"/>
      <c r="AH38" s="3"/>
      <c r="AI38" s="3"/>
    </row>
    <row r="39" spans="1:35" s="2" customFormat="1" x14ac:dyDescent="0.25">
      <c r="A39" s="1" t="s">
        <v>240</v>
      </c>
      <c r="B39" s="34"/>
      <c r="C39" s="7" t="s">
        <v>426</v>
      </c>
      <c r="D39" s="16">
        <f>IFERROR(VLOOKUP($A39,FetchFundies[],D$1+1,FALSE)/Millions,0)</f>
        <v>0</v>
      </c>
      <c r="E39" s="16">
        <f>IFERROR(VLOOKUP($A39,FetchFundies[],E$1+1,FALSE)/Millions,0)</f>
        <v>0</v>
      </c>
      <c r="F39" s="16">
        <f>IFERROR(VLOOKUP($A39,FetchFundies[],F$1+1,FALSE)/Millions,0)</f>
        <v>0</v>
      </c>
      <c r="G39" s="16">
        <f>IFERROR(VLOOKUP($A39,FetchFundies[],G$1+1,FALSE)/Millions,0)</f>
        <v>0</v>
      </c>
      <c r="H39" s="16">
        <f>IFERROR(VLOOKUP($A39,FetchFundies[],H$1+1,FALSE)/Millions,0)</f>
        <v>0</v>
      </c>
      <c r="I39" s="16">
        <f>IFERROR(VLOOKUP($A39,FetchFundies[],I$1+1,FALSE)/Millions,0)</f>
        <v>0</v>
      </c>
      <c r="J39" s="3"/>
      <c r="K39" s="43" t="str">
        <f t="shared" si="5"/>
        <v/>
      </c>
      <c r="L39" s="13" t="s">
        <v>498</v>
      </c>
      <c r="M39" s="3"/>
      <c r="N39" s="3"/>
      <c r="O39" s="3"/>
      <c r="P39" s="3"/>
      <c r="Q39" s="3"/>
      <c r="R39" s="3"/>
      <c r="S39" s="3"/>
      <c r="T39" s="3"/>
      <c r="U39" s="3"/>
      <c r="V39" s="3"/>
      <c r="W39" s="3"/>
      <c r="X39" s="3"/>
      <c r="Y39" s="3"/>
      <c r="Z39" s="3"/>
      <c r="AA39" s="3"/>
      <c r="AB39" s="3"/>
      <c r="AC39" s="3"/>
      <c r="AD39" s="3"/>
      <c r="AE39" s="3"/>
      <c r="AF39" s="3"/>
      <c r="AG39" s="3"/>
      <c r="AH39" s="3"/>
      <c r="AI39" s="3"/>
    </row>
    <row r="40" spans="1:35" s="70" customFormat="1" ht="15.75" x14ac:dyDescent="0.25">
      <c r="A40" s="1" t="s">
        <v>83</v>
      </c>
      <c r="B40" s="34"/>
      <c r="C40" s="7" t="s">
        <v>249</v>
      </c>
      <c r="D40" s="16">
        <f>IFERROR(VLOOKUP($A40,FetchFundies[],D$1+1,FALSE)/Millions,0)</f>
        <v>0</v>
      </c>
      <c r="E40" s="16">
        <f>IFERROR(VLOOKUP($A40,FetchFundies[],E$1+1,FALSE)/Millions,0)</f>
        <v>0</v>
      </c>
      <c r="F40" s="16">
        <f>IFERROR(VLOOKUP($A40,FetchFundies[],F$1+1,FALSE)/Millions,0)</f>
        <v>0</v>
      </c>
      <c r="G40" s="16">
        <f>IFERROR(VLOOKUP($A40,FetchFundies[],G$1+1,FALSE)/Millions,0)</f>
        <v>0</v>
      </c>
      <c r="H40" s="16">
        <f>IFERROR(VLOOKUP($A40,FetchFundies[],H$1+1,FALSE)/Millions,0)</f>
        <v>0</v>
      </c>
      <c r="I40" s="16">
        <f>IFERROR(VLOOKUP($A40,FetchFundies[],I$1+1,FALSE)/Millions,0)</f>
        <v>0</v>
      </c>
      <c r="J40" s="3"/>
      <c r="K40" s="43" t="str">
        <f t="shared" si="5"/>
        <v/>
      </c>
      <c r="L40" s="13" t="s">
        <v>531</v>
      </c>
      <c r="M40" s="3"/>
      <c r="N40" s="3"/>
      <c r="O40" s="3"/>
      <c r="P40" s="3"/>
      <c r="Q40" s="3"/>
      <c r="R40" s="3"/>
      <c r="S40" s="3"/>
      <c r="T40" s="3"/>
      <c r="U40" s="3"/>
      <c r="V40" s="3"/>
      <c r="W40" s="3"/>
      <c r="X40" s="3"/>
      <c r="Y40" s="3"/>
      <c r="Z40" s="3"/>
      <c r="AA40" s="3"/>
      <c r="AB40" s="3"/>
      <c r="AC40" s="3"/>
      <c r="AD40" s="3"/>
      <c r="AE40" s="3"/>
      <c r="AF40" s="3"/>
      <c r="AG40" s="3"/>
      <c r="AH40" s="3"/>
      <c r="AI40" s="3"/>
    </row>
    <row r="41" spans="1:35" s="2" customFormat="1" x14ac:dyDescent="0.25">
      <c r="A41" s="1" t="s">
        <v>84</v>
      </c>
      <c r="B41" s="104"/>
      <c r="C41" s="7" t="s">
        <v>252</v>
      </c>
      <c r="D41" s="16">
        <f>IFERROR(VLOOKUP($A41,FetchFundies[],D$1+1,FALSE)/Millions,0)</f>
        <v>0</v>
      </c>
      <c r="E41" s="16">
        <f>IFERROR(VLOOKUP($A41,FetchFundies[],E$1+1,FALSE)/Millions,0)</f>
        <v>0</v>
      </c>
      <c r="F41" s="16">
        <f>IFERROR(VLOOKUP($A41,FetchFundies[],F$1+1,FALSE)/Millions,0)</f>
        <v>0</v>
      </c>
      <c r="G41" s="16">
        <f>IFERROR(VLOOKUP($A41,FetchFundies[],G$1+1,FALSE)/Millions,0)</f>
        <v>0</v>
      </c>
      <c r="H41" s="16">
        <f>IFERROR(VLOOKUP($A41,FetchFundies[],H$1+1,FALSE)/Millions,0)</f>
        <v>0</v>
      </c>
      <c r="I41" s="16">
        <f>IFERROR(VLOOKUP($A41,FetchFundies[],I$1+1,FALSE)/Millions,0)</f>
        <v>0</v>
      </c>
      <c r="J41" s="3"/>
      <c r="K41" s="43" t="str">
        <f t="shared" si="5"/>
        <v/>
      </c>
      <c r="L41" s="13" t="s">
        <v>532</v>
      </c>
      <c r="M41" s="3"/>
      <c r="N41" s="3"/>
      <c r="O41" s="3"/>
      <c r="P41" s="3"/>
      <c r="Q41" s="3"/>
      <c r="R41" s="3"/>
      <c r="S41" s="3"/>
      <c r="T41" s="3"/>
      <c r="U41" s="3"/>
      <c r="V41" s="3"/>
      <c r="W41" s="3"/>
      <c r="X41" s="3"/>
      <c r="Y41" s="3"/>
      <c r="Z41" s="3"/>
      <c r="AA41" s="3"/>
      <c r="AB41" s="3"/>
      <c r="AC41" s="3"/>
      <c r="AD41" s="3"/>
      <c r="AE41" s="3"/>
      <c r="AF41" s="3"/>
      <c r="AG41" s="3"/>
      <c r="AH41" s="3"/>
      <c r="AI41" s="3"/>
    </row>
    <row r="42" spans="1:35" x14ac:dyDescent="0.25">
      <c r="A42" s="1" t="s">
        <v>82</v>
      </c>
      <c r="B42" s="35"/>
      <c r="C42" s="7" t="s">
        <v>255</v>
      </c>
      <c r="D42" s="16">
        <f>IFERROR(VLOOKUP($A42,FetchFundies[],D$1+1,FALSE)/Millions,0)</f>
        <v>0</v>
      </c>
      <c r="E42" s="16">
        <f>IFERROR(VLOOKUP($A42,FetchFundies[],E$1+1,FALSE)/Millions,0)</f>
        <v>0</v>
      </c>
      <c r="F42" s="16">
        <f>IFERROR(VLOOKUP($A42,FetchFundies[],F$1+1,FALSE)/Millions,0)</f>
        <v>0</v>
      </c>
      <c r="G42" s="16">
        <f>IFERROR(VLOOKUP($A42,FetchFundies[],G$1+1,FALSE)/Millions,0)</f>
        <v>0</v>
      </c>
      <c r="H42" s="16">
        <f>IFERROR(VLOOKUP($A42,FetchFundies[],H$1+1,FALSE)/Millions,0)</f>
        <v>0</v>
      </c>
      <c r="I42" s="16">
        <f>IFERROR(VLOOKUP($A42,FetchFundies[],I$1+1,FALSE)/Millions,0)</f>
        <v>0</v>
      </c>
      <c r="J42" s="3"/>
      <c r="K42" s="43" t="str">
        <f t="shared" si="5"/>
        <v/>
      </c>
      <c r="L42" s="13" t="s">
        <v>530</v>
      </c>
      <c r="M42" s="3"/>
      <c r="N42" s="3"/>
      <c r="O42" s="3"/>
      <c r="P42" s="3"/>
      <c r="Q42" s="3"/>
      <c r="R42" s="3"/>
      <c r="S42" s="3"/>
      <c r="T42" s="3"/>
      <c r="U42" s="3"/>
      <c r="V42" s="3"/>
      <c r="W42" s="3"/>
      <c r="X42" s="3"/>
      <c r="Y42" s="3"/>
      <c r="Z42" s="3"/>
      <c r="AA42" s="3"/>
      <c r="AB42" s="3"/>
      <c r="AC42" s="3"/>
      <c r="AD42" s="3"/>
      <c r="AE42" s="3"/>
      <c r="AF42" s="3"/>
      <c r="AG42" s="3"/>
      <c r="AH42" s="3"/>
      <c r="AI42" s="3"/>
    </row>
    <row r="43" spans="1:35" s="2" customFormat="1" x14ac:dyDescent="0.25">
      <c r="A43" s="1" t="s">
        <v>259</v>
      </c>
      <c r="B43" s="34"/>
      <c r="C43" s="7" t="s">
        <v>258</v>
      </c>
      <c r="D43" s="16">
        <f>IFERROR(VLOOKUP($A43,FetchFundies[],D$1+1,FALSE)/Millions,0)</f>
        <v>0</v>
      </c>
      <c r="E43" s="16">
        <f>IFERROR(VLOOKUP($A43,FetchFundies[],E$1+1,FALSE)/Millions,0)</f>
        <v>0</v>
      </c>
      <c r="F43" s="16">
        <f>IFERROR(VLOOKUP($A43,FetchFundies[],F$1+1,FALSE)/Millions,0)</f>
        <v>0</v>
      </c>
      <c r="G43" s="16">
        <f>IFERROR(VLOOKUP($A43,FetchFundies[],G$1+1,FALSE)/Millions,0)</f>
        <v>0</v>
      </c>
      <c r="H43" s="16">
        <f>IFERROR(VLOOKUP($A43,FetchFundies[],H$1+1,FALSE)/Millions,0)</f>
        <v>0</v>
      </c>
      <c r="I43" s="16">
        <f>IFERROR(VLOOKUP($A43,FetchFundies[],I$1+1,FALSE)/Millions,0)</f>
        <v>0</v>
      </c>
      <c r="J43" s="3"/>
      <c r="K43" s="43" t="str">
        <f t="shared" si="5"/>
        <v/>
      </c>
      <c r="L43" s="13" t="s">
        <v>537</v>
      </c>
      <c r="M43" s="3"/>
      <c r="N43" s="3"/>
      <c r="O43" s="3"/>
      <c r="P43" s="3"/>
      <c r="Q43" s="3"/>
      <c r="R43" s="3"/>
      <c r="S43" s="3"/>
      <c r="T43" s="3"/>
      <c r="U43" s="3"/>
      <c r="V43" s="3"/>
      <c r="W43" s="3"/>
      <c r="X43" s="3"/>
      <c r="Y43" s="3"/>
      <c r="Z43" s="3"/>
      <c r="AA43" s="3"/>
      <c r="AB43" s="3"/>
      <c r="AC43" s="3"/>
      <c r="AD43" s="3"/>
      <c r="AE43" s="3"/>
      <c r="AF43" s="3"/>
      <c r="AG43" s="3"/>
      <c r="AH43" s="3"/>
      <c r="AI43" s="3"/>
    </row>
    <row r="44" spans="1:35" s="2" customFormat="1" x14ac:dyDescent="0.25">
      <c r="A44" s="1" t="s">
        <v>263</v>
      </c>
      <c r="B44" s="34"/>
      <c r="C44" s="7" t="s">
        <v>262</v>
      </c>
      <c r="D44" s="16">
        <f>IFERROR(VLOOKUP($A44,FetchFundies[],D$1+1,FALSE)/Millions,0)</f>
        <v>0</v>
      </c>
      <c r="E44" s="16">
        <f>IFERROR(VLOOKUP($A44,FetchFundies[],E$1+1,FALSE)/Millions,0)</f>
        <v>0</v>
      </c>
      <c r="F44" s="16">
        <f>IFERROR(VLOOKUP($A44,FetchFundies[],F$1+1,FALSE)/Millions,0)</f>
        <v>0</v>
      </c>
      <c r="G44" s="16">
        <f>IFERROR(VLOOKUP($A44,FetchFundies[],G$1+1,FALSE)/Millions,0)</f>
        <v>0</v>
      </c>
      <c r="H44" s="16">
        <f>IFERROR(VLOOKUP($A44,FetchFundies[],H$1+1,FALSE)/Millions,0)</f>
        <v>0</v>
      </c>
      <c r="I44" s="16">
        <f>IFERROR(VLOOKUP($A44,FetchFundies[],I$1+1,FALSE)/Millions,0)</f>
        <v>0</v>
      </c>
      <c r="J44" s="3"/>
      <c r="K44" s="43" t="str">
        <f t="shared" si="5"/>
        <v/>
      </c>
      <c r="L44" s="13" t="s">
        <v>534</v>
      </c>
      <c r="M44" s="3"/>
      <c r="N44" s="3"/>
      <c r="O44" s="3"/>
      <c r="P44" s="3"/>
      <c r="Q44" s="3"/>
      <c r="R44" s="3"/>
      <c r="S44" s="3"/>
      <c r="T44" s="3"/>
      <c r="U44" s="3"/>
      <c r="V44" s="3"/>
      <c r="W44" s="3"/>
      <c r="X44" s="3"/>
      <c r="Y44" s="3"/>
      <c r="Z44" s="3"/>
      <c r="AA44" s="3"/>
      <c r="AB44" s="3"/>
      <c r="AC44" s="3"/>
      <c r="AD44" s="3"/>
      <c r="AE44" s="3"/>
      <c r="AF44" s="3"/>
      <c r="AG44" s="3"/>
      <c r="AH44" s="3"/>
      <c r="AI44" s="3"/>
    </row>
    <row r="45" spans="1:35" s="5" customFormat="1" x14ac:dyDescent="0.25">
      <c r="A45" s="1" t="s">
        <v>267</v>
      </c>
      <c r="B45" s="28"/>
      <c r="C45" s="7" t="s">
        <v>266</v>
      </c>
      <c r="D45" s="16">
        <f>IFERROR(VLOOKUP($A45,FetchFundies[],D$1+1,FALSE)/Millions,0)</f>
        <v>0</v>
      </c>
      <c r="E45" s="16">
        <f>IFERROR(VLOOKUP($A45,FetchFundies[],E$1+1,FALSE)/Millions,0)</f>
        <v>0</v>
      </c>
      <c r="F45" s="16">
        <f>IFERROR(VLOOKUP($A45,FetchFundies[],F$1+1,FALSE)/Millions,0)</f>
        <v>0</v>
      </c>
      <c r="G45" s="16">
        <f>IFERROR(VLOOKUP($A45,FetchFundies[],G$1+1,FALSE)/Millions,0)</f>
        <v>0</v>
      </c>
      <c r="H45" s="16">
        <f>IFERROR(VLOOKUP($A45,FetchFundies[],H$1+1,FALSE)/Millions,0)</f>
        <v>0</v>
      </c>
      <c r="I45" s="16">
        <f>IFERROR(VLOOKUP($A45,FetchFundies[],I$1+1,FALSE)/Millions,0)</f>
        <v>0</v>
      </c>
      <c r="J45" s="4"/>
      <c r="K45" s="43" t="str">
        <f t="shared" si="5"/>
        <v/>
      </c>
      <c r="L45" s="13" t="s">
        <v>528</v>
      </c>
      <c r="M45" s="4"/>
      <c r="N45" s="4"/>
      <c r="O45" s="4"/>
      <c r="P45" s="4"/>
      <c r="Q45" s="4"/>
      <c r="R45" s="4"/>
      <c r="S45" s="4"/>
      <c r="T45" s="4"/>
      <c r="U45" s="4"/>
      <c r="V45" s="4"/>
      <c r="W45" s="4"/>
      <c r="X45" s="4"/>
      <c r="Y45" s="4"/>
      <c r="Z45" s="4"/>
      <c r="AA45" s="4"/>
      <c r="AB45" s="4"/>
      <c r="AC45" s="4"/>
      <c r="AD45" s="4"/>
      <c r="AE45" s="4"/>
      <c r="AF45" s="4"/>
      <c r="AG45" s="4"/>
      <c r="AH45" s="4"/>
      <c r="AI45" s="4"/>
    </row>
    <row r="46" spans="1:35" s="2" customFormat="1" x14ac:dyDescent="0.25">
      <c r="A46" s="1" t="s">
        <v>270</v>
      </c>
      <c r="B46" s="34"/>
      <c r="C46" s="7" t="s">
        <v>269</v>
      </c>
      <c r="D46" s="16">
        <f>IFERROR(VLOOKUP($A46,FetchFundies[],D$1+1,FALSE)/Millions,0)</f>
        <v>396</v>
      </c>
      <c r="E46" s="16">
        <f>IFERROR(VLOOKUP($A46,FetchFundies[],E$1+1,FALSE)/Millions,0)</f>
        <v>630</v>
      </c>
      <c r="F46" s="16">
        <f>IFERROR(VLOOKUP($A46,FetchFundies[],F$1+1,FALSE)/Millions,0)</f>
        <v>615</v>
      </c>
      <c r="G46" s="16">
        <f>IFERROR(VLOOKUP($A46,FetchFundies[],G$1+1,FALSE)/Millions,0)</f>
        <v>723</v>
      </c>
      <c r="H46" s="16">
        <f>IFERROR(VLOOKUP($A46,FetchFundies[],H$1+1,FALSE)/Millions,0)</f>
        <v>995</v>
      </c>
      <c r="I46" s="16">
        <f>IFERROR(VLOOKUP($A46,FetchFundies[],I$1+1,FALSE)/Millions,0)</f>
        <v>1288</v>
      </c>
      <c r="J46" s="3"/>
      <c r="K46" s="43" t="str">
        <f t="shared" si="5"/>
        <v>y</v>
      </c>
      <c r="L46" s="13" t="s">
        <v>522</v>
      </c>
      <c r="M46" s="3"/>
      <c r="N46" s="3"/>
      <c r="O46" s="3"/>
      <c r="P46" s="3"/>
      <c r="Q46" s="3"/>
      <c r="R46" s="3"/>
      <c r="S46" s="3"/>
      <c r="T46" s="3"/>
      <c r="U46" s="3"/>
      <c r="V46" s="3"/>
      <c r="W46" s="3"/>
      <c r="X46" s="3"/>
      <c r="Y46" s="3"/>
      <c r="Z46" s="3"/>
      <c r="AA46" s="3"/>
      <c r="AB46" s="3"/>
      <c r="AC46" s="3"/>
      <c r="AD46" s="3"/>
      <c r="AE46" s="3"/>
      <c r="AF46" s="3"/>
      <c r="AG46" s="3"/>
      <c r="AH46" s="3"/>
      <c r="AI46" s="3"/>
    </row>
    <row r="47" spans="1:35" s="2" customFormat="1" x14ac:dyDescent="0.25">
      <c r="A47" s="1" t="s">
        <v>274</v>
      </c>
      <c r="B47" s="34"/>
      <c r="C47" s="7" t="s">
        <v>273</v>
      </c>
      <c r="D47" s="16">
        <f>IFERROR(VLOOKUP($A47,FetchFundies[],D$1+1,FALSE)/Millions,0)</f>
        <v>0</v>
      </c>
      <c r="E47" s="16">
        <f>IFERROR(VLOOKUP($A47,FetchFundies[],E$1+1,FALSE)/Millions,0)</f>
        <v>0</v>
      </c>
      <c r="F47" s="16">
        <f>IFERROR(VLOOKUP($A47,FetchFundies[],F$1+1,FALSE)/Millions,0)</f>
        <v>0</v>
      </c>
      <c r="G47" s="16">
        <f>IFERROR(VLOOKUP($A47,FetchFundies[],G$1+1,FALSE)/Millions,0)</f>
        <v>0</v>
      </c>
      <c r="H47" s="16">
        <f>IFERROR(VLOOKUP($A47,FetchFundies[],H$1+1,FALSE)/Millions,0)</f>
        <v>0</v>
      </c>
      <c r="I47" s="16">
        <f>IFERROR(VLOOKUP($A47,FetchFundies[],I$1+1,FALSE)/Millions,0)</f>
        <v>0</v>
      </c>
      <c r="J47" s="3"/>
      <c r="K47" s="43" t="str">
        <f t="shared" si="5"/>
        <v/>
      </c>
      <c r="L47" s="13" t="s">
        <v>519</v>
      </c>
      <c r="M47" s="3"/>
      <c r="N47" s="3"/>
      <c r="O47" s="3"/>
      <c r="P47" s="3"/>
      <c r="Q47" s="3"/>
      <c r="R47" s="3"/>
      <c r="S47" s="3"/>
      <c r="T47" s="3"/>
      <c r="U47" s="3"/>
      <c r="V47" s="3"/>
      <c r="W47" s="3"/>
      <c r="X47" s="3"/>
      <c r="Y47" s="3"/>
      <c r="Z47" s="3"/>
      <c r="AA47" s="3"/>
      <c r="AB47" s="3"/>
      <c r="AC47" s="3"/>
      <c r="AD47" s="3"/>
      <c r="AE47" s="3"/>
      <c r="AF47" s="3"/>
      <c r="AG47" s="3"/>
      <c r="AH47" s="3"/>
      <c r="AI47" s="3"/>
    </row>
    <row r="48" spans="1:35" s="2" customFormat="1" x14ac:dyDescent="0.25">
      <c r="A48" s="1" t="s">
        <v>278</v>
      </c>
      <c r="B48" s="34"/>
      <c r="C48" s="7" t="s">
        <v>277</v>
      </c>
      <c r="D48" s="16">
        <f>IFERROR(VLOOKUP($A48,FetchFundies[],D$1+1,FALSE)/Millions,0)</f>
        <v>0</v>
      </c>
      <c r="E48" s="16">
        <f>IFERROR(VLOOKUP($A48,FetchFundies[],E$1+1,FALSE)/Millions,0)</f>
        <v>0</v>
      </c>
      <c r="F48" s="16">
        <f>IFERROR(VLOOKUP($A48,FetchFundies[],F$1+1,FALSE)/Millions,0)</f>
        <v>0</v>
      </c>
      <c r="G48" s="16">
        <f>IFERROR(VLOOKUP($A48,FetchFundies[],G$1+1,FALSE)/Millions,0)</f>
        <v>0</v>
      </c>
      <c r="H48" s="16">
        <f>IFERROR(VLOOKUP($A48,FetchFundies[],H$1+1,FALSE)/Millions,0)</f>
        <v>0</v>
      </c>
      <c r="I48" s="16">
        <f>IFERROR(VLOOKUP($A48,FetchFundies[],I$1+1,FALSE)/Millions,0)</f>
        <v>0</v>
      </c>
      <c r="J48" s="3"/>
      <c r="K48" s="43" t="str">
        <f t="shared" si="5"/>
        <v/>
      </c>
      <c r="L48" s="13" t="s">
        <v>527</v>
      </c>
      <c r="M48" s="3"/>
      <c r="N48" s="3"/>
      <c r="O48" s="3"/>
      <c r="P48" s="3"/>
      <c r="Q48" s="3"/>
      <c r="R48" s="3"/>
      <c r="S48" s="3"/>
      <c r="T48" s="3"/>
      <c r="U48" s="3"/>
      <c r="V48" s="3"/>
      <c r="W48" s="3"/>
      <c r="X48" s="3"/>
      <c r="Y48" s="3"/>
      <c r="Z48" s="3"/>
      <c r="AA48" s="3"/>
      <c r="AB48" s="3"/>
      <c r="AC48" s="3"/>
      <c r="AD48" s="3"/>
      <c r="AE48" s="3"/>
      <c r="AF48" s="3"/>
      <c r="AG48" s="3"/>
      <c r="AH48" s="3"/>
      <c r="AI48" s="3"/>
    </row>
    <row r="49" spans="1:92" s="2" customFormat="1" x14ac:dyDescent="0.25">
      <c r="A49" s="1" t="s">
        <v>282</v>
      </c>
      <c r="B49" s="34"/>
      <c r="C49" s="7" t="s">
        <v>281</v>
      </c>
      <c r="D49" s="16">
        <f>IFERROR(VLOOKUP($A49,FetchFundies[],D$1+1,FALSE)/Millions,0)</f>
        <v>414</v>
      </c>
      <c r="E49" s="16">
        <f>IFERROR(VLOOKUP($A49,FetchFundies[],E$1+1,FALSE)/Millions,0)</f>
        <v>0</v>
      </c>
      <c r="F49" s="16">
        <f>IFERROR(VLOOKUP($A49,FetchFundies[],F$1+1,FALSE)/Millions,0)</f>
        <v>0</v>
      </c>
      <c r="G49" s="16">
        <f>IFERROR(VLOOKUP($A49,FetchFundies[],G$1+1,FALSE)/Millions,0)</f>
        <v>0</v>
      </c>
      <c r="H49" s="16">
        <f>IFERROR(VLOOKUP($A49,FetchFundies[],H$1+1,FALSE)/Millions,0)</f>
        <v>-279</v>
      </c>
      <c r="I49" s="16">
        <f>IFERROR(VLOOKUP($A49,FetchFundies[],I$1+1,FALSE)/Millions,0)</f>
        <v>0</v>
      </c>
      <c r="J49" s="3"/>
      <c r="K49" s="43" t="str">
        <f t="shared" si="5"/>
        <v>y</v>
      </c>
      <c r="L49" s="13" t="s">
        <v>521</v>
      </c>
      <c r="M49" s="3"/>
      <c r="N49" s="3"/>
      <c r="O49" s="3"/>
      <c r="P49" s="3"/>
      <c r="Q49" s="3"/>
      <c r="R49" s="3"/>
      <c r="S49" s="3"/>
      <c r="T49" s="3"/>
      <c r="U49" s="3"/>
      <c r="V49" s="3"/>
      <c r="W49" s="3"/>
      <c r="X49" s="3"/>
      <c r="Y49" s="3"/>
      <c r="Z49" s="3"/>
      <c r="AA49" s="3"/>
      <c r="AB49" s="3"/>
      <c r="AC49" s="3"/>
      <c r="AD49" s="3"/>
      <c r="AE49" s="3"/>
      <c r="AF49" s="3"/>
      <c r="AG49" s="3"/>
      <c r="AH49" s="3"/>
      <c r="AI49" s="3"/>
    </row>
    <row r="50" spans="1:92" s="2" customFormat="1" x14ac:dyDescent="0.25">
      <c r="A50" s="1" t="s">
        <v>286</v>
      </c>
      <c r="B50" s="34"/>
      <c r="C50" s="7" t="s">
        <v>285</v>
      </c>
      <c r="D50" s="16">
        <f>IFERROR(VLOOKUP($A50,FetchFundies[],D$1+1,FALSE)/Millions,0)</f>
        <v>0</v>
      </c>
      <c r="E50" s="16">
        <f>IFERROR(VLOOKUP($A50,FetchFundies[],E$1+1,FALSE)/Millions,0)</f>
        <v>0</v>
      </c>
      <c r="F50" s="16">
        <f>IFERROR(VLOOKUP($A50,FetchFundies[],F$1+1,FALSE)/Millions,0)</f>
        <v>0</v>
      </c>
      <c r="G50" s="16">
        <f>IFERROR(VLOOKUP($A50,FetchFundies[],G$1+1,FALSE)/Millions,0)</f>
        <v>0</v>
      </c>
      <c r="H50" s="16">
        <f>IFERROR(VLOOKUP($A50,FetchFundies[],H$1+1,FALSE)/Millions,0)</f>
        <v>0</v>
      </c>
      <c r="I50" s="16">
        <f>IFERROR(VLOOKUP($A50,FetchFundies[],I$1+1,FALSE)/Millions,0)</f>
        <v>0</v>
      </c>
      <c r="J50" s="3"/>
      <c r="K50" s="43" t="str">
        <f t="shared" si="5"/>
        <v/>
      </c>
      <c r="L50" s="13" t="s">
        <v>532</v>
      </c>
      <c r="M50" s="3"/>
      <c r="N50" s="3"/>
      <c r="O50" s="3"/>
      <c r="P50" s="3"/>
      <c r="Q50" s="3"/>
      <c r="R50" s="3"/>
      <c r="S50" s="3"/>
      <c r="T50" s="3"/>
      <c r="U50" s="3"/>
      <c r="V50" s="3"/>
      <c r="W50" s="3"/>
      <c r="X50" s="3"/>
      <c r="Y50" s="3"/>
      <c r="Z50" s="3"/>
      <c r="AA50" s="3"/>
      <c r="AB50" s="3"/>
      <c r="AC50" s="3"/>
      <c r="AD50" s="3"/>
      <c r="AE50" s="3"/>
      <c r="AF50" s="3"/>
      <c r="AG50" s="3"/>
      <c r="AH50" s="3"/>
      <c r="AI50" s="3"/>
    </row>
    <row r="51" spans="1:92" s="2" customFormat="1" x14ac:dyDescent="0.25">
      <c r="A51" s="1" t="s">
        <v>290</v>
      </c>
      <c r="B51" s="34"/>
      <c r="C51" s="7" t="s">
        <v>289</v>
      </c>
      <c r="D51" s="16">
        <f>IFERROR(VLOOKUP($A51,FetchFundies[],D$1+1,FALSE)/Millions,0)</f>
        <v>0</v>
      </c>
      <c r="E51" s="16">
        <f>IFERROR(VLOOKUP($A51,FetchFundies[],E$1+1,FALSE)/Millions,0)</f>
        <v>0</v>
      </c>
      <c r="F51" s="16">
        <f>IFERROR(VLOOKUP($A51,FetchFundies[],F$1+1,FALSE)/Millions,0)</f>
        <v>0</v>
      </c>
      <c r="G51" s="16">
        <f>IFERROR(VLOOKUP($A51,FetchFundies[],G$1+1,FALSE)/Millions,0)</f>
        <v>0</v>
      </c>
      <c r="H51" s="16">
        <f>IFERROR(VLOOKUP($A51,FetchFundies[],H$1+1,FALSE)/Millions,0)</f>
        <v>0</v>
      </c>
      <c r="I51" s="16">
        <f>IFERROR(VLOOKUP($A51,FetchFundies[],I$1+1,FALSE)/Millions,0)</f>
        <v>0</v>
      </c>
      <c r="J51" s="3"/>
      <c r="K51" s="43" t="str">
        <f t="shared" si="5"/>
        <v/>
      </c>
      <c r="L51" s="13" t="s">
        <v>515</v>
      </c>
      <c r="M51" s="3"/>
      <c r="N51" s="3"/>
      <c r="O51" s="3"/>
      <c r="P51" s="3"/>
      <c r="Q51" s="3"/>
      <c r="R51" s="3"/>
      <c r="S51" s="3"/>
      <c r="T51" s="3"/>
      <c r="U51" s="3"/>
      <c r="V51" s="3"/>
      <c r="W51" s="3"/>
      <c r="X51" s="3"/>
      <c r="Y51" s="3"/>
      <c r="Z51" s="3"/>
      <c r="AA51" s="3"/>
      <c r="AB51" s="3"/>
      <c r="AC51" s="3"/>
      <c r="AD51" s="3"/>
      <c r="AE51" s="3"/>
      <c r="AF51" s="3"/>
      <c r="AG51" s="3"/>
      <c r="AH51" s="3"/>
      <c r="AI51" s="3"/>
    </row>
    <row r="52" spans="1:92" s="2" customFormat="1" x14ac:dyDescent="0.25">
      <c r="A52" s="1" t="s">
        <v>294</v>
      </c>
      <c r="B52" s="34"/>
      <c r="C52" s="7" t="s">
        <v>293</v>
      </c>
      <c r="D52" s="16">
        <f>IFERROR(VLOOKUP($A52,FetchFundies[],D$1+1,FALSE)/Millions,0)</f>
        <v>0</v>
      </c>
      <c r="E52" s="16">
        <f>IFERROR(VLOOKUP($A52,FetchFundies[],E$1+1,FALSE)/Millions,0)</f>
        <v>0</v>
      </c>
      <c r="F52" s="16">
        <f>IFERROR(VLOOKUP($A52,FetchFundies[],F$1+1,FALSE)/Millions,0)</f>
        <v>0</v>
      </c>
      <c r="G52" s="16">
        <f>IFERROR(VLOOKUP($A52,FetchFundies[],G$1+1,FALSE)/Millions,0)</f>
        <v>0</v>
      </c>
      <c r="H52" s="16">
        <f>IFERROR(VLOOKUP($A52,FetchFundies[],H$1+1,FALSE)/Millions,0)</f>
        <v>0</v>
      </c>
      <c r="I52" s="16">
        <f>IFERROR(VLOOKUP($A52,FetchFundies[],I$1+1,FALSE)/Millions,0)</f>
        <v>0</v>
      </c>
      <c r="J52" s="3"/>
      <c r="K52" s="43" t="str">
        <f t="shared" si="5"/>
        <v/>
      </c>
      <c r="L52" s="13" t="s">
        <v>524</v>
      </c>
      <c r="M52" s="3"/>
      <c r="N52" s="3"/>
      <c r="O52" s="3"/>
      <c r="P52" s="3"/>
      <c r="Q52" s="3"/>
      <c r="R52" s="3"/>
      <c r="S52" s="3"/>
      <c r="T52" s="3"/>
      <c r="U52" s="3"/>
      <c r="V52" s="3"/>
      <c r="W52" s="3"/>
      <c r="X52" s="3"/>
      <c r="Y52" s="3"/>
      <c r="Z52" s="3"/>
      <c r="AA52" s="3"/>
      <c r="AB52" s="3"/>
      <c r="AC52" s="3"/>
      <c r="AD52" s="3"/>
      <c r="AE52" s="3"/>
      <c r="AF52" s="3"/>
      <c r="AG52" s="3"/>
      <c r="AH52" s="3"/>
      <c r="AI52" s="3"/>
    </row>
    <row r="53" spans="1:92" s="2" customFormat="1" x14ac:dyDescent="0.25">
      <c r="A53" s="1" t="s">
        <v>298</v>
      </c>
      <c r="B53" s="34"/>
      <c r="C53" s="7" t="s">
        <v>297</v>
      </c>
      <c r="D53" s="16">
        <f>IFERROR(VLOOKUP($A53,FetchFundies[],D$1+1,FALSE)/Millions,0)</f>
        <v>-853</v>
      </c>
      <c r="E53" s="16">
        <f>IFERROR(VLOOKUP($A53,FetchFundies[],E$1+1,FALSE)/Millions,0)</f>
        <v>0</v>
      </c>
      <c r="F53" s="16">
        <f>IFERROR(VLOOKUP($A53,FetchFundies[],F$1+1,FALSE)/Millions,0)</f>
        <v>0</v>
      </c>
      <c r="G53" s="16">
        <f>IFERROR(VLOOKUP($A53,FetchFundies[],G$1+1,FALSE)/Millions,0)</f>
        <v>0</v>
      </c>
      <c r="H53" s="16">
        <f>IFERROR(VLOOKUP($A53,FetchFundies[],H$1+1,FALSE)/Millions,0)</f>
        <v>15</v>
      </c>
      <c r="I53" s="16">
        <f>IFERROR(VLOOKUP($A53,FetchFundies[],I$1+1,FALSE)/Millions,0)</f>
        <v>0</v>
      </c>
      <c r="J53" s="3"/>
      <c r="K53" s="43" t="str">
        <f t="shared" si="5"/>
        <v>y</v>
      </c>
      <c r="L53" s="13" t="s">
        <v>518</v>
      </c>
      <c r="M53" s="3"/>
      <c r="N53" s="3"/>
      <c r="O53" s="3"/>
      <c r="P53" s="3"/>
      <c r="Q53" s="3"/>
      <c r="R53" s="3"/>
      <c r="S53" s="3"/>
      <c r="T53" s="3"/>
      <c r="U53" s="3"/>
      <c r="V53" s="3"/>
      <c r="W53" s="3"/>
      <c r="X53" s="3"/>
      <c r="Y53" s="3"/>
      <c r="Z53" s="3"/>
      <c r="AA53" s="3"/>
      <c r="AB53" s="3"/>
      <c r="AC53" s="3"/>
      <c r="AD53" s="3"/>
      <c r="AE53" s="3"/>
      <c r="AF53" s="3"/>
      <c r="AG53" s="3"/>
      <c r="AH53" s="3"/>
      <c r="AI53" s="3"/>
    </row>
    <row r="54" spans="1:92" s="70" customFormat="1" ht="15.75" x14ac:dyDescent="0.25">
      <c r="A54" s="1" t="s">
        <v>301</v>
      </c>
      <c r="B54" s="34"/>
      <c r="C54" s="7" t="s">
        <v>300</v>
      </c>
      <c r="D54" s="16">
        <f>IFERROR(VLOOKUP($A54,FetchFundies[],D$1+1,FALSE)/Millions,0)</f>
        <v>0</v>
      </c>
      <c r="E54" s="16">
        <f>IFERROR(VLOOKUP($A54,FetchFundies[],E$1+1,FALSE)/Millions,0)</f>
        <v>0</v>
      </c>
      <c r="F54" s="16">
        <f>IFERROR(VLOOKUP($A54,FetchFundies[],F$1+1,FALSE)/Millions,0)</f>
        <v>0</v>
      </c>
      <c r="G54" s="16">
        <f>IFERROR(VLOOKUP($A54,FetchFundies[],G$1+1,FALSE)/Millions,0)</f>
        <v>0</v>
      </c>
      <c r="H54" s="16">
        <f>IFERROR(VLOOKUP($A54,FetchFundies[],H$1+1,FALSE)/Millions,0)</f>
        <v>0</v>
      </c>
      <c r="I54" s="16">
        <f>IFERROR(VLOOKUP($A54,FetchFundies[],I$1+1,FALSE)/Millions,0)</f>
        <v>0</v>
      </c>
      <c r="J54" s="3"/>
      <c r="K54" s="43" t="str">
        <f t="shared" si="5"/>
        <v/>
      </c>
      <c r="L54" s="13" t="s">
        <v>533</v>
      </c>
      <c r="M54" s="3"/>
      <c r="N54" s="3"/>
      <c r="O54" s="3"/>
      <c r="P54" s="3"/>
      <c r="Q54" s="3"/>
      <c r="R54" s="3"/>
      <c r="S54" s="3"/>
      <c r="T54" s="3"/>
      <c r="U54" s="3"/>
      <c r="V54" s="3"/>
      <c r="W54" s="3"/>
      <c r="X54" s="3"/>
      <c r="Y54" s="3"/>
      <c r="Z54" s="3"/>
      <c r="AA54" s="3"/>
      <c r="AB54" s="3"/>
      <c r="AC54" s="3"/>
      <c r="AD54" s="3"/>
      <c r="AE54" s="3"/>
      <c r="AF54" s="3"/>
      <c r="AG54" s="3"/>
      <c r="AH54" s="3"/>
      <c r="AI54" s="3"/>
    </row>
    <row r="55" spans="1:92" s="2" customFormat="1" x14ac:dyDescent="0.25">
      <c r="A55" s="1" t="s">
        <v>305</v>
      </c>
      <c r="B55" s="104"/>
      <c r="C55" s="7" t="s">
        <v>304</v>
      </c>
      <c r="D55" s="16">
        <f>IFERROR(VLOOKUP($A55,FetchFundies[],D$1+1,FALSE)/Millions,0)</f>
        <v>-260</v>
      </c>
      <c r="E55" s="16">
        <f>IFERROR(VLOOKUP($A55,FetchFundies[],E$1+1,FALSE)/Millions,0)</f>
        <v>145</v>
      </c>
      <c r="F55" s="16">
        <f>IFERROR(VLOOKUP($A55,FetchFundies[],F$1+1,FALSE)/Millions,0)</f>
        <v>-216</v>
      </c>
      <c r="G55" s="16">
        <f>IFERROR(VLOOKUP($A55,FetchFundies[],G$1+1,FALSE)/Millions,0)</f>
        <v>1152</v>
      </c>
      <c r="H55" s="16">
        <f>IFERROR(VLOOKUP($A55,FetchFundies[],H$1+1,FALSE)/Millions,0)</f>
        <v>-937</v>
      </c>
      <c r="I55" s="16">
        <f>IFERROR(VLOOKUP($A55,FetchFundies[],I$1+1,FALSE)/Millions,0)</f>
        <v>861</v>
      </c>
      <c r="J55" s="3"/>
      <c r="K55" s="43" t="str">
        <f t="shared" si="5"/>
        <v>y</v>
      </c>
      <c r="L55" s="13" t="s">
        <v>525</v>
      </c>
      <c r="M55" s="3"/>
      <c r="N55" s="3"/>
      <c r="O55" s="3"/>
      <c r="P55" s="3"/>
      <c r="Q55" s="3"/>
      <c r="R55" s="3"/>
      <c r="S55" s="3"/>
      <c r="T55" s="3"/>
      <c r="U55" s="3"/>
      <c r="V55" s="3"/>
      <c r="W55" s="3"/>
      <c r="X55" s="3"/>
      <c r="Y55" s="3"/>
      <c r="Z55" s="3"/>
      <c r="AA55" s="3"/>
      <c r="AB55" s="3"/>
      <c r="AC55" s="3"/>
      <c r="AD55" s="3"/>
      <c r="AE55" s="3"/>
      <c r="AF55" s="3"/>
      <c r="AG55" s="3"/>
      <c r="AH55" s="3"/>
      <c r="AI55" s="3"/>
    </row>
    <row r="56" spans="1:92" x14ac:dyDescent="0.25">
      <c r="A56" s="32" t="s">
        <v>309</v>
      </c>
      <c r="B56" s="35"/>
      <c r="C56" s="33" t="s">
        <v>308</v>
      </c>
      <c r="D56" s="21">
        <f>IFERROR(VLOOKUP($A56,FetchFundies[],D$1+1,FALSE)/Millions,0)</f>
        <v>47</v>
      </c>
      <c r="E56" s="21">
        <f>IFERROR(VLOOKUP($A56,FetchFundies[],E$1+1,FALSE)/Millions,0)</f>
        <v>0</v>
      </c>
      <c r="F56" s="21">
        <f>IFERROR(VLOOKUP($A56,FetchFundies[],F$1+1,FALSE)/Millions,0)</f>
        <v>0</v>
      </c>
      <c r="G56" s="21">
        <f>IFERROR(VLOOKUP($A56,FetchFundies[],G$1+1,FALSE)/Millions,0)</f>
        <v>0</v>
      </c>
      <c r="H56" s="21">
        <f>IFERROR(VLOOKUP($A56,FetchFundies[],H$1+1,FALSE)/Millions,0)</f>
        <v>583</v>
      </c>
      <c r="I56" s="21">
        <f>IFERROR(VLOOKUP($A56,FetchFundies[],I$1+1,FALSE)/Millions,0)</f>
        <v>0</v>
      </c>
      <c r="J56" s="3"/>
      <c r="K56" s="43" t="str">
        <f t="shared" si="5"/>
        <v>y</v>
      </c>
      <c r="L56" s="13" t="s">
        <v>526</v>
      </c>
      <c r="M56" s="3"/>
      <c r="N56" s="3"/>
      <c r="O56" s="3"/>
      <c r="P56" s="3"/>
      <c r="Q56" s="3"/>
      <c r="R56" s="3"/>
      <c r="S56" s="3"/>
      <c r="T56" s="3"/>
      <c r="U56" s="3"/>
      <c r="V56" s="3"/>
      <c r="W56" s="3"/>
      <c r="X56" s="3"/>
      <c r="Y56" s="3"/>
      <c r="Z56" s="3"/>
      <c r="AA56" s="3"/>
      <c r="AB56" s="3"/>
      <c r="AC56" s="3"/>
      <c r="AD56" s="3"/>
      <c r="AE56" s="3"/>
      <c r="AF56" s="3"/>
      <c r="AG56" s="3"/>
      <c r="AH56" s="3"/>
      <c r="AI56" s="3"/>
    </row>
    <row r="57" spans="1:92" s="71" customFormat="1" ht="15.75" x14ac:dyDescent="0.25">
      <c r="A57" s="1" t="s">
        <v>81</v>
      </c>
      <c r="B57" s="56"/>
      <c r="C57" s="64" t="s">
        <v>311</v>
      </c>
      <c r="D57" s="65">
        <f t="shared" ref="D57:I57" si="10">IF(ISERROR(D28+D31+D32+D33+D34+D35+D36+D37+D38+D39+D40+D41+D42+D43+D44+D45+D46+D47+D48+D49+D50+D51+D52+D53+D54+D55+D56)," ",D28+D31+D32+D33+D34+D35+D36+D37+D38+D39+D40+D41+D42+D43+D44+D45+D46+D47+D48+D49+D50+D51+D52+D53+D54+D55+D56)</f>
        <v>66478</v>
      </c>
      <c r="E57" s="65">
        <f t="shared" si="10"/>
        <v>69219</v>
      </c>
      <c r="F57" s="65">
        <f t="shared" si="10"/>
        <v>69206</v>
      </c>
      <c r="G57" s="65">
        <f t="shared" si="10"/>
        <v>69275</v>
      </c>
      <c r="H57" s="65">
        <f t="shared" si="10"/>
        <v>67628</v>
      </c>
      <c r="I57" s="65">
        <f t="shared" si="10"/>
        <v>69610</v>
      </c>
      <c r="J57" s="59"/>
      <c r="K57" s="43" t="str">
        <f t="shared" si="5"/>
        <v>y</v>
      </c>
      <c r="L57" s="13" t="s">
        <v>529</v>
      </c>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c r="BS57" s="59"/>
      <c r="BT57" s="59"/>
      <c r="BU57" s="59"/>
      <c r="BV57" s="59"/>
      <c r="BW57" s="59"/>
      <c r="BX57" s="59"/>
      <c r="BY57" s="59"/>
      <c r="BZ57" s="59"/>
      <c r="CA57" s="59"/>
      <c r="CB57" s="59"/>
      <c r="CC57" s="59"/>
      <c r="CD57" s="59"/>
      <c r="CE57" s="59"/>
      <c r="CF57" s="59"/>
      <c r="CG57" s="59"/>
      <c r="CH57" s="59"/>
      <c r="CI57" s="59"/>
      <c r="CJ57" s="59"/>
      <c r="CK57" s="59"/>
      <c r="CL57" s="59"/>
      <c r="CM57" s="59"/>
      <c r="CN57" s="59"/>
    </row>
    <row r="58" spans="1:92" s="5" customFormat="1" x14ac:dyDescent="0.25">
      <c r="A58" s="1" t="s">
        <v>110</v>
      </c>
      <c r="B58" s="28"/>
      <c r="C58" s="7" t="s">
        <v>314</v>
      </c>
      <c r="D58" s="16">
        <f>IFERROR(VLOOKUP($A58,FetchFundies[],D$1+1,FALSE)/Millions,0)</f>
        <v>15946</v>
      </c>
      <c r="E58" s="16">
        <f>IFERROR(VLOOKUP($A58,FetchFundies[],E$1+1,FALSE)/Millions,0)</f>
        <v>12332</v>
      </c>
      <c r="F58" s="16">
        <f>IFERROR(VLOOKUP($A58,FetchFundies[],F$1+1,FALSE)/Millions,0)</f>
        <v>11399</v>
      </c>
      <c r="G58" s="16">
        <f>IFERROR(VLOOKUP($A58,FetchFundies[],G$1+1,FALSE)/Millions,0)</f>
        <v>11341</v>
      </c>
      <c r="H58" s="16">
        <f>IFERROR(VLOOKUP($A58,FetchFundies[],H$1+1,FALSE)/Millions,0)</f>
        <v>10167</v>
      </c>
      <c r="I58" s="16">
        <f>IFERROR(VLOOKUP($A58,FetchFundies[],I$1+1,FALSE)/Millions,0)</f>
        <v>4637</v>
      </c>
      <c r="J58" s="4"/>
      <c r="K58" s="43" t="str">
        <f t="shared" si="5"/>
        <v>y</v>
      </c>
      <c r="L58" s="13" t="s">
        <v>548</v>
      </c>
      <c r="M58" s="4"/>
      <c r="N58" s="4"/>
      <c r="O58" s="4"/>
      <c r="P58" s="4"/>
      <c r="Q58" s="4"/>
      <c r="R58" s="4"/>
      <c r="S58" s="4"/>
      <c r="T58" s="4"/>
      <c r="U58" s="4"/>
      <c r="V58" s="4"/>
      <c r="W58" s="4"/>
      <c r="X58" s="4"/>
      <c r="Y58" s="4"/>
      <c r="Z58" s="4"/>
      <c r="AA58" s="4"/>
      <c r="AB58" s="4"/>
      <c r="AC58" s="4"/>
      <c r="AD58" s="4"/>
      <c r="AE58" s="4"/>
      <c r="AF58" s="4"/>
      <c r="AG58" s="4"/>
      <c r="AH58" s="4"/>
      <c r="AI58" s="4"/>
    </row>
    <row r="59" spans="1:92" s="5" customFormat="1" x14ac:dyDescent="0.25">
      <c r="A59" s="1" t="s">
        <v>117</v>
      </c>
      <c r="B59" s="28"/>
      <c r="C59" s="7" t="s">
        <v>317</v>
      </c>
      <c r="D59" s="16">
        <f>IFERROR(VLOOKUP($A59,FetchFundies[],D$1+1,FALSE)/Millions,0)</f>
        <v>2581</v>
      </c>
      <c r="E59" s="16">
        <f>IFERROR(VLOOKUP($A59,FetchFundies[],E$1+1,FALSE)/Millions,0)</f>
        <v>449</v>
      </c>
      <c r="F59" s="16">
        <f>IFERROR(VLOOKUP($A59,FetchFundies[],F$1+1,FALSE)/Millions,0)</f>
        <v>5642</v>
      </c>
      <c r="G59" s="16">
        <f>IFERROR(VLOOKUP($A59,FetchFundies[],G$1+1,FALSE)/Millions,0)</f>
        <v>2619</v>
      </c>
      <c r="H59" s="16">
        <f>IFERROR(VLOOKUP($A59,FetchFundies[],H$1+1,FALSE)/Millions,0)</f>
        <v>731</v>
      </c>
      <c r="I59" s="16">
        <f>IFERROR(VLOOKUP($A59,FetchFundies[],I$1+1,FALSE)/Millions,0)</f>
        <v>-864</v>
      </c>
      <c r="J59" s="4"/>
      <c r="K59" s="43" t="str">
        <f t="shared" si="5"/>
        <v>y</v>
      </c>
      <c r="L59" s="13" t="s">
        <v>555</v>
      </c>
      <c r="M59" s="4"/>
      <c r="N59" s="4"/>
      <c r="O59" s="4"/>
      <c r="P59" s="4"/>
      <c r="Q59" s="4"/>
      <c r="R59" s="4"/>
      <c r="S59" s="4"/>
      <c r="T59" s="4"/>
      <c r="U59" s="4"/>
      <c r="V59" s="4"/>
      <c r="W59" s="4"/>
      <c r="X59" s="4"/>
      <c r="Y59" s="4"/>
      <c r="Z59" s="4"/>
      <c r="AA59" s="4"/>
      <c r="AB59" s="4"/>
      <c r="AC59" s="4"/>
      <c r="AD59" s="4"/>
      <c r="AE59" s="4"/>
      <c r="AF59" s="4"/>
      <c r="AG59" s="4"/>
      <c r="AH59" s="4"/>
      <c r="AI59" s="4"/>
    </row>
    <row r="60" spans="1:92" s="6" customFormat="1" x14ac:dyDescent="0.25">
      <c r="A60" s="1" t="s">
        <v>122</v>
      </c>
      <c r="B60" s="35"/>
      <c r="C60" s="7" t="s">
        <v>320</v>
      </c>
      <c r="D60" s="8">
        <f>IFERROR(VLOOKUP($A60,FetchFundies[],D$1+1,FALSE),0)</f>
        <v>0.16185877336009</v>
      </c>
      <c r="E60" s="8">
        <f>IFERROR(VLOOKUP($A60,FetchFundies[],E$1+1,FALSE),0)</f>
        <v>3.6409341550437901E-2</v>
      </c>
      <c r="F60" s="8">
        <f>IFERROR(VLOOKUP($A60,FetchFundies[],F$1+1,FALSE),0)</f>
        <v>0.49495569786823401</v>
      </c>
      <c r="G60" s="8">
        <f>IFERROR(VLOOKUP($A60,FetchFundies[],G$1+1,FALSE),0)</f>
        <v>0.230932016577021</v>
      </c>
      <c r="H60" s="8">
        <f>IFERROR(VLOOKUP($A60,FetchFundies[],H$1+1,FALSE),0)</f>
        <v>7.1899281990754405E-2</v>
      </c>
      <c r="I60" s="8">
        <f>IFERROR(VLOOKUP($A60,FetchFundies[],I$1+1,FALSE),0)</f>
        <v>-0.18632736683200299</v>
      </c>
      <c r="J60" s="8"/>
      <c r="K60" s="43" t="str">
        <f t="shared" si="5"/>
        <v>y</v>
      </c>
      <c r="L60" s="13" t="s">
        <v>556</v>
      </c>
      <c r="M60" s="8"/>
      <c r="N60" s="8"/>
      <c r="O60" s="8"/>
      <c r="P60" s="8"/>
      <c r="Q60" s="8"/>
      <c r="R60" s="8"/>
      <c r="S60" s="8"/>
      <c r="T60" s="8"/>
      <c r="U60" s="8"/>
      <c r="V60" s="8"/>
      <c r="W60" s="8"/>
      <c r="X60" s="8"/>
      <c r="Y60" s="8"/>
      <c r="Z60" s="8"/>
      <c r="AA60" s="8"/>
      <c r="AB60" s="8"/>
      <c r="AC60" s="8"/>
      <c r="AD60" s="8"/>
      <c r="AE60" s="8"/>
      <c r="AF60" s="8"/>
      <c r="AG60" s="8"/>
      <c r="AH60" s="8"/>
      <c r="AI60" s="8"/>
    </row>
    <row r="61" spans="1:92" s="2" customFormat="1" x14ac:dyDescent="0.25">
      <c r="A61" s="1" t="s">
        <v>75</v>
      </c>
      <c r="B61" s="34"/>
      <c r="C61" s="7" t="s">
        <v>323</v>
      </c>
      <c r="D61" s="16">
        <f>IFERROR(VLOOKUP($A61,FetchFundies[],D$1+1,FALSE)/Millions,0)</f>
        <v>0</v>
      </c>
      <c r="E61" s="16">
        <f>IFERROR(VLOOKUP($A61,FetchFundies[],E$1+1,FALSE)/Millions,0)</f>
        <v>0</v>
      </c>
      <c r="F61" s="16">
        <f>IFERROR(VLOOKUP($A61,FetchFundies[],F$1+1,FALSE)/Millions,0)</f>
        <v>0</v>
      </c>
      <c r="G61" s="16">
        <f>IFERROR(VLOOKUP($A61,FetchFundies[],G$1+1,FALSE)/Millions,0)</f>
        <v>0</v>
      </c>
      <c r="H61" s="16">
        <f>IFERROR(VLOOKUP($A61,FetchFundies[],H$1+1,FALSE)/Millions,0)</f>
        <v>0</v>
      </c>
      <c r="I61" s="16">
        <f>IFERROR(VLOOKUP($A61,FetchFundies[],I$1+1,FALSE)/Millions,0)</f>
        <v>0</v>
      </c>
      <c r="J61" s="3"/>
      <c r="K61" s="43" t="str">
        <f t="shared" si="5"/>
        <v/>
      </c>
      <c r="L61" s="13" t="s">
        <v>594</v>
      </c>
      <c r="M61" s="3"/>
      <c r="N61" s="3"/>
      <c r="O61" s="3"/>
      <c r="P61" s="3"/>
      <c r="Q61" s="3"/>
      <c r="R61" s="3"/>
      <c r="S61" s="3"/>
      <c r="T61" s="3"/>
      <c r="U61" s="3"/>
      <c r="V61" s="3"/>
      <c r="W61" s="3"/>
      <c r="X61" s="3"/>
      <c r="Y61" s="3"/>
      <c r="Z61" s="3"/>
      <c r="AA61" s="3"/>
      <c r="AB61" s="3"/>
      <c r="AC61" s="3"/>
      <c r="AD61" s="3"/>
      <c r="AE61" s="3"/>
      <c r="AF61" s="3"/>
      <c r="AG61" s="3"/>
      <c r="AH61" s="3"/>
      <c r="AI61" s="3"/>
    </row>
    <row r="62" spans="1:92" s="2" customFormat="1" x14ac:dyDescent="0.25">
      <c r="A62" s="1" t="s">
        <v>327</v>
      </c>
      <c r="B62" s="34"/>
      <c r="C62" s="7" t="s">
        <v>326</v>
      </c>
      <c r="D62" s="16">
        <f>IFERROR(VLOOKUP($A62,FetchFundies[],D$1+1,FALSE)/Millions,0)</f>
        <v>0</v>
      </c>
      <c r="E62" s="16">
        <f>IFERROR(VLOOKUP($A62,FetchFundies[],E$1+1,FALSE)/Millions,0)</f>
        <v>0</v>
      </c>
      <c r="F62" s="16">
        <f>IFERROR(VLOOKUP($A62,FetchFundies[],F$1+1,FALSE)/Millions,0)</f>
        <v>0</v>
      </c>
      <c r="G62" s="16">
        <f>IFERROR(VLOOKUP($A62,FetchFundies[],G$1+1,FALSE)/Millions,0)</f>
        <v>0</v>
      </c>
      <c r="H62" s="16">
        <f>IFERROR(VLOOKUP($A62,FetchFundies[],H$1+1,FALSE)/Millions,0)</f>
        <v>0</v>
      </c>
      <c r="I62" s="16">
        <f>IFERROR(VLOOKUP($A62,FetchFundies[],I$1+1,FALSE)/Millions,0)</f>
        <v>0</v>
      </c>
      <c r="J62" s="3"/>
      <c r="K62" s="43" t="str">
        <f t="shared" si="5"/>
        <v/>
      </c>
      <c r="L62" s="13" t="s">
        <v>508</v>
      </c>
      <c r="M62" s="3"/>
      <c r="N62" s="3"/>
      <c r="O62" s="3"/>
      <c r="P62" s="3"/>
      <c r="Q62" s="3"/>
      <c r="R62" s="3"/>
      <c r="S62" s="3"/>
      <c r="T62" s="3"/>
      <c r="U62" s="3"/>
      <c r="V62" s="3"/>
      <c r="W62" s="3"/>
      <c r="X62" s="3"/>
      <c r="Y62" s="3"/>
      <c r="Z62" s="3"/>
      <c r="AA62" s="3"/>
      <c r="AB62" s="3"/>
      <c r="AC62" s="3"/>
      <c r="AD62" s="3"/>
      <c r="AE62" s="3"/>
      <c r="AF62" s="3"/>
      <c r="AG62" s="3"/>
      <c r="AH62" s="3"/>
      <c r="AI62" s="3"/>
    </row>
    <row r="63" spans="1:92" s="2" customFormat="1" x14ac:dyDescent="0.25">
      <c r="A63" s="1" t="s">
        <v>331</v>
      </c>
      <c r="B63" s="34"/>
      <c r="C63" s="7" t="s">
        <v>330</v>
      </c>
      <c r="D63" s="16">
        <f>IFERROR(VLOOKUP($A63,FetchFundies[],D$1+1,FALSE)/Millions,0)</f>
        <v>0</v>
      </c>
      <c r="E63" s="16">
        <f>IFERROR(VLOOKUP($A63,FetchFundies[],E$1+1,FALSE)/Millions,0)</f>
        <v>0</v>
      </c>
      <c r="F63" s="16">
        <f>IFERROR(VLOOKUP($A63,FetchFundies[],F$1+1,FALSE)/Millions,0)</f>
        <v>0</v>
      </c>
      <c r="G63" s="16">
        <f>IFERROR(VLOOKUP($A63,FetchFundies[],G$1+1,FALSE)/Millions,0)</f>
        <v>0</v>
      </c>
      <c r="H63" s="16">
        <f>IFERROR(VLOOKUP($A63,FetchFundies[],H$1+1,FALSE)/Millions,0)</f>
        <v>0</v>
      </c>
      <c r="I63" s="16">
        <f>IFERROR(VLOOKUP($A63,FetchFundies[],I$1+1,FALSE)/Millions,0)</f>
        <v>0</v>
      </c>
      <c r="J63" s="3"/>
      <c r="K63" s="43" t="str">
        <f t="shared" si="5"/>
        <v/>
      </c>
      <c r="L63" s="13" t="s">
        <v>509</v>
      </c>
      <c r="M63" s="3"/>
      <c r="N63" s="3"/>
      <c r="O63" s="3"/>
      <c r="P63" s="3"/>
      <c r="Q63" s="3"/>
      <c r="R63" s="3"/>
      <c r="S63" s="3"/>
      <c r="T63" s="3"/>
      <c r="U63" s="3"/>
      <c r="V63" s="3"/>
      <c r="W63" s="3"/>
      <c r="X63" s="3"/>
      <c r="Y63" s="3"/>
      <c r="Z63" s="3"/>
      <c r="AA63" s="3"/>
      <c r="AB63" s="3"/>
      <c r="AC63" s="3"/>
      <c r="AD63" s="3"/>
      <c r="AE63" s="3"/>
      <c r="AF63" s="3"/>
      <c r="AG63" s="3"/>
      <c r="AH63" s="3"/>
      <c r="AI63" s="3"/>
    </row>
    <row r="64" spans="1:92" s="2" customFormat="1" x14ac:dyDescent="0.25">
      <c r="A64" s="1" t="s">
        <v>335</v>
      </c>
      <c r="B64" s="34"/>
      <c r="C64" s="7" t="s">
        <v>334</v>
      </c>
      <c r="D64" s="16">
        <f>IFERROR(VLOOKUP($A64,FetchFundies[],D$1+1,FALSE)/Millions,0)</f>
        <v>174</v>
      </c>
      <c r="E64" s="16">
        <f>IFERROR(VLOOKUP($A64,FetchFundies[],E$1+1,FALSE)/Millions,0)</f>
        <v>9</v>
      </c>
      <c r="F64" s="16">
        <f>IFERROR(VLOOKUP($A64,FetchFundies[],F$1+1,FALSE)/Millions,0)</f>
        <v>5</v>
      </c>
      <c r="G64" s="16">
        <f>IFERROR(VLOOKUP($A64,FetchFundies[],G$1+1,FALSE)/Millions,0)</f>
        <v>-5</v>
      </c>
      <c r="H64" s="16">
        <f>IFERROR(VLOOKUP($A64,FetchFundies[],H$1+1,FALSE)/Millions,0)</f>
        <v>4</v>
      </c>
      <c r="I64" s="16">
        <f>IFERROR(VLOOKUP($A64,FetchFundies[],I$1+1,FALSE)/Millions,0)</f>
        <v>-89</v>
      </c>
      <c r="J64" s="3"/>
      <c r="K64" s="43" t="str">
        <f t="shared" si="5"/>
        <v>y</v>
      </c>
      <c r="L64" s="13" t="s">
        <v>500</v>
      </c>
      <c r="M64" s="3"/>
      <c r="N64" s="3"/>
      <c r="O64" s="3"/>
      <c r="P64" s="3"/>
      <c r="Q64" s="3"/>
      <c r="R64" s="3"/>
      <c r="S64" s="3"/>
      <c r="T64" s="3"/>
      <c r="U64" s="3"/>
      <c r="V64" s="3"/>
      <c r="W64" s="3"/>
      <c r="X64" s="3"/>
      <c r="Y64" s="3"/>
      <c r="Z64" s="3"/>
      <c r="AA64" s="3"/>
      <c r="AB64" s="3"/>
      <c r="AC64" s="3"/>
      <c r="AD64" s="3"/>
      <c r="AE64" s="3"/>
      <c r="AF64" s="3"/>
      <c r="AG64" s="3"/>
      <c r="AH64" s="3"/>
      <c r="AI64" s="3"/>
    </row>
    <row r="65" spans="1:149" s="2" customFormat="1" x14ac:dyDescent="0.25">
      <c r="A65" s="1" t="s">
        <v>338</v>
      </c>
      <c r="B65" s="34"/>
      <c r="C65" s="7" t="s">
        <v>337</v>
      </c>
      <c r="D65" s="16">
        <f>IFERROR(VLOOKUP($A65,FetchFundies[],D$1+1,FALSE)/Millions,0)</f>
        <v>0</v>
      </c>
      <c r="E65" s="16">
        <f>IFERROR(VLOOKUP($A65,FetchFundies[],E$1+1,FALSE)/Millions,0)</f>
        <v>0</v>
      </c>
      <c r="F65" s="16">
        <f>IFERROR(VLOOKUP($A65,FetchFundies[],F$1+1,FALSE)/Millions,0)</f>
        <v>0</v>
      </c>
      <c r="G65" s="16">
        <f>IFERROR(VLOOKUP($A65,FetchFundies[],G$1+1,FALSE)/Millions,0)</f>
        <v>0</v>
      </c>
      <c r="H65" s="16">
        <f>IFERROR(VLOOKUP($A65,FetchFundies[],H$1+1,FALSE)/Millions,0)</f>
        <v>0</v>
      </c>
      <c r="I65" s="16">
        <f>IFERROR(VLOOKUP($A65,FetchFundies[],I$1+1,FALSE)/Millions,0)</f>
        <v>0</v>
      </c>
      <c r="J65" s="3"/>
      <c r="K65" s="43" t="str">
        <f t="shared" si="5"/>
        <v/>
      </c>
      <c r="L65" s="13" t="s">
        <v>499</v>
      </c>
      <c r="M65" s="3"/>
      <c r="N65" s="3"/>
      <c r="O65" s="3"/>
      <c r="P65" s="3"/>
      <c r="Q65" s="3"/>
      <c r="R65" s="3"/>
      <c r="S65" s="3"/>
      <c r="T65" s="3"/>
      <c r="U65" s="3"/>
      <c r="V65" s="3"/>
      <c r="W65" s="3"/>
      <c r="X65" s="3"/>
      <c r="Y65" s="3"/>
      <c r="Z65" s="3"/>
      <c r="AA65" s="3"/>
      <c r="AB65" s="3"/>
      <c r="AC65" s="3"/>
      <c r="AD65" s="3"/>
      <c r="AE65" s="3"/>
      <c r="AF65" s="3"/>
      <c r="AG65" s="3"/>
      <c r="AH65" s="3"/>
      <c r="AI65" s="3"/>
    </row>
    <row r="66" spans="1:149" s="109" customFormat="1" ht="15.75" x14ac:dyDescent="0.25">
      <c r="A66" s="1" t="s">
        <v>342</v>
      </c>
      <c r="B66" s="56"/>
      <c r="C66" s="57" t="s">
        <v>341</v>
      </c>
      <c r="D66" s="58">
        <f t="shared" ref="D66:I66" si="11">D58-D59-D61-D62-D63-D64-D65</f>
        <v>13191</v>
      </c>
      <c r="E66" s="58">
        <f t="shared" si="11"/>
        <v>11874</v>
      </c>
      <c r="F66" s="58">
        <f t="shared" si="11"/>
        <v>5752</v>
      </c>
      <c r="G66" s="58">
        <f t="shared" si="11"/>
        <v>8727</v>
      </c>
      <c r="H66" s="58">
        <f t="shared" si="11"/>
        <v>9432</v>
      </c>
      <c r="I66" s="58">
        <f t="shared" si="11"/>
        <v>5590</v>
      </c>
      <c r="J66" s="59"/>
      <c r="K66" s="43" t="str">
        <f t="shared" si="5"/>
        <v>y</v>
      </c>
      <c r="L66" s="13" t="s">
        <v>677</v>
      </c>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1"/>
      <c r="CP66" s="61"/>
      <c r="CQ66" s="61"/>
      <c r="CR66" s="61"/>
      <c r="CS66" s="61"/>
      <c r="CT66" s="61"/>
      <c r="CU66" s="61"/>
      <c r="CV66" s="61"/>
      <c r="CW66" s="61"/>
      <c r="CX66" s="61"/>
      <c r="CY66" s="61"/>
      <c r="CZ66" s="61"/>
      <c r="DA66" s="61"/>
      <c r="DB66" s="61"/>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61"/>
      <c r="EE66" s="61"/>
      <c r="EF66" s="61"/>
      <c r="EG66" s="61"/>
      <c r="EH66" s="61"/>
      <c r="EI66" s="61"/>
      <c r="EJ66" s="61"/>
      <c r="EK66" s="61"/>
      <c r="EL66" s="61"/>
      <c r="EM66" s="61"/>
      <c r="EN66" s="61"/>
      <c r="EO66" s="61"/>
      <c r="EP66" s="61"/>
      <c r="EQ66" s="61"/>
      <c r="ER66" s="61"/>
      <c r="ES66" s="61"/>
    </row>
    <row r="67" spans="1:149" s="1" customFormat="1" x14ac:dyDescent="0.25">
      <c r="A67" s="1" t="s">
        <v>346</v>
      </c>
      <c r="B67" s="27"/>
      <c r="C67" s="1" t="s">
        <v>345</v>
      </c>
      <c r="D67" s="16">
        <f>IFERROR(VLOOKUP($A67,FetchFundies[],D$1+1,FALSE)/Millions,0)</f>
        <v>1167</v>
      </c>
      <c r="E67" s="16">
        <f>IFERROR(VLOOKUP($A67,FetchFundies[],E$1+1,FALSE)/Millions,0)</f>
        <v>-1317</v>
      </c>
      <c r="F67" s="16">
        <f>IFERROR(VLOOKUP($A67,FetchFundies[],F$1+1,FALSE)/Millions,0)</f>
        <v>-6122</v>
      </c>
      <c r="G67" s="16">
        <f>IFERROR(VLOOKUP($A67,FetchFundies[],G$1+1,FALSE)/Millions,0)</f>
        <v>2975</v>
      </c>
      <c r="H67" s="16">
        <f>IFERROR(VLOOKUP($A67,FetchFundies[],H$1+1,FALSE)/Millions,0)</f>
        <v>705</v>
      </c>
      <c r="I67" s="16">
        <f>IFERROR(VLOOKUP($A67,FetchFundies[],I$1+1,FALSE)/Millions,0)</f>
        <v>-3842</v>
      </c>
      <c r="J67" s="9"/>
      <c r="K67" s="43" t="str">
        <f t="shared" si="5"/>
        <v>y</v>
      </c>
      <c r="L67" s="13" t="s">
        <v>549</v>
      </c>
      <c r="M67" s="9"/>
      <c r="N67" s="9"/>
      <c r="O67" s="9"/>
      <c r="P67" s="9"/>
      <c r="Q67" s="9"/>
      <c r="R67" s="9"/>
      <c r="S67" s="9"/>
      <c r="T67" s="9"/>
      <c r="U67" s="9"/>
      <c r="V67" s="9"/>
      <c r="W67" s="9"/>
      <c r="X67" s="9"/>
      <c r="Y67" s="9"/>
      <c r="Z67" s="9"/>
      <c r="AA67" s="9"/>
      <c r="AB67" s="9"/>
      <c r="AC67" s="9"/>
      <c r="AD67" s="9"/>
      <c r="AE67" s="9"/>
      <c r="AF67" s="9"/>
      <c r="AG67" s="9"/>
      <c r="AH67" s="9"/>
      <c r="AI67" s="9"/>
    </row>
    <row r="68" spans="1:149" s="1" customFormat="1" x14ac:dyDescent="0.25">
      <c r="B68" s="27"/>
      <c r="D68" s="16"/>
      <c r="E68" s="16"/>
      <c r="F68" s="16"/>
      <c r="G68" s="16"/>
      <c r="H68" s="16"/>
      <c r="I68" s="16"/>
      <c r="J68" s="9"/>
      <c r="K68" s="43" t="str">
        <f t="shared" si="5"/>
        <v/>
      </c>
      <c r="L68" s="13"/>
      <c r="M68" s="9"/>
      <c r="N68" s="9"/>
      <c r="O68" s="9"/>
      <c r="P68" s="9"/>
      <c r="Q68" s="9"/>
      <c r="R68" s="9"/>
      <c r="S68" s="9"/>
      <c r="T68" s="9"/>
      <c r="U68" s="9"/>
      <c r="V68" s="9"/>
      <c r="W68" s="9"/>
      <c r="X68" s="9"/>
      <c r="Y68" s="9"/>
      <c r="Z68" s="9"/>
      <c r="AA68" s="9"/>
      <c r="AB68" s="9"/>
      <c r="AC68" s="9"/>
      <c r="AD68" s="9"/>
      <c r="AE68" s="9"/>
      <c r="AF68" s="9"/>
      <c r="AG68" s="9"/>
      <c r="AH68" s="9"/>
      <c r="AI68" s="9"/>
    </row>
    <row r="69" spans="1:149" s="108" customFormat="1" ht="23.25" x14ac:dyDescent="0.25">
      <c r="B69" s="126" t="s">
        <v>431</v>
      </c>
      <c r="C69" s="125"/>
      <c r="D69" s="168"/>
      <c r="E69" s="168"/>
      <c r="F69" s="168"/>
      <c r="G69" s="168"/>
      <c r="H69" s="168"/>
      <c r="I69" s="168"/>
      <c r="J69" s="107"/>
      <c r="K69" s="43" t="str">
        <f t="shared" si="5"/>
        <v>y</v>
      </c>
      <c r="L69" s="44"/>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row>
    <row r="70" spans="1:149" s="108" customFormat="1" ht="23.25" x14ac:dyDescent="0.25">
      <c r="B70" s="127" t="s">
        <v>424</v>
      </c>
      <c r="C70" s="101"/>
      <c r="D70" s="107"/>
      <c r="E70" s="107"/>
      <c r="F70" s="107"/>
      <c r="G70" s="107"/>
      <c r="H70" s="107"/>
      <c r="I70" s="107"/>
      <c r="J70" s="107"/>
      <c r="K70" s="43" t="str">
        <f t="shared" si="5"/>
        <v>y</v>
      </c>
      <c r="L70" s="44"/>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row>
    <row r="71" spans="1:149" x14ac:dyDescent="0.25">
      <c r="A71" s="1" t="s">
        <v>190</v>
      </c>
      <c r="C71" s="14" t="s">
        <v>189</v>
      </c>
      <c r="D71" s="16">
        <f>IFERROR(VLOOKUP($A71,FetchFundies[],D$1+1,FALSE)/Millions,0)</f>
        <v>8194</v>
      </c>
      <c r="E71" s="16">
        <f>IFERROR(VLOOKUP($A71,FetchFundies[],E$1+1,FALSE)/Millions,0)</f>
        <v>8527</v>
      </c>
      <c r="F71" s="16">
        <f>IFERROR(VLOOKUP($A71,FetchFundies[],F$1+1,FALSE)/Millions,0)</f>
        <v>12580</v>
      </c>
      <c r="G71" s="16">
        <f>IFERROR(VLOOKUP($A71,FetchFundies[],G$1+1,FALSE)/Millions,0)</f>
        <v>11997</v>
      </c>
      <c r="H71" s="16">
        <f>IFERROR(VLOOKUP($A71,FetchFundies[],H$1+1,FALSE)/Millions,0)</f>
        <v>8868</v>
      </c>
      <c r="I71" s="16">
        <f>IFERROR(VLOOKUP($A71,FetchFundies[],I$1+1,FALSE)/Millions,0)</f>
        <v>13812</v>
      </c>
      <c r="J71" s="114"/>
      <c r="K71" s="43" t="str">
        <f t="shared" si="5"/>
        <v>y</v>
      </c>
      <c r="L71" s="13" t="s">
        <v>473</v>
      </c>
    </row>
    <row r="72" spans="1:149" x14ac:dyDescent="0.25">
      <c r="A72" s="1" t="s">
        <v>36</v>
      </c>
      <c r="C72" s="14" t="s">
        <v>193</v>
      </c>
      <c r="D72" s="16">
        <f>IFERROR(VLOOKUP($A72,FetchFundies[],D$1+1,FALSE)/Millions,0)</f>
        <v>0</v>
      </c>
      <c r="E72" s="16">
        <f>IFERROR(VLOOKUP($A72,FetchFundies[],E$1+1,FALSE)/Millions,0)</f>
        <v>0</v>
      </c>
      <c r="F72" s="16">
        <f>IFERROR(VLOOKUP($A72,FetchFundies[],F$1+1,FALSE)/Millions,0)</f>
        <v>0</v>
      </c>
      <c r="G72" s="16">
        <f>IFERROR(VLOOKUP($A72,FetchFundies[],G$1+1,FALSE)/Millions,0)</f>
        <v>0</v>
      </c>
      <c r="H72" s="16">
        <f>IFERROR(VLOOKUP($A72,FetchFundies[],H$1+1,FALSE)/Millions,0)</f>
        <v>0</v>
      </c>
      <c r="I72" s="16">
        <f>IFERROR(VLOOKUP($A72,FetchFundies[],I$1+1,FALSE)/Millions,0)</f>
        <v>0</v>
      </c>
      <c r="K72" s="43" t="str">
        <f t="shared" si="5"/>
        <v/>
      </c>
      <c r="L72" s="13" t="s">
        <v>497</v>
      </c>
    </row>
    <row r="73" spans="1:149" x14ac:dyDescent="0.25">
      <c r="A73" s="1" t="s">
        <v>197</v>
      </c>
      <c r="C73" s="14" t="s">
        <v>196</v>
      </c>
      <c r="D73" s="16">
        <f>IFERROR(VLOOKUP($A73,FetchFundies[],D$1+1,FALSE)/Millions,0)</f>
        <v>0</v>
      </c>
      <c r="E73" s="16">
        <f>IFERROR(VLOOKUP($A73,FetchFundies[],E$1+1,FALSE)/Millions,0)</f>
        <v>0</v>
      </c>
      <c r="F73" s="16">
        <f>IFERROR(VLOOKUP($A73,FetchFundies[],F$1+1,FALSE)/Millions,0)</f>
        <v>0</v>
      </c>
      <c r="G73" s="16">
        <f>IFERROR(VLOOKUP($A73,FetchFundies[],G$1+1,FALSE)/Millions,0)</f>
        <v>225</v>
      </c>
      <c r="H73" s="16">
        <f>IFERROR(VLOOKUP($A73,FetchFundies[],H$1+1,FALSE)/Millions,0)</f>
        <v>141</v>
      </c>
      <c r="I73" s="16">
        <f>IFERROR(VLOOKUP($A73,FetchFundies[],I$1+1,FALSE)/Millions,0)</f>
        <v>463</v>
      </c>
      <c r="K73" s="43" t="str">
        <f t="shared" si="5"/>
        <v>y</v>
      </c>
      <c r="L73" s="13" t="s">
        <v>474</v>
      </c>
    </row>
    <row r="74" spans="1:149" x14ac:dyDescent="0.25">
      <c r="A74" s="1" t="s">
        <v>201</v>
      </c>
      <c r="C74" s="14" t="s">
        <v>200</v>
      </c>
      <c r="D74" s="16">
        <f>IFERROR(VLOOKUP($A74,FetchFundies[],D$1+1,FALSE)/Millions,0)</f>
        <v>0</v>
      </c>
      <c r="E74" s="16">
        <f>IFERROR(VLOOKUP($A74,FetchFundies[],E$1+1,FALSE)/Millions,0)</f>
        <v>0</v>
      </c>
      <c r="F74" s="16">
        <f>IFERROR(VLOOKUP($A74,FetchFundies[],F$1+1,FALSE)/Millions,0)</f>
        <v>0</v>
      </c>
      <c r="G74" s="16">
        <f>IFERROR(VLOOKUP($A74,FetchFundies[],G$1+1,FALSE)/Millions,0)</f>
        <v>0</v>
      </c>
      <c r="H74" s="16">
        <f>IFERROR(VLOOKUP($A74,FetchFundies[],H$1+1,FALSE)/Millions,0)</f>
        <v>0</v>
      </c>
      <c r="I74" s="16">
        <f>IFERROR(VLOOKUP($A74,FetchFundies[],I$1+1,FALSE)/Millions,0)</f>
        <v>0</v>
      </c>
      <c r="K74" s="43" t="str">
        <f t="shared" si="5"/>
        <v/>
      </c>
      <c r="L74" s="13" t="s">
        <v>477</v>
      </c>
    </row>
    <row r="75" spans="1:149" x14ac:dyDescent="0.25">
      <c r="A75" s="1" t="s">
        <v>204</v>
      </c>
      <c r="C75" s="14" t="s">
        <v>203</v>
      </c>
      <c r="D75" s="16">
        <f>IFERROR(VLOOKUP($A75,FetchFundies[],D$1+1,FALSE)/Millions,0)</f>
        <v>28554</v>
      </c>
      <c r="E75" s="16">
        <f>IFERROR(VLOOKUP($A75,FetchFundies[],E$1+1,FALSE)/Millions,0)</f>
        <v>29245</v>
      </c>
      <c r="F75" s="16">
        <f>IFERROR(VLOOKUP($A75,FetchFundies[],F$1+1,FALSE)/Millions,0)</f>
        <v>31630</v>
      </c>
      <c r="G75" s="16">
        <f>IFERROR(VLOOKUP($A75,FetchFundies[],G$1+1,FALSE)/Millions,0)</f>
        <v>30563</v>
      </c>
      <c r="H75" s="16">
        <f>IFERROR(VLOOKUP($A75,FetchFundies[],H$1+1,FALSE)/Millions,0)</f>
        <v>23795</v>
      </c>
      <c r="I75" s="16">
        <f>IFERROR(VLOOKUP($A75,FetchFundies[],I$1+1,FALSE)/Millions,0)</f>
        <v>18738</v>
      </c>
      <c r="K75" s="43" t="str">
        <f t="shared" si="5"/>
        <v>y</v>
      </c>
      <c r="L75" s="13" t="s">
        <v>469</v>
      </c>
    </row>
    <row r="76" spans="1:149" x14ac:dyDescent="0.25">
      <c r="A76" s="1" t="s">
        <v>124</v>
      </c>
      <c r="C76" s="14" t="s">
        <v>206</v>
      </c>
      <c r="D76" s="16">
        <f>IFERROR(VLOOKUP($A76,FetchFundies[],D$1+1,FALSE)/Millions,0)</f>
        <v>1551</v>
      </c>
      <c r="E76" s="16">
        <f>IFERROR(VLOOKUP($A76,FetchFundies[],E$1+1,FALSE)/Millions,0)</f>
        <v>1553</v>
      </c>
      <c r="F76" s="16">
        <f>IFERROR(VLOOKUP($A76,FetchFundies[],F$1+1,FALSE)/Millions,0)</f>
        <v>1583</v>
      </c>
      <c r="G76" s="16">
        <f>IFERROR(VLOOKUP($A76,FetchFundies[],G$1+1,FALSE)/Millions,0)</f>
        <v>1682</v>
      </c>
      <c r="H76" s="16">
        <f>IFERROR(VLOOKUP($A76,FetchFundies[],H$1+1,FALSE)/Millions,0)</f>
        <v>1619</v>
      </c>
      <c r="I76" s="16">
        <f>IFERROR(VLOOKUP($A76,FetchFundies[],I$1+1,FALSE)/Millions,0)</f>
        <v>1839</v>
      </c>
      <c r="K76" s="43" t="str">
        <f t="shared" si="5"/>
        <v>y</v>
      </c>
      <c r="L76" s="13" t="s">
        <v>558</v>
      </c>
    </row>
    <row r="77" spans="1:149" x14ac:dyDescent="0.25">
      <c r="A77" s="1" t="s">
        <v>209</v>
      </c>
      <c r="C77" s="14" t="s">
        <v>208</v>
      </c>
      <c r="D77" s="16">
        <f>IFERROR(VLOOKUP($A77,FetchFundies[],D$1+1,FALSE)/Millions,0)</f>
        <v>0</v>
      </c>
      <c r="E77" s="16">
        <f>IFERROR(VLOOKUP($A77,FetchFundies[],E$1+1,FALSE)/Millions,0)</f>
        <v>0</v>
      </c>
      <c r="F77" s="16">
        <f>IFERROR(VLOOKUP($A77,FetchFundies[],F$1+1,FALSE)/Millions,0)</f>
        <v>0</v>
      </c>
      <c r="G77" s="16">
        <f>IFERROR(VLOOKUP($A77,FetchFundies[],G$1+1,FALSE)/Millions,0)</f>
        <v>0</v>
      </c>
      <c r="H77" s="16">
        <f>IFERROR(VLOOKUP($A77,FetchFundies[],H$1+1,FALSE)/Millions,0)</f>
        <v>0</v>
      </c>
      <c r="I77" s="16">
        <f>IFERROR(VLOOKUP($A77,FetchFundies[],I$1+1,FALSE)/Millions,0)</f>
        <v>0</v>
      </c>
      <c r="K77" s="43" t="str">
        <f t="shared" si="5"/>
        <v/>
      </c>
      <c r="L77" s="13" t="s">
        <v>476</v>
      </c>
    </row>
    <row r="78" spans="1:149" x14ac:dyDescent="0.25">
      <c r="A78" s="1" t="s">
        <v>212</v>
      </c>
      <c r="C78" s="14" t="s">
        <v>211</v>
      </c>
      <c r="D78" s="16">
        <f>IFERROR(VLOOKUP($A78,FetchFundies[],D$1+1,FALSE)/Millions,0)</f>
        <v>0</v>
      </c>
      <c r="E78" s="16">
        <f>IFERROR(VLOOKUP($A78,FetchFundies[],E$1+1,FALSE)/Millions,0)</f>
        <v>0</v>
      </c>
      <c r="F78" s="16">
        <f>IFERROR(VLOOKUP($A78,FetchFundies[],F$1+1,FALSE)/Millions,0)</f>
        <v>0</v>
      </c>
      <c r="G78" s="16">
        <f>IFERROR(VLOOKUP($A78,FetchFundies[],G$1+1,FALSE)/Millions,0)</f>
        <v>0</v>
      </c>
      <c r="H78" s="16">
        <f>IFERROR(VLOOKUP($A78,FetchFundies[],H$1+1,FALSE)/Millions,0)</f>
        <v>0</v>
      </c>
      <c r="I78" s="16">
        <f>IFERROR(VLOOKUP($A78,FetchFundies[],I$1+1,FALSE)/Millions,0)</f>
        <v>0</v>
      </c>
      <c r="K78" s="43" t="str">
        <f t="shared" si="5"/>
        <v/>
      </c>
      <c r="L78" s="13" t="s">
        <v>479</v>
      </c>
    </row>
    <row r="79" spans="1:149" x14ac:dyDescent="0.25">
      <c r="A79" s="1" t="s">
        <v>299</v>
      </c>
      <c r="C79" s="14" t="s">
        <v>213</v>
      </c>
      <c r="D79" s="16">
        <f>IFERROR(VLOOKUP($A79,FetchFundies[],D$1+1,FALSE)/Millions,0)</f>
        <v>0</v>
      </c>
      <c r="E79" s="16">
        <f>IFERROR(VLOOKUP($A79,FetchFundies[],E$1+1,FALSE)/Millions,0)</f>
        <v>0</v>
      </c>
      <c r="F79" s="16">
        <f>IFERROR(VLOOKUP($A79,FetchFundies[],F$1+1,FALSE)/Millions,0)</f>
        <v>0</v>
      </c>
      <c r="G79" s="16">
        <f>IFERROR(VLOOKUP($A79,FetchFundies[],G$1+1,FALSE)/Millions,0)</f>
        <v>0</v>
      </c>
      <c r="H79" s="16">
        <f>IFERROR(VLOOKUP($A79,FetchFundies[],H$1+1,FALSE)/Millions,0)</f>
        <v>0</v>
      </c>
      <c r="I79" s="16">
        <f>IFERROR(VLOOKUP($A79,FetchFundies[],I$1+1,FALSE)/Millions,0)</f>
        <v>0</v>
      </c>
      <c r="K79" s="43" t="str">
        <f t="shared" ref="K79:K142" si="12">IF(B79&lt;&gt;"","y",IF(SUM(E79:I79)=0,"","y"))</f>
        <v/>
      </c>
      <c r="L79" s="13" t="s">
        <v>577</v>
      </c>
    </row>
    <row r="80" spans="1:149" x14ac:dyDescent="0.25">
      <c r="A80" s="1" t="s">
        <v>216</v>
      </c>
      <c r="C80" s="14" t="s">
        <v>215</v>
      </c>
      <c r="D80" s="16">
        <f>IFERROR(VLOOKUP($A80,FetchFundies[],D$1+1,FALSE)/Millions,0)</f>
        <v>4205</v>
      </c>
      <c r="E80" s="16">
        <f>IFERROR(VLOOKUP($A80,FetchFundies[],E$1+1,FALSE)/Millions,0)</f>
        <v>4564</v>
      </c>
      <c r="F80" s="16">
        <f>IFERROR(VLOOKUP($A80,FetchFundies[],F$1+1,FALSE)/Millions,0)</f>
        <v>3942</v>
      </c>
      <c r="G80" s="16">
        <f>IFERROR(VLOOKUP($A80,FetchFundies[],G$1+1,FALSE)/Millions,0)</f>
        <v>4678</v>
      </c>
      <c r="H80" s="16">
        <f>IFERROR(VLOOKUP($A80,FetchFundies[],H$1+1,FALSE)/Millions,0)</f>
        <v>3997</v>
      </c>
      <c r="I80" s="16">
        <f>IFERROR(VLOOKUP($A80,FetchFundies[],I$1+1,FALSE)/Millions,0)</f>
        <v>4313</v>
      </c>
      <c r="K80" s="43" t="str">
        <f t="shared" si="12"/>
        <v>y</v>
      </c>
      <c r="L80" s="13" t="s">
        <v>480</v>
      </c>
    </row>
    <row r="81" spans="1:35" x14ac:dyDescent="0.25">
      <c r="A81" s="1" t="s">
        <v>220</v>
      </c>
      <c r="C81" s="14" t="s">
        <v>219</v>
      </c>
      <c r="D81" s="16">
        <f>IFERROR(VLOOKUP($A81,FetchFundies[],D$1+1,FALSE)/Millions,0)</f>
        <v>0</v>
      </c>
      <c r="E81" s="16">
        <f>IFERROR(VLOOKUP($A81,FetchFundies[],E$1+1,FALSE)/Millions,0)</f>
        <v>0</v>
      </c>
      <c r="F81" s="16">
        <f>IFERROR(VLOOKUP($A81,FetchFundies[],F$1+1,FALSE)/Millions,0)</f>
        <v>0</v>
      </c>
      <c r="G81" s="16">
        <f>IFERROR(VLOOKUP($A81,FetchFundies[],G$1+1,FALSE)/Millions,0)</f>
        <v>0</v>
      </c>
      <c r="H81" s="16">
        <f>IFERROR(VLOOKUP($A81,FetchFundies[],H$1+1,FALSE)/Millions,0)</f>
        <v>0</v>
      </c>
      <c r="I81" s="16">
        <f>IFERROR(VLOOKUP($A81,FetchFundies[],I$1+1,FALSE)/Millions,0)</f>
        <v>0</v>
      </c>
      <c r="K81" s="43" t="str">
        <f t="shared" si="12"/>
        <v/>
      </c>
      <c r="L81" s="13" t="s">
        <v>475</v>
      </c>
    </row>
    <row r="82" spans="1:35" x14ac:dyDescent="0.25">
      <c r="A82" s="1" t="s">
        <v>310</v>
      </c>
      <c r="C82" s="14" t="s">
        <v>222</v>
      </c>
      <c r="D82" s="16">
        <f>IFERROR(VLOOKUP($A82,FetchFundies[],D$1+1,FALSE)/Millions,0)</f>
        <v>0</v>
      </c>
      <c r="E82" s="16">
        <f>IFERROR(VLOOKUP($A82,FetchFundies[],E$1+1,FALSE)/Millions,0)</f>
        <v>0</v>
      </c>
      <c r="F82" s="16">
        <f>IFERROR(VLOOKUP($A82,FetchFundies[],F$1+1,FALSE)/Millions,0)</f>
        <v>0</v>
      </c>
      <c r="G82" s="16">
        <f>IFERROR(VLOOKUP($A82,FetchFundies[],G$1+1,FALSE)/Millions,0)</f>
        <v>0</v>
      </c>
      <c r="H82" s="16">
        <f>IFERROR(VLOOKUP($A82,FetchFundies[],H$1+1,FALSE)/Millions,0)</f>
        <v>0</v>
      </c>
      <c r="I82" s="16">
        <f>IFERROR(VLOOKUP($A82,FetchFundies[],I$1+1,FALSE)/Millions,0)</f>
        <v>0</v>
      </c>
      <c r="K82" s="43" t="str">
        <f t="shared" si="12"/>
        <v/>
      </c>
      <c r="L82" s="13" t="s">
        <v>571</v>
      </c>
    </row>
    <row r="83" spans="1:35" x14ac:dyDescent="0.25">
      <c r="A83" s="1" t="s">
        <v>225</v>
      </c>
      <c r="C83" s="14" t="s">
        <v>224</v>
      </c>
      <c r="D83" s="16">
        <f>IFERROR(VLOOKUP($A83,FetchFundies[],D$1+1,FALSE)/Millions,0)</f>
        <v>0</v>
      </c>
      <c r="E83" s="16">
        <f>IFERROR(VLOOKUP($A83,FetchFundies[],E$1+1,FALSE)/Millions,0)</f>
        <v>0</v>
      </c>
      <c r="F83" s="16">
        <f>IFERROR(VLOOKUP($A83,FetchFundies[],F$1+1,FALSE)/Millions,0)</f>
        <v>0</v>
      </c>
      <c r="G83" s="16">
        <f>IFERROR(VLOOKUP($A83,FetchFundies[],G$1+1,FALSE)/Millions,0)</f>
        <v>0</v>
      </c>
      <c r="H83" s="16">
        <f>IFERROR(VLOOKUP($A83,FetchFundies[],H$1+1,FALSE)/Millions,0)</f>
        <v>0</v>
      </c>
      <c r="I83" s="16">
        <f>IFERROR(VLOOKUP($A83,FetchFundies[],I$1+1,FALSE)/Millions,0)</f>
        <v>0</v>
      </c>
      <c r="K83" s="43" t="str">
        <f t="shared" si="12"/>
        <v/>
      </c>
      <c r="L83" s="13" t="s">
        <v>478</v>
      </c>
    </row>
    <row r="84" spans="1:35" s="17" customFormat="1" ht="15.75" x14ac:dyDescent="0.25">
      <c r="A84" s="15" t="s">
        <v>228</v>
      </c>
      <c r="B84" s="41"/>
      <c r="C84" s="72" t="s">
        <v>227</v>
      </c>
      <c r="D84" s="58">
        <f t="shared" ref="D84:I84" si="13">IF(ISERROR(D71+D72+D73+D74+D75+D76+D77+D78+D79+D80+D81+D82+D83)," ",D71+D72+D73+D74+D75+D76+D77+D78+D79+D80+D81+D82+D83)</f>
        <v>42504</v>
      </c>
      <c r="E84" s="58">
        <f t="shared" si="13"/>
        <v>43889</v>
      </c>
      <c r="F84" s="58">
        <f t="shared" si="13"/>
        <v>49735</v>
      </c>
      <c r="G84" s="58">
        <f t="shared" si="13"/>
        <v>49145</v>
      </c>
      <c r="H84" s="58">
        <f t="shared" si="13"/>
        <v>38420</v>
      </c>
      <c r="I84" s="58">
        <f t="shared" si="13"/>
        <v>39165</v>
      </c>
      <c r="J84" s="25"/>
      <c r="K84" s="43" t="str">
        <f t="shared" si="12"/>
        <v>y</v>
      </c>
      <c r="L84" s="13" t="s">
        <v>472</v>
      </c>
      <c r="M84" s="18"/>
      <c r="N84" s="18"/>
      <c r="O84" s="18"/>
      <c r="P84" s="18"/>
      <c r="Q84" s="18"/>
      <c r="R84" s="18"/>
      <c r="S84" s="18"/>
      <c r="T84" s="18"/>
      <c r="U84" s="18"/>
      <c r="V84" s="18"/>
      <c r="W84" s="18"/>
      <c r="X84" s="18"/>
      <c r="Y84" s="18"/>
      <c r="Z84" s="18"/>
      <c r="AA84" s="18"/>
      <c r="AB84" s="18"/>
      <c r="AC84" s="18"/>
      <c r="AD84" s="18"/>
      <c r="AE84" s="18"/>
      <c r="AF84" s="18"/>
      <c r="AG84" s="18"/>
      <c r="AH84" s="18"/>
      <c r="AI84" s="18"/>
    </row>
    <row r="85" spans="1:35" s="108" customFormat="1" ht="23.25" x14ac:dyDescent="0.25">
      <c r="B85" s="127" t="s">
        <v>421</v>
      </c>
      <c r="C85" s="127"/>
      <c r="D85" s="45"/>
      <c r="E85" s="45"/>
      <c r="F85" s="45"/>
      <c r="G85" s="45"/>
      <c r="H85" s="45"/>
      <c r="I85" s="45"/>
      <c r="J85" s="107"/>
      <c r="K85" s="43" t="str">
        <f t="shared" si="12"/>
        <v>y</v>
      </c>
      <c r="L85" s="44"/>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row>
    <row r="86" spans="1:35" x14ac:dyDescent="0.25">
      <c r="A86" s="1" t="s">
        <v>231</v>
      </c>
      <c r="C86" s="14" t="s">
        <v>230</v>
      </c>
      <c r="D86" s="16">
        <f>IFERROR(VLOOKUP($A86,FetchFundies[],D$1+1,FALSE)/Millions,0)</f>
        <v>10727</v>
      </c>
      <c r="E86" s="16">
        <f>IFERROR(VLOOKUP($A86,FetchFundies[],E$1+1,FALSE)/Millions,0)</f>
        <v>10830</v>
      </c>
      <c r="F86" s="16">
        <f>IFERROR(VLOOKUP($A86,FetchFundies[],F$1+1,FALSE)/Millions,0)</f>
        <v>11116</v>
      </c>
      <c r="G86" s="16">
        <f>IFERROR(VLOOKUP($A86,FetchFundies[],G$1+1,FALSE)/Millions,0)</f>
        <v>10792</v>
      </c>
      <c r="H86" s="16">
        <f>IFERROR(VLOOKUP($A86,FetchFundies[],H$1+1,FALSE)/Millions,0)</f>
        <v>10010</v>
      </c>
      <c r="I86" s="16">
        <f>IFERROR(VLOOKUP($A86,FetchFundies[],I$1+1,FALSE)/Millions,0)</f>
        <v>10040</v>
      </c>
      <c r="K86" s="43" t="str">
        <f t="shared" si="12"/>
        <v>y</v>
      </c>
      <c r="L86" s="13" t="s">
        <v>579</v>
      </c>
    </row>
    <row r="87" spans="1:35" x14ac:dyDescent="0.25">
      <c r="A87" s="1" t="s">
        <v>234</v>
      </c>
      <c r="C87" s="14" t="s">
        <v>233</v>
      </c>
      <c r="D87" s="16">
        <f>IFERROR(VLOOKUP($A87,FetchFundies[],D$1+1,FALSE)/Millions,0)</f>
        <v>32021</v>
      </c>
      <c r="E87" s="16">
        <f>IFERROR(VLOOKUP($A87,FetchFundies[],E$1+1,FALSE)/Millions,0)</f>
        <v>36199</v>
      </c>
      <c r="F87" s="16">
        <f>IFERROR(VLOOKUP($A87,FetchFundies[],F$1+1,FALSE)/Millions,0)</f>
        <v>36788</v>
      </c>
      <c r="G87" s="16">
        <f>IFERROR(VLOOKUP($A87,FetchFundies[],G$1+1,FALSE)/Millions,0)</f>
        <v>36265</v>
      </c>
      <c r="H87" s="16">
        <f>IFERROR(VLOOKUP($A87,FetchFundies[],H$1+1,FALSE)/Millions,0)</f>
        <v>58222</v>
      </c>
      <c r="I87" s="16">
        <f>IFERROR(VLOOKUP($A87,FetchFundies[],I$1+1,FALSE)/Millions,0)</f>
        <v>59617</v>
      </c>
      <c r="K87" s="43" t="str">
        <f t="shared" si="12"/>
        <v>y</v>
      </c>
      <c r="L87" s="13" t="s">
        <v>541</v>
      </c>
    </row>
    <row r="88" spans="1:35" x14ac:dyDescent="0.25">
      <c r="A88" s="1" t="s">
        <v>237</v>
      </c>
      <c r="C88" s="14" t="s">
        <v>236</v>
      </c>
      <c r="D88" s="16">
        <f>IFERROR(VLOOKUP($A88,FetchFundies[],D$1+1,FALSE)/Millions,0)</f>
        <v>3487</v>
      </c>
      <c r="E88" s="16">
        <f>IFERROR(VLOOKUP($A88,FetchFundies[],E$1+1,FALSE)/Millions,0)</f>
        <v>4688</v>
      </c>
      <c r="F88" s="16">
        <f>IFERROR(VLOOKUP($A88,FetchFundies[],F$1+1,FALSE)/Millions,0)</f>
        <v>3742</v>
      </c>
      <c r="G88" s="16">
        <f>IFERROR(VLOOKUP($A88,FetchFundies[],G$1+1,FALSE)/Millions,0)</f>
        <v>3087</v>
      </c>
      <c r="H88" s="16">
        <f>IFERROR(VLOOKUP($A88,FetchFundies[],H$1+1,FALSE)/Millions,0)</f>
        <v>15235</v>
      </c>
      <c r="I88" s="16">
        <f>IFERROR(VLOOKUP($A88,FetchFundies[],I$1+1,FALSE)/Millions,0)</f>
        <v>13796</v>
      </c>
      <c r="K88" s="43" t="str">
        <f t="shared" si="12"/>
        <v>y</v>
      </c>
      <c r="L88" s="13" t="s">
        <v>540</v>
      </c>
    </row>
    <row r="89" spans="1:35" x14ac:dyDescent="0.25">
      <c r="A89" s="1" t="s">
        <v>240</v>
      </c>
      <c r="C89" s="14" t="s">
        <v>239</v>
      </c>
      <c r="D89" s="16">
        <f>IFERROR(VLOOKUP($A89,FetchFundies[],D$1+1,FALSE)/Millions,0)</f>
        <v>0</v>
      </c>
      <c r="E89" s="16">
        <f>IFERROR(VLOOKUP($A89,FetchFundies[],E$1+1,FALSE)/Millions,0)</f>
        <v>0</v>
      </c>
      <c r="F89" s="16">
        <f>IFERROR(VLOOKUP($A89,FetchFundies[],F$1+1,FALSE)/Millions,0)</f>
        <v>0</v>
      </c>
      <c r="G89" s="16">
        <f>IFERROR(VLOOKUP($A89,FetchFundies[],G$1+1,FALSE)/Millions,0)</f>
        <v>0</v>
      </c>
      <c r="H89" s="16">
        <f>IFERROR(VLOOKUP($A89,FetchFundies[],H$1+1,FALSE)/Millions,0)</f>
        <v>0</v>
      </c>
      <c r="I89" s="16">
        <f>IFERROR(VLOOKUP($A89,FetchFundies[],I$1+1,FALSE)/Millions,0)</f>
        <v>0</v>
      </c>
      <c r="K89" s="43" t="str">
        <f t="shared" si="12"/>
        <v/>
      </c>
      <c r="L89" s="13" t="s">
        <v>498</v>
      </c>
    </row>
    <row r="90" spans="1:35" x14ac:dyDescent="0.25">
      <c r="A90" s="1" t="s">
        <v>243</v>
      </c>
      <c r="C90" s="14" t="s">
        <v>242</v>
      </c>
      <c r="D90" s="16">
        <f>IFERROR(VLOOKUP($A90,FetchFundies[],D$1+1,FALSE)/Millions,0)</f>
        <v>4822</v>
      </c>
      <c r="E90" s="16">
        <f>IFERROR(VLOOKUP($A90,FetchFundies[],E$1+1,FALSE)/Millions,0)</f>
        <v>5224</v>
      </c>
      <c r="F90" s="16">
        <f>IFERROR(VLOOKUP($A90,FetchFundies[],F$1+1,FALSE)/Millions,0)</f>
        <v>4862</v>
      </c>
      <c r="G90" s="16">
        <f>IFERROR(VLOOKUP($A90,FetchFundies[],G$1+1,FALSE)/Millions,0)</f>
        <v>5216</v>
      </c>
      <c r="H90" s="16">
        <f>IFERROR(VLOOKUP($A90,FetchFundies[],H$1+1,FALSE)/Millions,0)</f>
        <v>5182</v>
      </c>
      <c r="I90" s="16">
        <f>IFERROR(VLOOKUP($A90,FetchFundies[],I$1+1,FALSE)/Millions,0)</f>
        <v>9241</v>
      </c>
      <c r="K90" s="43" t="str">
        <f t="shared" si="12"/>
        <v>y</v>
      </c>
      <c r="L90" s="13" t="s">
        <v>483</v>
      </c>
    </row>
    <row r="91" spans="1:35" x14ac:dyDescent="0.25">
      <c r="A91" s="1" t="s">
        <v>336</v>
      </c>
      <c r="C91" s="14" t="s">
        <v>245</v>
      </c>
      <c r="D91" s="16">
        <f>IFERROR(VLOOKUP($A91,FetchFundies[],D$1+1,FALSE)/Millions,0)</f>
        <v>0</v>
      </c>
      <c r="E91" s="16">
        <f>IFERROR(VLOOKUP($A91,FetchFundies[],E$1+1,FALSE)/Millions,0)</f>
        <v>0</v>
      </c>
      <c r="F91" s="16">
        <f>IFERROR(VLOOKUP($A91,FetchFundies[],F$1+1,FALSE)/Millions,0)</f>
        <v>0</v>
      </c>
      <c r="G91" s="16">
        <f>IFERROR(VLOOKUP($A91,FetchFundies[],G$1+1,FALSE)/Millions,0)</f>
        <v>0</v>
      </c>
      <c r="H91" s="16">
        <f>IFERROR(VLOOKUP($A91,FetchFundies[],H$1+1,FALSE)/Millions,0)</f>
        <v>0</v>
      </c>
      <c r="I91" s="16">
        <f>IFERROR(VLOOKUP($A91,FetchFundies[],I$1+1,FALSE)/Millions,0)</f>
        <v>0</v>
      </c>
      <c r="K91" s="43" t="str">
        <f t="shared" si="12"/>
        <v/>
      </c>
      <c r="L91" s="13" t="s">
        <v>567</v>
      </c>
    </row>
    <row r="92" spans="1:35" x14ac:dyDescent="0.25">
      <c r="A92" s="1" t="s">
        <v>248</v>
      </c>
      <c r="C92" s="14" t="s">
        <v>247</v>
      </c>
      <c r="D92" s="16">
        <f>IFERROR(VLOOKUP($A92,FetchFundies[],D$1+1,FALSE)/Millions,0)</f>
        <v>0</v>
      </c>
      <c r="E92" s="16">
        <f>IFERROR(VLOOKUP($A92,FetchFundies[],E$1+1,FALSE)/Millions,0)</f>
        <v>0</v>
      </c>
      <c r="F92" s="16">
        <f>IFERROR(VLOOKUP($A92,FetchFundies[],F$1+1,FALSE)/Millions,0)</f>
        <v>0</v>
      </c>
      <c r="G92" s="16">
        <f>IFERROR(VLOOKUP($A92,FetchFundies[],G$1+1,FALSE)/Millions,0)</f>
        <v>0</v>
      </c>
      <c r="H92" s="16">
        <f>IFERROR(VLOOKUP($A92,FetchFundies[],H$1+1,FALSE)/Millions,0)</f>
        <v>0</v>
      </c>
      <c r="I92" s="16">
        <f>IFERROR(VLOOKUP($A92,FetchFundies[],I$1+1,FALSE)/Millions,0)</f>
        <v>0</v>
      </c>
      <c r="K92" s="43" t="str">
        <f t="shared" si="12"/>
        <v/>
      </c>
      <c r="L92" s="13" t="s">
        <v>485</v>
      </c>
    </row>
    <row r="93" spans="1:35" x14ac:dyDescent="0.25">
      <c r="A93" s="1" t="s">
        <v>251</v>
      </c>
      <c r="C93" s="14" t="s">
        <v>250</v>
      </c>
      <c r="D93" s="16">
        <f>IFERROR(VLOOKUP($A93,FetchFundies[],D$1+1,FALSE)/Millions,0)</f>
        <v>0</v>
      </c>
      <c r="E93" s="16">
        <f>IFERROR(VLOOKUP($A93,FetchFundies[],E$1+1,FALSE)/Millions,0)</f>
        <v>0</v>
      </c>
      <c r="F93" s="16">
        <f>IFERROR(VLOOKUP($A93,FetchFundies[],F$1+1,FALSE)/Millions,0)</f>
        <v>0</v>
      </c>
      <c r="G93" s="16">
        <f>IFERROR(VLOOKUP($A93,FetchFundies[],G$1+1,FALSE)/Millions,0)</f>
        <v>0</v>
      </c>
      <c r="H93" s="16">
        <f>IFERROR(VLOOKUP($A93,FetchFundies[],H$1+1,FALSE)/Millions,0)</f>
        <v>0</v>
      </c>
      <c r="I93" s="16">
        <f>IFERROR(VLOOKUP($A93,FetchFundies[],I$1+1,FALSE)/Millions,0)</f>
        <v>0</v>
      </c>
      <c r="K93" s="43" t="str">
        <f t="shared" si="12"/>
        <v/>
      </c>
      <c r="L93" s="13" t="s">
        <v>486</v>
      </c>
    </row>
    <row r="94" spans="1:35" x14ac:dyDescent="0.25">
      <c r="A94" s="1" t="s">
        <v>254</v>
      </c>
      <c r="C94" s="14" t="s">
        <v>253</v>
      </c>
      <c r="D94" s="16">
        <f>IFERROR(VLOOKUP($A94,FetchFundies[],D$1+1,FALSE)/Millions,0)</f>
        <v>16458</v>
      </c>
      <c r="E94" s="16">
        <f>IFERROR(VLOOKUP($A94,FetchFundies[],E$1+1,FALSE)/Millions,0)</f>
        <v>16537</v>
      </c>
      <c r="F94" s="16">
        <f>IFERROR(VLOOKUP($A94,FetchFundies[],F$1+1,FALSE)/Millions,0)</f>
        <v>18991</v>
      </c>
      <c r="G94" s="16">
        <f>IFERROR(VLOOKUP($A94,FetchFundies[],G$1+1,FALSE)/Millions,0)</f>
        <v>18649</v>
      </c>
      <c r="H94" s="16">
        <f>IFERROR(VLOOKUP($A94,FetchFundies[],H$1+1,FALSE)/Millions,0)</f>
        <v>19899</v>
      </c>
      <c r="I94" s="16">
        <f>IFERROR(VLOOKUP($A94,FetchFundies[],I$1+1,FALSE)/Millions,0)</f>
        <v>19200</v>
      </c>
      <c r="K94" s="43" t="str">
        <f t="shared" si="12"/>
        <v>y</v>
      </c>
      <c r="L94" s="13" t="s">
        <v>487</v>
      </c>
    </row>
    <row r="95" spans="1:35" x14ac:dyDescent="0.25">
      <c r="A95" s="1" t="s">
        <v>257</v>
      </c>
      <c r="C95" s="14" t="s">
        <v>256</v>
      </c>
      <c r="D95" s="16">
        <f>IFERROR(VLOOKUP($A95,FetchFundies[],D$1+1,FALSE)/Millions,0)</f>
        <v>393</v>
      </c>
      <c r="E95" s="16">
        <f>IFERROR(VLOOKUP($A95,FetchFundies[],E$1+1,FALSE)/Millions,0)</f>
        <v>19</v>
      </c>
      <c r="F95" s="16">
        <f>IFERROR(VLOOKUP($A95,FetchFundies[],F$1+1,FALSE)/Millions,0)</f>
        <v>32</v>
      </c>
      <c r="G95" s="16">
        <f>IFERROR(VLOOKUP($A95,FetchFundies[],G$1+1,FALSE)/Millions,0)</f>
        <v>34</v>
      </c>
      <c r="H95" s="16">
        <f>IFERROR(VLOOKUP($A95,FetchFundies[],H$1+1,FALSE)/Millions,0)</f>
        <v>38</v>
      </c>
      <c r="I95" s="16">
        <f>IFERROR(VLOOKUP($A95,FetchFundies[],I$1+1,FALSE)/Millions,0)</f>
        <v>54</v>
      </c>
      <c r="K95" s="43" t="str">
        <f t="shared" si="12"/>
        <v>y</v>
      </c>
      <c r="L95" s="13" t="s">
        <v>496</v>
      </c>
    </row>
    <row r="96" spans="1:35" x14ac:dyDescent="0.25">
      <c r="A96" s="1" t="s">
        <v>261</v>
      </c>
      <c r="C96" s="14" t="s">
        <v>260</v>
      </c>
      <c r="D96" s="16">
        <f>IFERROR(VLOOKUP($A96,FetchFundies[],D$1+1,FALSE)/Millions,0)</f>
        <v>82</v>
      </c>
      <c r="E96" s="16">
        <f>IFERROR(VLOOKUP($A96,FetchFundies[],E$1+1,FALSE)/Millions,0)</f>
        <v>85</v>
      </c>
      <c r="F96" s="16">
        <f>IFERROR(VLOOKUP($A96,FetchFundies[],F$1+1,FALSE)/Millions,0)</f>
        <v>90</v>
      </c>
      <c r="G96" s="16">
        <f>IFERROR(VLOOKUP($A96,FetchFundies[],G$1+1,FALSE)/Millions,0)</f>
        <v>192</v>
      </c>
      <c r="H96" s="16">
        <f>IFERROR(VLOOKUP($A96,FetchFundies[],H$1+1,FALSE)/Millions,0)</f>
        <v>184</v>
      </c>
      <c r="I96" s="16">
        <f>IFERROR(VLOOKUP($A96,FetchFundies[],I$1+1,FALSE)/Millions,0)</f>
        <v>172</v>
      </c>
      <c r="K96" s="43" t="str">
        <f t="shared" si="12"/>
        <v>y</v>
      </c>
      <c r="L96" s="13" t="s">
        <v>488</v>
      </c>
    </row>
    <row r="97" spans="1:35" x14ac:dyDescent="0.25">
      <c r="A97" s="1" t="s">
        <v>265</v>
      </c>
      <c r="C97" s="14" t="s">
        <v>264</v>
      </c>
      <c r="D97" s="16">
        <f>IFERROR(VLOOKUP($A97,FetchFundies[],D$1+1,FALSE)/Millions,0)</f>
        <v>0</v>
      </c>
      <c r="E97" s="16">
        <f>IFERROR(VLOOKUP($A97,FetchFundies[],E$1+1,FALSE)/Millions,0)</f>
        <v>0</v>
      </c>
      <c r="F97" s="16">
        <f>IFERROR(VLOOKUP($A97,FetchFundies[],F$1+1,FALSE)/Millions,0)</f>
        <v>0</v>
      </c>
      <c r="G97" s="16">
        <f>IFERROR(VLOOKUP($A97,FetchFundies[],G$1+1,FALSE)/Millions,0)</f>
        <v>0</v>
      </c>
      <c r="H97" s="16">
        <f>IFERROR(VLOOKUP($A97,FetchFundies[],H$1+1,FALSE)/Millions,0)</f>
        <v>0</v>
      </c>
      <c r="I97" s="16">
        <f>IFERROR(VLOOKUP($A97,FetchFundies[],I$1+1,FALSE)/Millions,0)</f>
        <v>0</v>
      </c>
      <c r="K97" s="43" t="str">
        <f t="shared" si="12"/>
        <v/>
      </c>
      <c r="L97" s="13" t="s">
        <v>482</v>
      </c>
    </row>
    <row r="98" spans="1:35" x14ac:dyDescent="0.25">
      <c r="A98" s="1" t="s">
        <v>347</v>
      </c>
      <c r="C98" s="14" t="s">
        <v>268</v>
      </c>
      <c r="D98" s="16">
        <f>IFERROR(VLOOKUP($A98,FetchFundies[],D$1+1,FALSE)/Millions,0)</f>
        <v>0</v>
      </c>
      <c r="E98" s="16">
        <f>IFERROR(VLOOKUP($A98,FetchFundies[],E$1+1,FALSE)/Millions,0)</f>
        <v>0</v>
      </c>
      <c r="F98" s="16">
        <f>IFERROR(VLOOKUP($A98,FetchFundies[],F$1+1,FALSE)/Millions,0)</f>
        <v>0</v>
      </c>
      <c r="G98" s="16">
        <f>IFERROR(VLOOKUP($A98,FetchFundies[],G$1+1,FALSE)/Millions,0)</f>
        <v>0</v>
      </c>
      <c r="H98" s="16">
        <f>IFERROR(VLOOKUP($A98,FetchFundies[],H$1+1,FALSE)/Millions,0)</f>
        <v>0</v>
      </c>
      <c r="I98" s="16">
        <f>IFERROR(VLOOKUP($A98,FetchFundies[],I$1+1,FALSE)/Millions,0)</f>
        <v>0</v>
      </c>
      <c r="K98" s="43" t="str">
        <f t="shared" si="12"/>
        <v/>
      </c>
      <c r="L98" s="13" t="s">
        <v>565</v>
      </c>
    </row>
    <row r="99" spans="1:35" x14ac:dyDescent="0.25">
      <c r="A99" s="1" t="s">
        <v>272</v>
      </c>
      <c r="C99" s="14" t="s">
        <v>271</v>
      </c>
      <c r="D99" s="16">
        <f>IFERROR(VLOOKUP($A99,FetchFundies[],D$1+1,FALSE)/Millions,0)</f>
        <v>0</v>
      </c>
      <c r="E99" s="16">
        <f>IFERROR(VLOOKUP($A99,FetchFundies[],E$1+1,FALSE)/Millions,0)</f>
        <v>0</v>
      </c>
      <c r="F99" s="16">
        <f>IFERROR(VLOOKUP($A99,FetchFundies[],F$1+1,FALSE)/Millions,0)</f>
        <v>0</v>
      </c>
      <c r="G99" s="16">
        <f>IFERROR(VLOOKUP($A99,FetchFundies[],G$1+1,FALSE)/Millions,0)</f>
        <v>0</v>
      </c>
      <c r="H99" s="16">
        <f>IFERROR(VLOOKUP($A99,FetchFundies[],H$1+1,FALSE)/Millions,0)</f>
        <v>4996</v>
      </c>
      <c r="I99" s="16">
        <f>IFERROR(VLOOKUP($A99,FetchFundies[],I$1+1,FALSE)/Millions,0)</f>
        <v>4686</v>
      </c>
      <c r="K99" s="43" t="str">
        <f t="shared" si="12"/>
        <v>y</v>
      </c>
      <c r="L99" s="13" t="s">
        <v>484</v>
      </c>
    </row>
    <row r="100" spans="1:35" ht="15.75" x14ac:dyDescent="0.25">
      <c r="A100" s="1" t="s">
        <v>276</v>
      </c>
      <c r="B100" s="41"/>
      <c r="C100" s="72" t="s">
        <v>275</v>
      </c>
      <c r="D100" s="58">
        <f t="shared" ref="D100:I100" si="14">IF(ISERROR(D86+D87+D88+D89+D90+D91+D92+D93+D94+D95+D96+D97+D98+D99)," ",D86+D87+D88+D89+D90+D91+D92+D93+D94+D95+D96+D97+D98+D99)</f>
        <v>67990</v>
      </c>
      <c r="E100" s="58">
        <f t="shared" si="14"/>
        <v>73582</v>
      </c>
      <c r="F100" s="58">
        <f t="shared" si="14"/>
        <v>75621</v>
      </c>
      <c r="G100" s="58">
        <f t="shared" si="14"/>
        <v>74235</v>
      </c>
      <c r="H100" s="58">
        <f t="shared" si="14"/>
        <v>113766</v>
      </c>
      <c r="I100" s="58">
        <f t="shared" si="14"/>
        <v>116806</v>
      </c>
      <c r="K100" s="43" t="str">
        <f t="shared" si="12"/>
        <v>y</v>
      </c>
      <c r="L100" s="13" t="s">
        <v>481</v>
      </c>
    </row>
    <row r="101" spans="1:35" ht="15.75" x14ac:dyDescent="0.25">
      <c r="A101" s="1" t="s">
        <v>280</v>
      </c>
      <c r="B101" s="41"/>
      <c r="C101" s="73" t="s">
        <v>279</v>
      </c>
      <c r="D101" s="65">
        <f t="shared" ref="D101:I101" si="15">IF(ISERROR(D84+D100)," ",D84+D100)</f>
        <v>110494</v>
      </c>
      <c r="E101" s="65">
        <f t="shared" si="15"/>
        <v>117471</v>
      </c>
      <c r="F101" s="65">
        <f t="shared" si="15"/>
        <v>125356</v>
      </c>
      <c r="G101" s="65">
        <f t="shared" si="15"/>
        <v>123380</v>
      </c>
      <c r="H101" s="65">
        <f t="shared" si="15"/>
        <v>152186</v>
      </c>
      <c r="I101" s="65">
        <f t="shared" si="15"/>
        <v>155971</v>
      </c>
      <c r="K101" s="43" t="str">
        <f t="shared" si="12"/>
        <v>y</v>
      </c>
      <c r="L101" s="13" t="s">
        <v>471</v>
      </c>
    </row>
    <row r="102" spans="1:35" s="108" customFormat="1" ht="46.5" x14ac:dyDescent="0.25">
      <c r="A102" s="74" t="s">
        <v>422</v>
      </c>
      <c r="B102" s="127" t="s">
        <v>428</v>
      </c>
      <c r="C102" s="127"/>
      <c r="D102" s="127"/>
      <c r="E102" s="127"/>
      <c r="F102" s="45"/>
      <c r="G102" s="45"/>
      <c r="H102" s="45"/>
      <c r="I102" s="45"/>
      <c r="J102" s="107"/>
      <c r="K102" s="43" t="str">
        <f t="shared" si="12"/>
        <v>y</v>
      </c>
      <c r="L102" s="44"/>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row>
    <row r="103" spans="1:35" s="108" customFormat="1" ht="23.25" x14ac:dyDescent="0.25">
      <c r="A103" s="74"/>
      <c r="B103" s="127" t="s">
        <v>429</v>
      </c>
      <c r="C103" s="127"/>
      <c r="D103" s="45"/>
      <c r="E103" s="45"/>
      <c r="F103" s="45"/>
      <c r="G103" s="45"/>
      <c r="H103" s="45"/>
      <c r="I103" s="45"/>
      <c r="J103" s="107"/>
      <c r="K103" s="43" t="str">
        <f t="shared" si="12"/>
        <v>y</v>
      </c>
      <c r="L103" s="44"/>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row>
    <row r="104" spans="1:35" x14ac:dyDescent="0.25">
      <c r="A104" s="1" t="s">
        <v>284</v>
      </c>
      <c r="C104" s="14" t="s">
        <v>283</v>
      </c>
      <c r="D104" s="16">
        <f>IFERROR(VLOOKUP($A104,FetchFundies[],D$1+1,FALSE)/Millions,0)</f>
        <v>6028</v>
      </c>
      <c r="E104" s="16">
        <f>IFERROR(VLOOKUP($A104,FetchFundies[],E$1+1,FALSE)/Millions,0)</f>
        <v>6209</v>
      </c>
      <c r="F104" s="16">
        <f>IFERROR(VLOOKUP($A104,FetchFundies[],F$1+1,FALSE)/Millions,0)</f>
        <v>6451</v>
      </c>
      <c r="G104" s="16">
        <f>IFERROR(VLOOKUP($A104,FetchFundies[],G$1+1,FALSE)/Millions,0)</f>
        <v>6558</v>
      </c>
      <c r="H104" s="16">
        <f>IFERROR(VLOOKUP($A104,FetchFundies[],H$1+1,FALSE)/Millions,0)</f>
        <v>4896</v>
      </c>
      <c r="I104" s="16">
        <f>IFERROR(VLOOKUP($A104,FetchFundies[],I$1+1,FALSE)/Millions,0)</f>
        <v>4908</v>
      </c>
      <c r="K104" s="43" t="str">
        <f t="shared" si="12"/>
        <v>y</v>
      </c>
      <c r="L104" s="13" t="s">
        <v>467</v>
      </c>
    </row>
    <row r="105" spans="1:35" x14ac:dyDescent="0.25">
      <c r="A105" s="1" t="s">
        <v>288</v>
      </c>
      <c r="C105" s="14" t="s">
        <v>287</v>
      </c>
      <c r="D105" s="16">
        <f>IFERROR(VLOOKUP($A105,FetchFundies[],D$1+1,FALSE)/Millions,0)</f>
        <v>0</v>
      </c>
      <c r="E105" s="16">
        <f>IFERROR(VLOOKUP($A105,FetchFundies[],E$1+1,FALSE)/Millions,0)</f>
        <v>0</v>
      </c>
      <c r="F105" s="16">
        <f>IFERROR(VLOOKUP($A105,FetchFundies[],F$1+1,FALSE)/Millions,0)</f>
        <v>0</v>
      </c>
      <c r="G105" s="16">
        <f>IFERROR(VLOOKUP($A105,FetchFundies[],G$1+1,FALSE)/Millions,0)</f>
        <v>0</v>
      </c>
      <c r="H105" s="16">
        <f>IFERROR(VLOOKUP($A105,FetchFundies[],H$1+1,FALSE)/Millions,0)</f>
        <v>0</v>
      </c>
      <c r="I105" s="16">
        <f>IFERROR(VLOOKUP($A105,FetchFundies[],I$1+1,FALSE)/Millions,0)</f>
        <v>0</v>
      </c>
      <c r="K105" s="43" t="str">
        <f t="shared" si="12"/>
        <v/>
      </c>
      <c r="L105" s="13" t="s">
        <v>570</v>
      </c>
    </row>
    <row r="106" spans="1:35" x14ac:dyDescent="0.25">
      <c r="A106" s="1" t="s">
        <v>292</v>
      </c>
      <c r="C106" s="14" t="s">
        <v>291</v>
      </c>
      <c r="D106" s="16">
        <f>IFERROR(VLOOKUP($A106,FetchFundies[],D$1+1,FALSE)/Millions,0)</f>
        <v>0</v>
      </c>
      <c r="E106" s="16">
        <f>IFERROR(VLOOKUP($A106,FetchFundies[],E$1+1,FALSE)/Millions,0)</f>
        <v>0</v>
      </c>
      <c r="F106" s="16">
        <f>IFERROR(VLOOKUP($A106,FetchFundies[],F$1+1,FALSE)/Millions,0)</f>
        <v>0</v>
      </c>
      <c r="G106" s="16">
        <f>IFERROR(VLOOKUP($A106,FetchFundies[],G$1+1,FALSE)/Millions,0)</f>
        <v>0</v>
      </c>
      <c r="H106" s="16">
        <f>IFERROR(VLOOKUP($A106,FetchFundies[],H$1+1,FALSE)/Millions,0)</f>
        <v>0</v>
      </c>
      <c r="I106" s="16">
        <f>IFERROR(VLOOKUP($A106,FetchFundies[],I$1+1,FALSE)/Millions,0)</f>
        <v>0</v>
      </c>
      <c r="K106" s="43" t="str">
        <f t="shared" si="12"/>
        <v/>
      </c>
      <c r="L106" s="13" t="s">
        <v>574</v>
      </c>
    </row>
    <row r="107" spans="1:35" x14ac:dyDescent="0.25">
      <c r="A107" s="1" t="s">
        <v>296</v>
      </c>
      <c r="C107" s="14" t="s">
        <v>295</v>
      </c>
      <c r="D107" s="16">
        <f>IFERROR(VLOOKUP($A107,FetchFundies[],D$1+1,FALSE)/Millions,0)</f>
        <v>11021</v>
      </c>
      <c r="E107" s="16">
        <f>IFERROR(VLOOKUP($A107,FetchFundies[],E$1+1,FALSE)/Millions,0)</f>
        <v>11035</v>
      </c>
      <c r="F107" s="16">
        <f>IFERROR(VLOOKUP($A107,FetchFundies[],F$1+1,FALSE)/Millions,0)</f>
        <v>11552</v>
      </c>
      <c r="G107" s="16">
        <f>IFERROR(VLOOKUP($A107,FetchFundies[],G$1+1,FALSE)/Millions,0)</f>
        <v>11165</v>
      </c>
      <c r="H107" s="16">
        <f>IFERROR(VLOOKUP($A107,FetchFundies[],H$1+1,FALSE)/Millions,0)</f>
        <v>12026</v>
      </c>
      <c r="I107" s="16">
        <f>IFERROR(VLOOKUP($A107,FetchFundies[],I$1+1,FALSE)/Millions,0)</f>
        <v>12833</v>
      </c>
      <c r="K107" s="43" t="str">
        <f t="shared" si="12"/>
        <v>y</v>
      </c>
      <c r="L107" s="13" t="s">
        <v>575</v>
      </c>
    </row>
    <row r="108" spans="1:35" x14ac:dyDescent="0.25">
      <c r="A108" s="1" t="s">
        <v>299</v>
      </c>
      <c r="C108" s="14" t="s">
        <v>213</v>
      </c>
      <c r="D108" s="16">
        <f>IFERROR(VLOOKUP($A108,FetchFundies[],D$1+1,FALSE)/Millions,0)</f>
        <v>0</v>
      </c>
      <c r="E108" s="16">
        <f>IFERROR(VLOOKUP($A108,FetchFundies[],E$1+1,FALSE)/Millions,0)</f>
        <v>0</v>
      </c>
      <c r="F108" s="16">
        <f>IFERROR(VLOOKUP($A108,FetchFundies[],F$1+1,FALSE)/Millions,0)</f>
        <v>0</v>
      </c>
      <c r="G108" s="16">
        <f>IFERROR(VLOOKUP($A108,FetchFundies[],G$1+1,FALSE)/Millions,0)</f>
        <v>0</v>
      </c>
      <c r="H108" s="16">
        <f>IFERROR(VLOOKUP($A108,FetchFundies[],H$1+1,FALSE)/Millions,0)</f>
        <v>0</v>
      </c>
      <c r="I108" s="16">
        <f>IFERROR(VLOOKUP($A108,FetchFundies[],I$1+1,FALSE)/Millions,0)</f>
        <v>0</v>
      </c>
      <c r="K108" s="43" t="str">
        <f t="shared" si="12"/>
        <v/>
      </c>
      <c r="L108" s="13" t="s">
        <v>577</v>
      </c>
    </row>
    <row r="109" spans="1:35" x14ac:dyDescent="0.25">
      <c r="A109" s="1" t="s">
        <v>303</v>
      </c>
      <c r="C109" s="14" t="s">
        <v>302</v>
      </c>
      <c r="D109" s="16">
        <f>IFERROR(VLOOKUP($A109,FetchFundies[],D$1+1,FALSE)/Millions,0)</f>
        <v>10760</v>
      </c>
      <c r="E109" s="16">
        <f>IFERROR(VLOOKUP($A109,FetchFundies[],E$1+1,FALSE)/Millions,0)</f>
        <v>11517</v>
      </c>
      <c r="F109" s="16">
        <f>IFERROR(VLOOKUP($A109,FetchFundies[],F$1+1,FALSE)/Millions,0)</f>
        <v>12373</v>
      </c>
      <c r="G109" s="16">
        <f>IFERROR(VLOOKUP($A109,FetchFundies[],G$1+1,FALSE)/Millions,0)</f>
        <v>10297</v>
      </c>
      <c r="H109" s="16">
        <f>IFERROR(VLOOKUP($A109,FetchFundies[],H$1+1,FALSE)/Millions,0)</f>
        <v>10602</v>
      </c>
      <c r="I109" s="16">
        <f>IFERROR(VLOOKUP($A109,FetchFundies[],I$1+1,FALSE)/Millions,0)</f>
        <v>13588</v>
      </c>
      <c r="K109" s="43" t="str">
        <f t="shared" si="12"/>
        <v>y</v>
      </c>
      <c r="L109" s="13" t="s">
        <v>573</v>
      </c>
    </row>
    <row r="110" spans="1:35" x14ac:dyDescent="0.25">
      <c r="A110" s="1" t="s">
        <v>307</v>
      </c>
      <c r="C110" s="14" t="s">
        <v>306</v>
      </c>
      <c r="D110" s="16">
        <f>IFERROR(VLOOKUP($A110,FetchFundies[],D$1+1,FALSE)/Millions,0)</f>
        <v>0</v>
      </c>
      <c r="E110" s="16">
        <f>IFERROR(VLOOKUP($A110,FetchFundies[],E$1+1,FALSE)/Millions,0)</f>
        <v>0</v>
      </c>
      <c r="F110" s="16">
        <f>IFERROR(VLOOKUP($A110,FetchFundies[],F$1+1,FALSE)/Millions,0)</f>
        <v>0</v>
      </c>
      <c r="G110" s="16">
        <f>IFERROR(VLOOKUP($A110,FetchFundies[],G$1+1,FALSE)/Millions,0)</f>
        <v>0</v>
      </c>
      <c r="H110" s="16">
        <f>IFERROR(VLOOKUP($A110,FetchFundies[],H$1+1,FALSE)/Millions,0)</f>
        <v>0</v>
      </c>
      <c r="I110" s="16">
        <f>IFERROR(VLOOKUP($A110,FetchFundies[],I$1+1,FALSE)/Millions,0)</f>
        <v>0</v>
      </c>
      <c r="K110" s="43" t="str">
        <f t="shared" si="12"/>
        <v/>
      </c>
      <c r="L110" s="13" t="s">
        <v>569</v>
      </c>
    </row>
    <row r="111" spans="1:35" x14ac:dyDescent="0.25">
      <c r="A111" s="1" t="s">
        <v>310</v>
      </c>
      <c r="C111" s="14" t="s">
        <v>222</v>
      </c>
      <c r="D111" s="16">
        <f>IFERROR(VLOOKUP($A111,FetchFundies[],D$1+1,FALSE)/Millions,0)</f>
        <v>0</v>
      </c>
      <c r="E111" s="16">
        <f>IFERROR(VLOOKUP($A111,FetchFundies[],E$1+1,FALSE)/Millions,0)</f>
        <v>0</v>
      </c>
      <c r="F111" s="16">
        <f>IFERROR(VLOOKUP($A111,FetchFundies[],F$1+1,FALSE)/Millions,0)</f>
        <v>0</v>
      </c>
      <c r="G111" s="16">
        <f>IFERROR(VLOOKUP($A111,FetchFundies[],G$1+1,FALSE)/Millions,0)</f>
        <v>0</v>
      </c>
      <c r="H111" s="16">
        <f>IFERROR(VLOOKUP($A111,FetchFundies[],H$1+1,FALSE)/Millions,0)</f>
        <v>0</v>
      </c>
      <c r="I111" s="16">
        <f>IFERROR(VLOOKUP($A111,FetchFundies[],I$1+1,FALSE)/Millions,0)</f>
        <v>0</v>
      </c>
      <c r="K111" s="43" t="str">
        <f t="shared" si="12"/>
        <v/>
      </c>
      <c r="L111" s="13" t="s">
        <v>571</v>
      </c>
    </row>
    <row r="112" spans="1:35" x14ac:dyDescent="0.25">
      <c r="A112" s="1" t="s">
        <v>313</v>
      </c>
      <c r="C112" s="14" t="s">
        <v>312</v>
      </c>
      <c r="D112" s="16">
        <f>IFERROR(VLOOKUP($A112,FetchFundies[],D$1+1,FALSE)/Millions,0)</f>
        <v>0</v>
      </c>
      <c r="E112" s="16">
        <f>IFERROR(VLOOKUP($A112,FetchFundies[],E$1+1,FALSE)/Millions,0)</f>
        <v>0</v>
      </c>
      <c r="F112" s="16">
        <f>IFERROR(VLOOKUP($A112,FetchFundies[],F$1+1,FALSE)/Millions,0)</f>
        <v>0</v>
      </c>
      <c r="G112" s="16">
        <f>IFERROR(VLOOKUP($A112,FetchFundies[],G$1+1,FALSE)/Millions,0)</f>
        <v>0</v>
      </c>
      <c r="H112" s="16">
        <f>IFERROR(VLOOKUP($A112,FetchFundies[],H$1+1,FALSE)/Millions,0)</f>
        <v>0</v>
      </c>
      <c r="I112" s="16">
        <f>IFERROR(VLOOKUP($A112,FetchFundies[],I$1+1,FALSE)/Millions,0)</f>
        <v>0</v>
      </c>
      <c r="K112" s="43" t="str">
        <f t="shared" si="12"/>
        <v/>
      </c>
      <c r="L112" s="13" t="s">
        <v>505</v>
      </c>
    </row>
    <row r="113" spans="1:35" x14ac:dyDescent="0.25">
      <c r="A113" s="1" t="s">
        <v>316</v>
      </c>
      <c r="C113" s="14" t="s">
        <v>315</v>
      </c>
      <c r="D113" s="16">
        <f>IFERROR(VLOOKUP($A113,FetchFundies[],D$1+1,FALSE)/Millions,0)</f>
        <v>6461</v>
      </c>
      <c r="E113" s="16">
        <f>IFERROR(VLOOKUP($A113,FetchFundies[],E$1+1,FALSE)/Millions,0)</f>
        <v>7513</v>
      </c>
      <c r="F113" s="16">
        <f>IFERROR(VLOOKUP($A113,FetchFundies[],F$1+1,FALSE)/Millions,0)</f>
        <v>6987</v>
      </c>
      <c r="G113" s="16">
        <f>IFERROR(VLOOKUP($A113,FetchFundies[],G$1+1,FALSE)/Millions,0)</f>
        <v>10207</v>
      </c>
      <c r="H113" s="16">
        <f>IFERROR(VLOOKUP($A113,FetchFundies[],H$1+1,FALSE)/Millions,0)</f>
        <v>8797</v>
      </c>
      <c r="I113" s="16">
        <f>IFERROR(VLOOKUP($A113,FetchFundies[],I$1+1,FALSE)/Millions,0)</f>
        <v>7183</v>
      </c>
      <c r="K113" s="43" t="str">
        <f t="shared" si="12"/>
        <v>y</v>
      </c>
      <c r="L113" s="13" t="s">
        <v>506</v>
      </c>
    </row>
    <row r="114" spans="1:35" x14ac:dyDescent="0.25">
      <c r="A114" s="1" t="s">
        <v>319</v>
      </c>
      <c r="C114" s="14" t="s">
        <v>318</v>
      </c>
      <c r="D114" s="16">
        <f>IFERROR(VLOOKUP($A114,FetchFundies[],D$1+1,FALSE)/Millions,0)</f>
        <v>0</v>
      </c>
      <c r="E114" s="16">
        <f>IFERROR(VLOOKUP($A114,FetchFundies[],E$1+1,FALSE)/Millions,0)</f>
        <v>0</v>
      </c>
      <c r="F114" s="16">
        <f>IFERROR(VLOOKUP($A114,FetchFundies[],F$1+1,FALSE)/Millions,0)</f>
        <v>0</v>
      </c>
      <c r="G114" s="16">
        <f>IFERROR(VLOOKUP($A114,FetchFundies[],G$1+1,FALSE)/Millions,0)</f>
        <v>0</v>
      </c>
      <c r="H114" s="16">
        <f>IFERROR(VLOOKUP($A114,FetchFundies[],H$1+1,FALSE)/Millions,0)</f>
        <v>1380</v>
      </c>
      <c r="I114" s="16">
        <f>IFERROR(VLOOKUP($A114,FetchFundies[],I$1+1,FALSE)/Millions,0)</f>
        <v>1357</v>
      </c>
      <c r="K114" s="43" t="str">
        <f t="shared" si="12"/>
        <v>y</v>
      </c>
      <c r="L114" s="13" t="s">
        <v>572</v>
      </c>
    </row>
    <row r="115" spans="1:35" s="17" customFormat="1" ht="15.75" x14ac:dyDescent="0.25">
      <c r="A115" s="15" t="s">
        <v>322</v>
      </c>
      <c r="B115" s="41"/>
      <c r="C115" s="72" t="s">
        <v>321</v>
      </c>
      <c r="D115" s="58">
        <f t="shared" ref="D115:I115" si="16">IF(ISERROR(D104+D105+D106+D107+D108+D109+D110+D111+D112+D113+D114)," ",D104+D105+D106+D107+D108+D109+D110+D111+D112+D113+D114)</f>
        <v>34270</v>
      </c>
      <c r="E115" s="58">
        <f t="shared" si="16"/>
        <v>36274</v>
      </c>
      <c r="F115" s="58">
        <f t="shared" si="16"/>
        <v>37363</v>
      </c>
      <c r="G115" s="58">
        <f t="shared" si="16"/>
        <v>38227</v>
      </c>
      <c r="H115" s="58">
        <f t="shared" si="16"/>
        <v>37701</v>
      </c>
      <c r="I115" s="58">
        <f t="shared" si="16"/>
        <v>39869</v>
      </c>
      <c r="J115" s="25"/>
      <c r="K115" s="43" t="str">
        <f t="shared" si="12"/>
        <v>y</v>
      </c>
      <c r="L115" s="13" t="s">
        <v>561</v>
      </c>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row>
    <row r="116" spans="1:35" s="108" customFormat="1" ht="59.25" customHeight="1" x14ac:dyDescent="0.25">
      <c r="A116" s="74" t="s">
        <v>423</v>
      </c>
      <c r="B116" s="127" t="s">
        <v>430</v>
      </c>
      <c r="C116" s="127"/>
      <c r="D116" s="127"/>
      <c r="E116" s="127"/>
      <c r="F116" s="45"/>
      <c r="G116" s="45"/>
      <c r="H116" s="45"/>
      <c r="I116" s="45"/>
      <c r="J116" s="107"/>
      <c r="K116" s="43" t="str">
        <f t="shared" si="12"/>
        <v>y</v>
      </c>
      <c r="L116" s="44"/>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row>
    <row r="117" spans="1:35" x14ac:dyDescent="0.25">
      <c r="A117" s="1" t="s">
        <v>325</v>
      </c>
      <c r="B117" s="37"/>
      <c r="C117" s="14" t="s">
        <v>324</v>
      </c>
      <c r="D117" s="16">
        <f>IFERROR(VLOOKUP($A117,FetchFundies[],D$1+1,FALSE)/Millions,0)</f>
        <v>33428</v>
      </c>
      <c r="E117" s="16">
        <f>IFERROR(VLOOKUP($A117,FetchFundies[],E$1+1,FALSE)/Millions,0)</f>
        <v>34655</v>
      </c>
      <c r="F117" s="16">
        <f>IFERROR(VLOOKUP($A117,FetchFundies[],F$1+1,FALSE)/Millions,0)</f>
        <v>39837</v>
      </c>
      <c r="G117" s="16">
        <f>IFERROR(VLOOKUP($A117,FetchFundies[],G$1+1,FALSE)/Millions,0)</f>
        <v>35605</v>
      </c>
      <c r="H117" s="16">
        <f>IFERROR(VLOOKUP($A117,FetchFundies[],H$1+1,FALSE)/Millions,0)</f>
        <v>54102</v>
      </c>
      <c r="I117" s="16">
        <f>IFERROR(VLOOKUP($A117,FetchFundies[],I$1+1,FALSE)/Millions,0)</f>
        <v>54355</v>
      </c>
      <c r="K117" s="43" t="str">
        <f t="shared" si="12"/>
        <v>y</v>
      </c>
      <c r="L117" s="13" t="s">
        <v>562</v>
      </c>
    </row>
    <row r="118" spans="1:35" x14ac:dyDescent="0.25">
      <c r="A118" s="1" t="s">
        <v>329</v>
      </c>
      <c r="B118" s="38"/>
      <c r="C118" s="14" t="s">
        <v>328</v>
      </c>
      <c r="D118" s="16">
        <f>IFERROR(VLOOKUP($A118,FetchFundies[],D$1+1,FALSE)/Millions,0)</f>
        <v>253</v>
      </c>
      <c r="E118" s="16">
        <f>IFERROR(VLOOKUP($A118,FetchFundies[],E$1+1,FALSE)/Millions,0)</f>
        <v>424</v>
      </c>
      <c r="F118" s="16">
        <f>IFERROR(VLOOKUP($A118,FetchFundies[],F$1+1,FALSE)/Millions,0)</f>
        <v>545</v>
      </c>
      <c r="G118" s="16">
        <f>IFERROR(VLOOKUP($A118,FetchFundies[],G$1+1,FALSE)/Millions,0)</f>
        <v>3696</v>
      </c>
      <c r="H118" s="16">
        <f>IFERROR(VLOOKUP($A118,FetchFundies[],H$1+1,FALSE)/Millions,0)</f>
        <v>5230</v>
      </c>
      <c r="I118" s="16">
        <f>IFERROR(VLOOKUP($A118,FetchFundies[],I$1+1,FALSE)/Millions,0)</f>
        <v>5472</v>
      </c>
      <c r="K118" s="43" t="str">
        <f t="shared" si="12"/>
        <v>y</v>
      </c>
      <c r="L118" s="13" t="s">
        <v>564</v>
      </c>
    </row>
    <row r="119" spans="1:35" x14ac:dyDescent="0.25">
      <c r="A119" s="1" t="s">
        <v>333</v>
      </c>
      <c r="B119" s="38"/>
      <c r="C119" s="14" t="s">
        <v>332</v>
      </c>
      <c r="D119" s="16">
        <f>IFERROR(VLOOKUP($A119,FetchFundies[],D$1+1,FALSE)/Millions,0)</f>
        <v>0</v>
      </c>
      <c r="E119" s="16">
        <f>IFERROR(VLOOKUP($A119,FetchFundies[],E$1+1,FALSE)/Millions,0)</f>
        <v>0</v>
      </c>
      <c r="F119" s="16">
        <f>IFERROR(VLOOKUP($A119,FetchFundies[],F$1+1,FALSE)/Millions,0)</f>
        <v>0</v>
      </c>
      <c r="G119" s="16">
        <f>IFERROR(VLOOKUP($A119,FetchFundies[],G$1+1,FALSE)/Millions,0)</f>
        <v>0</v>
      </c>
      <c r="H119" s="16">
        <f>IFERROR(VLOOKUP($A119,FetchFundies[],H$1+1,FALSE)/Millions,0)</f>
        <v>0</v>
      </c>
      <c r="I119" s="16">
        <f>IFERROR(VLOOKUP($A119,FetchFundies[],I$1+1,FALSE)/Millions,0)</f>
        <v>0</v>
      </c>
      <c r="K119" s="43" t="str">
        <f t="shared" si="12"/>
        <v/>
      </c>
      <c r="L119" s="13" t="s">
        <v>563</v>
      </c>
    </row>
    <row r="120" spans="1:35" x14ac:dyDescent="0.25">
      <c r="A120" s="1" t="s">
        <v>336</v>
      </c>
      <c r="B120" s="38"/>
      <c r="C120" s="14" t="s">
        <v>245</v>
      </c>
      <c r="D120" s="16">
        <f>IFERROR(VLOOKUP($A120,FetchFundies[],D$1+1,FALSE)/Millions,0)</f>
        <v>0</v>
      </c>
      <c r="E120" s="16">
        <f>IFERROR(VLOOKUP($A120,FetchFundies[],E$1+1,FALSE)/Millions,0)</f>
        <v>0</v>
      </c>
      <c r="F120" s="16">
        <f>IFERROR(VLOOKUP($A120,FetchFundies[],F$1+1,FALSE)/Millions,0)</f>
        <v>0</v>
      </c>
      <c r="G120" s="16">
        <f>IFERROR(VLOOKUP($A120,FetchFundies[],G$1+1,FALSE)/Millions,0)</f>
        <v>0</v>
      </c>
      <c r="H120" s="16">
        <f>IFERROR(VLOOKUP($A120,FetchFundies[],H$1+1,FALSE)/Millions,0)</f>
        <v>0</v>
      </c>
      <c r="I120" s="16">
        <f>IFERROR(VLOOKUP($A120,FetchFundies[],I$1+1,FALSE)/Millions,0)</f>
        <v>0</v>
      </c>
      <c r="K120" s="43" t="str">
        <f t="shared" si="12"/>
        <v/>
      </c>
      <c r="L120" s="13" t="s">
        <v>567</v>
      </c>
    </row>
    <row r="121" spans="1:35" x14ac:dyDescent="0.25">
      <c r="A121" s="1" t="s">
        <v>340</v>
      </c>
      <c r="B121" s="38"/>
      <c r="C121" s="14" t="s">
        <v>339</v>
      </c>
      <c r="D121" s="16">
        <f>IFERROR(VLOOKUP($A121,FetchFundies[],D$1+1,FALSE)/Millions,0)</f>
        <v>28121</v>
      </c>
      <c r="E121" s="16">
        <f>IFERROR(VLOOKUP($A121,FetchFundies[],E$1+1,FALSE)/Millions,0)</f>
        <v>27722</v>
      </c>
      <c r="F121" s="16">
        <f>IFERROR(VLOOKUP($A121,FetchFundies[],F$1+1,FALSE)/Millions,0)</f>
        <v>29887</v>
      </c>
      <c r="G121" s="16">
        <f>IFERROR(VLOOKUP($A121,FetchFundies[],G$1+1,FALSE)/Millions,0)</f>
        <v>28924</v>
      </c>
      <c r="H121" s="16">
        <f>IFERROR(VLOOKUP($A121,FetchFundies[],H$1+1,FALSE)/Millions,0)</f>
        <v>30289</v>
      </c>
      <c r="I121" s="16">
        <f>IFERROR(VLOOKUP($A121,FetchFundies[],I$1+1,FALSE)/Millions,0)</f>
        <v>31974</v>
      </c>
      <c r="K121" s="43" t="str">
        <f t="shared" si="12"/>
        <v>y</v>
      </c>
      <c r="L121" s="13" t="s">
        <v>568</v>
      </c>
    </row>
    <row r="122" spans="1:35" x14ac:dyDescent="0.25">
      <c r="A122" s="1" t="s">
        <v>344</v>
      </c>
      <c r="B122" s="38"/>
      <c r="C122" s="14" t="s">
        <v>343</v>
      </c>
      <c r="D122" s="16">
        <f>IFERROR(VLOOKUP($A122,FetchFundies[],D$1+1,FALSE)/Millions,0)</f>
        <v>162</v>
      </c>
      <c r="E122" s="16">
        <f>IFERROR(VLOOKUP($A122,FetchFundies[],E$1+1,FALSE)/Millions,0)</f>
        <v>146</v>
      </c>
      <c r="F122" s="16">
        <f>IFERROR(VLOOKUP($A122,FetchFundies[],F$1+1,FALSE)/Millions,0)</f>
        <v>131</v>
      </c>
      <c r="G122" s="16">
        <f>IFERROR(VLOOKUP($A122,FetchFundies[],G$1+1,FALSE)/Millions,0)</f>
        <v>134</v>
      </c>
      <c r="H122" s="16">
        <f>IFERROR(VLOOKUP($A122,FetchFundies[],H$1+1,FALSE)/Millions,0)</f>
        <v>144</v>
      </c>
      <c r="I122" s="16">
        <f>IFERROR(VLOOKUP($A122,FetchFundies[],I$1+1,FALSE)/Millions,0)</f>
        <v>129</v>
      </c>
      <c r="K122" s="43" t="str">
        <f t="shared" si="12"/>
        <v>y</v>
      </c>
      <c r="L122" s="13" t="s">
        <v>557</v>
      </c>
    </row>
    <row r="123" spans="1:35" x14ac:dyDescent="0.25">
      <c r="A123" s="1" t="s">
        <v>347</v>
      </c>
      <c r="B123" s="38"/>
      <c r="C123" s="14" t="s">
        <v>268</v>
      </c>
      <c r="D123" s="16">
        <f>IFERROR(VLOOKUP($A123,FetchFundies[],D$1+1,FALSE)/Millions,0)</f>
        <v>0</v>
      </c>
      <c r="E123" s="16">
        <f>IFERROR(VLOOKUP($A123,FetchFundies[],E$1+1,FALSE)/Millions,0)</f>
        <v>0</v>
      </c>
      <c r="F123" s="16">
        <f>IFERROR(VLOOKUP($A123,FetchFundies[],F$1+1,FALSE)/Millions,0)</f>
        <v>0</v>
      </c>
      <c r="G123" s="16">
        <f>IFERROR(VLOOKUP($A123,FetchFundies[],G$1+1,FALSE)/Millions,0)</f>
        <v>0</v>
      </c>
      <c r="H123" s="16">
        <f>IFERROR(VLOOKUP($A123,FetchFundies[],H$1+1,FALSE)/Millions,0)</f>
        <v>0</v>
      </c>
      <c r="I123" s="16">
        <f>IFERROR(VLOOKUP($A123,FetchFundies[],I$1+1,FALSE)/Millions,0)</f>
        <v>0</v>
      </c>
      <c r="K123" s="43" t="str">
        <f t="shared" si="12"/>
        <v/>
      </c>
      <c r="L123" s="13" t="s">
        <v>565</v>
      </c>
    </row>
    <row r="124" spans="1:35" x14ac:dyDescent="0.25">
      <c r="A124" s="1" t="s">
        <v>133</v>
      </c>
      <c r="B124" s="38"/>
      <c r="C124" s="14" t="s">
        <v>349</v>
      </c>
      <c r="D124" s="16">
        <f>IFERROR(VLOOKUP($A124,FetchFundies[],D$1+1,FALSE)/Millions,0)</f>
        <v>0</v>
      </c>
      <c r="E124" s="16">
        <f>IFERROR(VLOOKUP($A124,FetchFundies[],E$1+1,FALSE)/Millions,0)</f>
        <v>0</v>
      </c>
      <c r="F124" s="16">
        <f>IFERROR(VLOOKUP($A124,FetchFundies[],F$1+1,FALSE)/Millions,0)</f>
        <v>0</v>
      </c>
      <c r="G124" s="16">
        <f>IFERROR(VLOOKUP($A124,FetchFundies[],G$1+1,FALSE)/Millions,0)</f>
        <v>0</v>
      </c>
      <c r="H124" s="16">
        <f>IFERROR(VLOOKUP($A124,FetchFundies[],H$1+1,FALSE)/Millions,0)</f>
        <v>3879</v>
      </c>
      <c r="I124" s="16">
        <f>IFERROR(VLOOKUP($A124,FetchFundies[],I$1+1,FALSE)/Millions,0)</f>
        <v>3574</v>
      </c>
      <c r="K124" s="43" t="str">
        <f t="shared" si="12"/>
        <v>y</v>
      </c>
      <c r="L124" s="13" t="s">
        <v>566</v>
      </c>
    </row>
    <row r="125" spans="1:35" s="111" customFormat="1" ht="15.75" x14ac:dyDescent="0.25">
      <c r="A125" s="19" t="s">
        <v>352</v>
      </c>
      <c r="B125" s="75"/>
      <c r="C125" s="76" t="s">
        <v>351</v>
      </c>
      <c r="D125" s="77">
        <f t="shared" ref="D125:I125" si="17">IF(ISERROR(D117+D118+D119+D120+D121+D122+D123+D124)," ",D117+D118+D119+D120+D121+D122+D123+D124)</f>
        <v>61964</v>
      </c>
      <c r="E125" s="77">
        <f t="shared" si="17"/>
        <v>62947</v>
      </c>
      <c r="F125" s="77">
        <f t="shared" si="17"/>
        <v>70400</v>
      </c>
      <c r="G125" s="77">
        <f t="shared" si="17"/>
        <v>68359</v>
      </c>
      <c r="H125" s="77">
        <f t="shared" si="17"/>
        <v>93644</v>
      </c>
      <c r="I125" s="77">
        <f t="shared" si="17"/>
        <v>95504</v>
      </c>
      <c r="J125" s="110"/>
      <c r="K125" s="43" t="str">
        <f t="shared" si="12"/>
        <v>y</v>
      </c>
      <c r="L125" s="13" t="s">
        <v>351</v>
      </c>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row>
    <row r="126" spans="1:35" x14ac:dyDescent="0.25">
      <c r="A126" s="1" t="s">
        <v>356</v>
      </c>
      <c r="B126" s="37"/>
      <c r="C126" s="14" t="s">
        <v>355</v>
      </c>
      <c r="D126" s="16">
        <f>IFERROR(VLOOKUP($A126,FetchFundies[],D$1+1,FALSE)/Millions,0)</f>
        <v>53262</v>
      </c>
      <c r="E126" s="16">
        <f>IFERROR(VLOOKUP($A126,FetchFundies[],E$1+1,FALSE)/Millions,0)</f>
        <v>53935</v>
      </c>
      <c r="F126" s="16">
        <f>IFERROR(VLOOKUP($A126,FetchFundies[],F$1+1,FALSE)/Millions,0)</f>
        <v>54566</v>
      </c>
      <c r="G126" s="16">
        <f>IFERROR(VLOOKUP($A126,FetchFundies[],G$1+1,FALSE)/Millions,0)</f>
        <v>55151</v>
      </c>
      <c r="H126" s="16">
        <f>IFERROR(VLOOKUP($A126,FetchFundies[],H$1+1,FALSE)/Millions,0)</f>
        <v>55895</v>
      </c>
      <c r="I126" s="16">
        <f>IFERROR(VLOOKUP($A126,FetchFundies[],I$1+1,FALSE)/Millions,0)</f>
        <v>56556</v>
      </c>
      <c r="K126" s="43" t="str">
        <f t="shared" si="12"/>
        <v>y</v>
      </c>
      <c r="L126" s="13" t="s">
        <v>587</v>
      </c>
    </row>
    <row r="127" spans="1:35" x14ac:dyDescent="0.25">
      <c r="A127" s="1" t="s">
        <v>360</v>
      </c>
      <c r="B127" s="38"/>
      <c r="C127" s="14" t="s">
        <v>359</v>
      </c>
      <c r="D127" s="16">
        <f>IFERROR(VLOOKUP($A127,FetchFundies[],D$1+1,FALSE)/Millions,0)</f>
        <v>146124</v>
      </c>
      <c r="E127" s="16">
        <f>IFERROR(VLOOKUP($A127,FetchFundies[],E$1+1,FALSE)/Millions,0)</f>
        <v>152759</v>
      </c>
      <c r="F127" s="16">
        <f>IFERROR(VLOOKUP($A127,FetchFundies[],F$1+1,FALSE)/Millions,0)</f>
        <v>153126</v>
      </c>
      <c r="G127" s="16">
        <f>IFERROR(VLOOKUP($A127,FetchFundies[],G$1+1,FALSE)/Millions,0)</f>
        <v>159206</v>
      </c>
      <c r="H127" s="16">
        <f>IFERROR(VLOOKUP($A127,FetchFundies[],H$1+1,FALSE)/Millions,0)</f>
        <v>162954</v>
      </c>
      <c r="I127" s="16">
        <f>IFERROR(VLOOKUP($A127,FetchFundies[],I$1+1,FALSE)/Millions,0)</f>
        <v>162717</v>
      </c>
      <c r="K127" s="43" t="str">
        <f t="shared" si="12"/>
        <v>y</v>
      </c>
      <c r="L127" s="13" t="s">
        <v>510</v>
      </c>
    </row>
    <row r="128" spans="1:35" x14ac:dyDescent="0.25">
      <c r="A128" s="1" t="s">
        <v>364</v>
      </c>
      <c r="B128" s="38"/>
      <c r="C128" s="14" t="s">
        <v>363</v>
      </c>
      <c r="D128" s="16">
        <f>IFERROR(VLOOKUP($A128,FetchFundies[],D$1+1,FALSE)/Millions,0)</f>
        <v>-155518</v>
      </c>
      <c r="E128" s="16">
        <f>IFERROR(VLOOKUP($A128,FetchFundies[],E$1+1,FALSE)/Millions,0)</f>
        <v>-159050</v>
      </c>
      <c r="F128" s="16">
        <f>IFERROR(VLOOKUP($A128,FetchFundies[],F$1+1,FALSE)/Millions,0)</f>
        <v>-163507</v>
      </c>
      <c r="G128" s="16">
        <f>IFERROR(VLOOKUP($A128,FetchFundies[],G$1+1,FALSE)/Millions,0)</f>
        <v>-168071</v>
      </c>
      <c r="H128" s="16">
        <f>IFERROR(VLOOKUP($A128,FetchFundies[],H$1+1,FALSE)/Millions,0)</f>
        <v>-169413</v>
      </c>
      <c r="I128" s="16">
        <f>IFERROR(VLOOKUP($A128,FetchFundies[],I$1+1,FALSE)/Millions,0)</f>
        <v>-169339</v>
      </c>
      <c r="K128" s="43" t="str">
        <f t="shared" si="12"/>
        <v>y</v>
      </c>
      <c r="L128" s="13" t="s">
        <v>589</v>
      </c>
    </row>
    <row r="129" spans="1:35" x14ac:dyDescent="0.25">
      <c r="A129" s="1" t="s">
        <v>368</v>
      </c>
      <c r="B129" s="38"/>
      <c r="C129" s="14" t="s">
        <v>367</v>
      </c>
      <c r="D129" s="16">
        <f>IFERROR(VLOOKUP($A129,FetchFundies[],D$1+1,FALSE)/Millions,0)</f>
        <v>0</v>
      </c>
      <c r="E129" s="16">
        <f>IFERROR(VLOOKUP($A129,FetchFundies[],E$1+1,FALSE)/Millions,0)</f>
        <v>0</v>
      </c>
      <c r="F129" s="16">
        <f>IFERROR(VLOOKUP($A129,FetchFundies[],F$1+1,FALSE)/Millions,0)</f>
        <v>0</v>
      </c>
      <c r="G129" s="16">
        <f>IFERROR(VLOOKUP($A129,FetchFundies[],G$1+1,FALSE)/Millions,0)</f>
        <v>0</v>
      </c>
      <c r="H129" s="16">
        <f>IFERROR(VLOOKUP($A129,FetchFundies[],H$1+1,FALSE)/Millions,0)</f>
        <v>0</v>
      </c>
      <c r="I129" s="16">
        <f>IFERROR(VLOOKUP($A129,FetchFundies[],I$1+1,FALSE)/Millions,0)</f>
        <v>0</v>
      </c>
      <c r="K129" s="43" t="str">
        <f t="shared" si="12"/>
        <v/>
      </c>
      <c r="L129" s="13" t="s">
        <v>588</v>
      </c>
    </row>
    <row r="130" spans="1:35" x14ac:dyDescent="0.25">
      <c r="A130" s="1" t="s">
        <v>146</v>
      </c>
      <c r="B130" s="38"/>
      <c r="C130" s="14" t="s">
        <v>371</v>
      </c>
      <c r="D130" s="16">
        <f>IFERROR(VLOOKUP($A130,FetchFundies[],D$1+1,FALSE)/Millions,0)</f>
        <v>-29606</v>
      </c>
      <c r="E130" s="16">
        <f>IFERROR(VLOOKUP($A130,FetchFundies[],E$1+1,FALSE)/Millions,0)</f>
        <v>-29398</v>
      </c>
      <c r="F130" s="16">
        <f>IFERROR(VLOOKUP($A130,FetchFundies[],F$1+1,FALSE)/Millions,0)</f>
        <v>-26592</v>
      </c>
      <c r="G130" s="16">
        <f>IFERROR(VLOOKUP($A130,FetchFundies[],G$1+1,FALSE)/Millions,0)</f>
        <v>-29489</v>
      </c>
      <c r="H130" s="16">
        <f>IFERROR(VLOOKUP($A130,FetchFundies[],H$1+1,FALSE)/Millions,0)</f>
        <v>-28597</v>
      </c>
      <c r="I130" s="16">
        <f>IFERROR(VLOOKUP($A130,FetchFundies[],I$1+1,FALSE)/Millions,0)</f>
        <v>-29337</v>
      </c>
      <c r="K130" s="43" t="str">
        <f t="shared" si="12"/>
        <v>y</v>
      </c>
      <c r="L130" s="13" t="s">
        <v>578</v>
      </c>
    </row>
    <row r="131" spans="1:35" x14ac:dyDescent="0.25">
      <c r="A131" s="1" t="s">
        <v>375</v>
      </c>
      <c r="B131" s="38"/>
      <c r="C131" s="14" t="s">
        <v>374</v>
      </c>
      <c r="D131" s="16">
        <f>IFERROR(VLOOKUP($A131,FetchFundies[],D$1+1,FALSE)/Millions,0)</f>
        <v>0</v>
      </c>
      <c r="E131" s="16">
        <f>IFERROR(VLOOKUP($A131,FetchFundies[],E$1+1,FALSE)/Millions,0)</f>
        <v>0</v>
      </c>
      <c r="F131" s="16">
        <f>IFERROR(VLOOKUP($A131,FetchFundies[],F$1+1,FALSE)/Millions,0)</f>
        <v>0</v>
      </c>
      <c r="G131" s="16">
        <f>IFERROR(VLOOKUP($A131,FetchFundies[],G$1+1,FALSE)/Millions,0)</f>
        <v>0</v>
      </c>
      <c r="H131" s="16">
        <f>IFERROR(VLOOKUP($A131,FetchFundies[],H$1+1,FALSE)/Millions,0)</f>
        <v>0</v>
      </c>
      <c r="I131" s="16">
        <f>IFERROR(VLOOKUP($A131,FetchFundies[],I$1+1,FALSE)/Millions,0)</f>
        <v>0</v>
      </c>
      <c r="K131" s="43" t="str">
        <f t="shared" si="12"/>
        <v/>
      </c>
      <c r="L131" s="13" t="s">
        <v>513</v>
      </c>
    </row>
    <row r="132" spans="1:35" x14ac:dyDescent="0.25">
      <c r="A132" s="1" t="s">
        <v>379</v>
      </c>
      <c r="B132" s="38"/>
      <c r="C132" s="14" t="s">
        <v>378</v>
      </c>
      <c r="D132" s="16">
        <f>IFERROR(VLOOKUP($A132,FetchFundies[],D$1+1,FALSE)/Millions,0)</f>
        <v>0</v>
      </c>
      <c r="E132" s="16">
        <f>IFERROR(VLOOKUP($A132,FetchFundies[],E$1+1,FALSE)/Millions,0)</f>
        <v>0</v>
      </c>
      <c r="F132" s="16">
        <f>IFERROR(VLOOKUP($A132,FetchFundies[],F$1+1,FALSE)/Millions,0)</f>
        <v>0</v>
      </c>
      <c r="G132" s="16">
        <f>IFERROR(VLOOKUP($A132,FetchFundies[],G$1+1,FALSE)/Millions,0)</f>
        <v>0</v>
      </c>
      <c r="H132" s="16">
        <f>IFERROR(VLOOKUP($A132,FetchFundies[],H$1+1,FALSE)/Millions,0)</f>
        <v>0</v>
      </c>
      <c r="I132" s="16">
        <f>IFERROR(VLOOKUP($A132,FetchFundies[],I$1+1,FALSE)/Millions,0)</f>
        <v>0</v>
      </c>
      <c r="K132" s="43" t="str">
        <f t="shared" si="12"/>
        <v/>
      </c>
      <c r="L132" s="13" t="s">
        <v>512</v>
      </c>
    </row>
    <row r="133" spans="1:35" x14ac:dyDescent="0.25">
      <c r="A133" s="1" t="s">
        <v>383</v>
      </c>
      <c r="B133" s="38"/>
      <c r="C133" s="20" t="s">
        <v>382</v>
      </c>
      <c r="D133" s="21">
        <f>IFERROR(VLOOKUP($A133,FetchFundies[],D$1+1,FALSE)/Millions,0)</f>
        <v>0</v>
      </c>
      <c r="E133" s="21">
        <f>IFERROR(VLOOKUP($A133,FetchFundies[],E$1+1,FALSE)/Millions,0)</f>
        <v>0</v>
      </c>
      <c r="F133" s="21">
        <f>IFERROR(VLOOKUP($A133,FetchFundies[],F$1+1,FALSE)/Millions,0)</f>
        <v>0</v>
      </c>
      <c r="G133" s="21">
        <f>IFERROR(VLOOKUP($A133,FetchFundies[],G$1+1,FALSE)/Millions,0)</f>
        <v>0</v>
      </c>
      <c r="H133" s="21">
        <f>IFERROR(VLOOKUP($A133,FetchFundies[],H$1+1,FALSE)/Millions,0)</f>
        <v>0</v>
      </c>
      <c r="I133" s="21">
        <f>IFERROR(VLOOKUP($A133,FetchFundies[],I$1+1,FALSE)/Millions,0)</f>
        <v>0</v>
      </c>
      <c r="K133" s="43" t="str">
        <f t="shared" si="12"/>
        <v/>
      </c>
      <c r="L133" s="13" t="s">
        <v>514</v>
      </c>
    </row>
    <row r="134" spans="1:35" s="17" customFormat="1" ht="15.75" x14ac:dyDescent="0.25">
      <c r="A134" s="15" t="s">
        <v>385</v>
      </c>
      <c r="B134" s="78"/>
      <c r="C134" s="73" t="s">
        <v>384</v>
      </c>
      <c r="D134" s="65">
        <f t="shared" ref="D134:I134" si="18">IF(ISERROR(D126+D127+D128+D129+D130+D131+D132+D133)," ",D126+D127+D128+D129+D130+D131+D132+D133)</f>
        <v>14262</v>
      </c>
      <c r="E134" s="65">
        <f t="shared" si="18"/>
        <v>18246</v>
      </c>
      <c r="F134" s="65">
        <f t="shared" si="18"/>
        <v>17593</v>
      </c>
      <c r="G134" s="65">
        <f t="shared" si="18"/>
        <v>16797</v>
      </c>
      <c r="H134" s="65">
        <f t="shared" si="18"/>
        <v>20839</v>
      </c>
      <c r="I134" s="65">
        <f t="shared" si="18"/>
        <v>20597</v>
      </c>
      <c r="J134" s="25"/>
      <c r="K134" s="43" t="str">
        <f t="shared" si="12"/>
        <v>y</v>
      </c>
      <c r="L134" s="13" t="s">
        <v>511</v>
      </c>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row>
    <row r="135" spans="1:35" s="17" customFormat="1" ht="15.75" x14ac:dyDescent="0.25">
      <c r="A135" s="15" t="s">
        <v>126</v>
      </c>
      <c r="B135" s="78"/>
      <c r="C135" s="73" t="s">
        <v>388</v>
      </c>
      <c r="D135" s="65">
        <f t="shared" ref="D135:I135" si="19">IF(ISERROR(D125+D134+D115)," ",D125+D134+D115)</f>
        <v>110496</v>
      </c>
      <c r="E135" s="65">
        <f t="shared" si="19"/>
        <v>117467</v>
      </c>
      <c r="F135" s="65">
        <f t="shared" si="19"/>
        <v>125356</v>
      </c>
      <c r="G135" s="65">
        <f t="shared" si="19"/>
        <v>123383</v>
      </c>
      <c r="H135" s="65">
        <f t="shared" si="19"/>
        <v>152184</v>
      </c>
      <c r="I135" s="65">
        <f t="shared" si="19"/>
        <v>155970</v>
      </c>
      <c r="J135" s="25"/>
      <c r="K135" s="43" t="str">
        <f t="shared" si="12"/>
        <v>y</v>
      </c>
      <c r="L135" s="13" t="s">
        <v>560</v>
      </c>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row>
    <row r="136" spans="1:35" s="17" customFormat="1" ht="15.75" x14ac:dyDescent="0.25">
      <c r="A136" s="15"/>
      <c r="B136" s="78"/>
      <c r="C136" s="73"/>
      <c r="D136" s="65"/>
      <c r="E136" s="65"/>
      <c r="F136" s="65"/>
      <c r="G136" s="65"/>
      <c r="H136" s="65"/>
      <c r="I136" s="65"/>
      <c r="J136" s="25"/>
      <c r="K136" s="43" t="str">
        <f t="shared" si="12"/>
        <v/>
      </c>
      <c r="L136" s="13"/>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row>
    <row r="137" spans="1:35" s="108" customFormat="1" ht="23.25" x14ac:dyDescent="0.25">
      <c r="A137" s="42"/>
      <c r="B137" s="128" t="s">
        <v>432</v>
      </c>
      <c r="C137" s="128"/>
      <c r="D137" s="107"/>
      <c r="E137" s="107"/>
      <c r="F137" s="107"/>
      <c r="G137" s="107"/>
      <c r="H137" s="107"/>
      <c r="I137" s="107"/>
      <c r="J137" s="107"/>
      <c r="K137" s="43" t="str">
        <f t="shared" si="12"/>
        <v>y</v>
      </c>
      <c r="L137" s="44"/>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row>
    <row r="138" spans="1:35" x14ac:dyDescent="0.25">
      <c r="A138" s="1" t="s">
        <v>387</v>
      </c>
      <c r="B138" s="12"/>
      <c r="C138" s="1" t="s">
        <v>386</v>
      </c>
      <c r="D138" s="16">
        <f>IFERROR(VLOOKUP($A138,FetchFundies[],D$1+1,FALSE)/Millions,0)</f>
        <v>3855</v>
      </c>
      <c r="E138" s="16">
        <f>IFERROR(VLOOKUP($A138,FetchFundies[],E$1+1,FALSE)/Millions,0)</f>
        <v>4381</v>
      </c>
      <c r="F138" s="16">
        <f>IFERROR(VLOOKUP($A138,FetchFundies[],F$1+1,FALSE)/Millions,0)</f>
        <v>4541</v>
      </c>
      <c r="G138" s="16">
        <f>IFERROR(VLOOKUP($A138,FetchFundies[],G$1+1,FALSE)/Millions,0)</f>
        <v>4480</v>
      </c>
      <c r="H138" s="16">
        <f>IFERROR(VLOOKUP($A138,FetchFundies[],H$1+1,FALSE)/Millions,0)</f>
        <v>6059</v>
      </c>
      <c r="I138" s="16">
        <f>IFERROR(VLOOKUP($A138,FetchFundies[],I$1+1,FALSE)/Millions,0)</f>
        <v>6695</v>
      </c>
      <c r="K138" s="43" t="str">
        <f t="shared" si="12"/>
        <v>y</v>
      </c>
      <c r="L138" s="13" t="s">
        <v>507</v>
      </c>
    </row>
    <row r="139" spans="1:35" x14ac:dyDescent="0.25">
      <c r="A139" s="1" t="s">
        <v>390</v>
      </c>
      <c r="B139" s="12"/>
      <c r="C139" s="1" t="s">
        <v>389</v>
      </c>
      <c r="D139" s="16">
        <f>IFERROR(VLOOKUP($A139,FetchFundies[],D$1+1,FALSE)/Millions,0)</f>
        <v>0</v>
      </c>
      <c r="E139" s="16">
        <f>IFERROR(VLOOKUP($A139,FetchFundies[],E$1+1,FALSE)/Millions,0)</f>
        <v>0</v>
      </c>
      <c r="F139" s="16">
        <f>IFERROR(VLOOKUP($A139,FetchFundies[],F$1+1,FALSE)/Millions,0)</f>
        <v>0</v>
      </c>
      <c r="G139" s="16">
        <f>IFERROR(VLOOKUP($A139,FetchFundies[],G$1+1,FALSE)/Millions,0)</f>
        <v>0</v>
      </c>
      <c r="H139" s="16">
        <f>IFERROR(VLOOKUP($A139,FetchFundies[],H$1+1,FALSE)/Millions,0)</f>
        <v>0</v>
      </c>
      <c r="I139" s="16">
        <f>IFERROR(VLOOKUP($A139,FetchFundies[],I$1+1,FALSE)/Millions,0)</f>
        <v>0</v>
      </c>
      <c r="K139" s="43" t="str">
        <f t="shared" si="12"/>
        <v/>
      </c>
      <c r="L139" s="13" t="s">
        <v>538</v>
      </c>
    </row>
    <row r="140" spans="1:35" x14ac:dyDescent="0.25">
      <c r="A140" s="1" t="s">
        <v>27</v>
      </c>
      <c r="B140" s="12"/>
      <c r="C140" s="1" t="s">
        <v>393</v>
      </c>
      <c r="D140" s="16">
        <f>IFERROR(VLOOKUP($A140,FetchFundies[],D$1+1,FALSE)/Millions,0)</f>
        <v>-4151</v>
      </c>
      <c r="E140" s="16">
        <f>IFERROR(VLOOKUP($A140,FetchFundies[],E$1+1,FALSE)/Millions,0)</f>
        <v>-4150</v>
      </c>
      <c r="F140" s="16">
        <f>IFERROR(VLOOKUP($A140,FetchFundies[],F$1+1,FALSE)/Millions,0)</f>
        <v>-3773</v>
      </c>
      <c r="G140" s="16">
        <f>IFERROR(VLOOKUP($A140,FetchFundies[],G$1+1,FALSE)/Millions,0)</f>
        <v>-3964</v>
      </c>
      <c r="H140" s="16">
        <f>IFERROR(VLOOKUP($A140,FetchFundies[],H$1+1,FALSE)/Millions,0)</f>
        <v>-2286</v>
      </c>
      <c r="I140" s="16">
        <f>IFERROR(VLOOKUP($A140,FetchFundies[],I$1+1,FALSE)/Millions,0)</f>
        <v>-3230</v>
      </c>
      <c r="K140" s="43" t="str">
        <f t="shared" si="12"/>
        <v>y</v>
      </c>
      <c r="L140" s="13" t="s">
        <v>489</v>
      </c>
    </row>
    <row r="141" spans="1:35" x14ac:dyDescent="0.25">
      <c r="A141" s="1" t="s">
        <v>396</v>
      </c>
      <c r="B141" s="12"/>
      <c r="C141" s="1" t="s">
        <v>395</v>
      </c>
      <c r="D141" s="16">
        <f>IFERROR(VLOOKUP($A141,FetchFundies[],D$1+1,FALSE)/Millions,0)</f>
        <v>-3349</v>
      </c>
      <c r="E141" s="16">
        <f>IFERROR(VLOOKUP($A141,FetchFundies[],E$1+1,FALSE)/Millions,0)</f>
        <v>-5679</v>
      </c>
      <c r="F141" s="16">
        <f>IFERROR(VLOOKUP($A141,FetchFundies[],F$1+1,FALSE)/Millions,0)</f>
        <v>0</v>
      </c>
      <c r="G141" s="16">
        <f>IFERROR(VLOOKUP($A141,FetchFundies[],G$1+1,FALSE)/Millions,0)</f>
        <v>-139</v>
      </c>
      <c r="H141" s="16">
        <f>IFERROR(VLOOKUP($A141,FetchFundies[],H$1+1,FALSE)/Millions,0)</f>
        <v>-32630</v>
      </c>
      <c r="I141" s="16">
        <f>IFERROR(VLOOKUP($A141,FetchFundies[],I$1+1,FALSE)/Millions,0)</f>
        <v>-336</v>
      </c>
      <c r="K141" s="43" t="str">
        <f t="shared" si="12"/>
        <v>y</v>
      </c>
      <c r="L141" s="13" t="s">
        <v>490</v>
      </c>
    </row>
    <row r="142" spans="1:35" x14ac:dyDescent="0.25">
      <c r="A142" s="1" t="s">
        <v>400</v>
      </c>
      <c r="B142" s="12"/>
      <c r="C142" s="1" t="s">
        <v>399</v>
      </c>
      <c r="D142" s="16">
        <f>IFERROR(VLOOKUP($A142,FetchFundies[],D$1+1,FALSE)/Millions,0)</f>
        <v>0</v>
      </c>
      <c r="E142" s="16">
        <f>IFERROR(VLOOKUP($A142,FetchFundies[],E$1+1,FALSE)/Millions,0)</f>
        <v>0</v>
      </c>
      <c r="F142" s="16">
        <f>IFERROR(VLOOKUP($A142,FetchFundies[],F$1+1,FALSE)/Millions,0)</f>
        <v>-4340</v>
      </c>
      <c r="G142" s="16">
        <f>IFERROR(VLOOKUP($A142,FetchFundies[],G$1+1,FALSE)/Millions,0)</f>
        <v>-4443</v>
      </c>
      <c r="H142" s="16">
        <f>IFERROR(VLOOKUP($A142,FetchFundies[],H$1+1,FALSE)/Millions,0)</f>
        <v>-1361</v>
      </c>
      <c r="I142" s="16">
        <f>IFERROR(VLOOKUP($A142,FetchFundies[],I$1+1,FALSE)/Millions,0)</f>
        <v>0</v>
      </c>
      <c r="K142" s="43" t="str">
        <f t="shared" si="12"/>
        <v>y</v>
      </c>
      <c r="L142" s="13" t="s">
        <v>495</v>
      </c>
    </row>
    <row r="143" spans="1:35" ht="15.75" x14ac:dyDescent="0.25">
      <c r="A143" s="1" t="s">
        <v>404</v>
      </c>
      <c r="B143" s="79"/>
      <c r="C143" s="71" t="s">
        <v>403</v>
      </c>
      <c r="D143" s="48">
        <f>IFERROR(VLOOKUP($A143,FetchFundies[],D$1+1,FALSE)/Millions,0)</f>
        <v>17008</v>
      </c>
      <c r="E143" s="48">
        <f>IFERROR(VLOOKUP($A143,FetchFundies[],E$1+1,FALSE)/Millions,0)</f>
        <v>16958</v>
      </c>
      <c r="F143" s="48">
        <f>IFERROR(VLOOKUP($A143,FetchFundies[],F$1+1,FALSE)/Millions,0)</f>
        <v>16724</v>
      </c>
      <c r="G143" s="48">
        <f>IFERROR(VLOOKUP($A143,FetchFundies[],G$1+1,FALSE)/Millions,0)</f>
        <v>15247</v>
      </c>
      <c r="H143" s="48">
        <f>IFERROR(VLOOKUP($A143,FetchFundies[],H$1+1,FALSE)/Millions,0)</f>
        <v>14770</v>
      </c>
      <c r="I143" s="48">
        <f>IFERROR(VLOOKUP($A143,FetchFundies[],I$1+1,FALSE)/Millions,0)</f>
        <v>18197</v>
      </c>
      <c r="K143" s="43" t="str">
        <f t="shared" ref="K143:K208" si="20">IF(B143&lt;&gt;"","y",IF(SUM(E143:I143)=0,"","y"))</f>
        <v>y</v>
      </c>
      <c r="L143" s="13" t="s">
        <v>494</v>
      </c>
    </row>
    <row r="144" spans="1:35" ht="15.75" x14ac:dyDescent="0.25">
      <c r="A144" s="1" t="s">
        <v>407</v>
      </c>
      <c r="B144" s="79"/>
      <c r="C144" s="71" t="s">
        <v>406</v>
      </c>
      <c r="D144" s="48">
        <f>IFERROR(VLOOKUP($A144,FetchFundies[],D$1+1,FALSE)/Millions,0)</f>
        <v>-8159</v>
      </c>
      <c r="E144" s="48">
        <f>IFERROR(VLOOKUP($A144,FetchFundies[],E$1+1,FALSE)/Millions,0)</f>
        <v>-10976</v>
      </c>
      <c r="F144" s="48">
        <f>IFERROR(VLOOKUP($A144,FetchFundies[],F$1+1,FALSE)/Millions,0)</f>
        <v>-7096</v>
      </c>
      <c r="G144" s="48">
        <f>IFERROR(VLOOKUP($A144,FetchFundies[],G$1+1,FALSE)/Millions,0)</f>
        <v>-4913</v>
      </c>
      <c r="H144" s="48">
        <f>IFERROR(VLOOKUP($A144,FetchFundies[],H$1+1,FALSE)/Millions,0)</f>
        <v>-26936</v>
      </c>
      <c r="I144" s="48">
        <f>IFERROR(VLOOKUP($A144,FetchFundies[],I$1+1,FALSE)/Millions,0)</f>
        <v>-3028</v>
      </c>
      <c r="K144" s="43" t="str">
        <f t="shared" si="20"/>
        <v>y</v>
      </c>
      <c r="L144" s="13" t="s">
        <v>493</v>
      </c>
    </row>
    <row r="145" spans="1:35" ht="15.75" x14ac:dyDescent="0.25">
      <c r="A145" s="1" t="s">
        <v>411</v>
      </c>
      <c r="B145" s="79"/>
      <c r="C145" s="71" t="s">
        <v>410</v>
      </c>
      <c r="D145" s="48">
        <f>IFERROR(VLOOKUP($A145,FetchFundies[],D$1+1,FALSE)/Millions,0)</f>
        <v>-9166</v>
      </c>
      <c r="E145" s="48">
        <f>IFERROR(VLOOKUP($A145,FetchFundies[],E$1+1,FALSE)/Millions,0)</f>
        <v>-5791</v>
      </c>
      <c r="F145" s="48">
        <f>IFERROR(VLOOKUP($A145,FetchFundies[],F$1+1,FALSE)/Millions,0)</f>
        <v>-6418</v>
      </c>
      <c r="G145" s="48">
        <f>IFERROR(VLOOKUP($A145,FetchFundies[],G$1+1,FALSE)/Millions,0)</f>
        <v>-10469</v>
      </c>
      <c r="H145" s="48">
        <f>IFERROR(VLOOKUP($A145,FetchFundies[],H$1+1,FALSE)/Millions,0)</f>
        <v>9042</v>
      </c>
      <c r="I145" s="48">
        <f>IFERROR(VLOOKUP($A145,FetchFundies[],I$1+1,FALSE)/Millions,0)</f>
        <v>-9721</v>
      </c>
      <c r="K145" s="43" t="str">
        <f t="shared" si="20"/>
        <v>y</v>
      </c>
      <c r="L145" s="13" t="s">
        <v>492</v>
      </c>
    </row>
    <row r="146" spans="1:35" ht="15.75" x14ac:dyDescent="0.25">
      <c r="A146" s="1"/>
      <c r="B146" s="79"/>
      <c r="C146" s="210" t="s">
        <v>848</v>
      </c>
      <c r="D146" s="16">
        <f t="shared" ref="D146:H146" si="21">SUM(D143:D145)</f>
        <v>-317</v>
      </c>
      <c r="E146" s="16">
        <f t="shared" si="21"/>
        <v>191</v>
      </c>
      <c r="F146" s="16">
        <f t="shared" si="21"/>
        <v>3210</v>
      </c>
      <c r="G146" s="16">
        <f t="shared" si="21"/>
        <v>-135</v>
      </c>
      <c r="H146" s="16">
        <f t="shared" si="21"/>
        <v>-3124</v>
      </c>
      <c r="I146" s="16">
        <f>SUM(I143:I145)</f>
        <v>5448</v>
      </c>
      <c r="K146" s="43" t="str">
        <f t="shared" si="20"/>
        <v>y</v>
      </c>
      <c r="L146" s="13"/>
    </row>
    <row r="147" spans="1:35" s="108" customFormat="1" ht="53.25" customHeight="1" x14ac:dyDescent="0.25">
      <c r="A147" s="42"/>
      <c r="B147" s="127" t="s">
        <v>610</v>
      </c>
      <c r="C147" s="128"/>
      <c r="D147" s="45"/>
      <c r="E147" s="45"/>
      <c r="F147" s="45"/>
      <c r="G147" s="45"/>
      <c r="H147" s="45"/>
      <c r="I147" s="45"/>
      <c r="J147" s="107"/>
      <c r="K147" s="43" t="str">
        <f t="shared" si="20"/>
        <v>y</v>
      </c>
      <c r="L147" s="44"/>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row>
    <row r="148" spans="1:35" s="108" customFormat="1" ht="23.25" x14ac:dyDescent="0.25">
      <c r="A148" s="42"/>
      <c r="B148" s="218" t="s">
        <v>759</v>
      </c>
      <c r="C148" s="218"/>
      <c r="D148" s="157"/>
      <c r="E148" s="45"/>
      <c r="F148" s="45"/>
      <c r="G148" s="45"/>
      <c r="H148" s="45"/>
      <c r="I148" s="45"/>
      <c r="J148" s="107"/>
      <c r="K148" s="43"/>
      <c r="L148" s="44"/>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row>
    <row r="149" spans="1:35" s="1" customFormat="1" x14ac:dyDescent="0.25">
      <c r="A149" s="1" t="s">
        <v>93</v>
      </c>
      <c r="B149" s="27"/>
      <c r="C149" s="1" t="s">
        <v>760</v>
      </c>
      <c r="D149" s="48" t="str">
        <f>IFERROR(VLOOKUP($A149,FetchFundies[],D$1+1,FALSE),0)</f>
        <v>2016-02-23</v>
      </c>
      <c r="E149" s="48" t="str">
        <f>IFERROR(VLOOKUP($A149,FetchFundies[],E$1+1,FALSE),0)</f>
        <v>2017-02-28</v>
      </c>
      <c r="F149" s="48" t="str">
        <f>IFERROR(VLOOKUP($A149,FetchFundies[],F$1+1,FALSE),0)</f>
        <v>2018-02-27</v>
      </c>
      <c r="G149" s="48" t="str">
        <f>IFERROR(VLOOKUP($A149,FetchFundies[],G$1+1,FALSE),0)</f>
        <v>2019-02-26</v>
      </c>
      <c r="H149" s="48" t="str">
        <f>IFERROR(VLOOKUP($A149,FetchFundies[],H$1+1,FALSE),0)</f>
        <v>2020-02-25</v>
      </c>
      <c r="I149" s="48" t="str">
        <f>IFERROR(VLOOKUP($A149,FetchFundies[],I$1+1,FALSE),0)</f>
        <v>2021-02-23</v>
      </c>
      <c r="J149" s="9"/>
      <c r="K149" s="43"/>
      <c r="L149" s="13"/>
      <c r="M149" s="9"/>
      <c r="N149" s="9"/>
      <c r="O149" s="9"/>
      <c r="P149" s="9"/>
      <c r="Q149" s="9"/>
      <c r="R149" s="9"/>
      <c r="S149" s="9"/>
      <c r="T149" s="9"/>
      <c r="U149" s="9"/>
      <c r="V149" s="9"/>
      <c r="W149" s="9"/>
      <c r="X149" s="9"/>
      <c r="Y149" s="9"/>
      <c r="Z149" s="9"/>
      <c r="AA149" s="9"/>
      <c r="AB149" s="9"/>
      <c r="AC149" s="9"/>
      <c r="AD149" s="9"/>
      <c r="AE149" s="9"/>
      <c r="AF149" s="9"/>
      <c r="AG149" s="9"/>
      <c r="AH149" s="9"/>
      <c r="AI149" s="9"/>
    </row>
    <row r="150" spans="1:35" s="1" customFormat="1" x14ac:dyDescent="0.25">
      <c r="A150" s="1" t="s">
        <v>94</v>
      </c>
      <c r="B150" s="27"/>
      <c r="C150" s="1" t="s">
        <v>761</v>
      </c>
      <c r="D150" s="48" t="str">
        <f>IFERROR(VLOOKUP($A150,FetchFundies[],D$1+1,FALSE),0)</f>
        <v>10-K</v>
      </c>
      <c r="E150" s="48" t="str">
        <f>IFERROR(VLOOKUP($A150,FetchFundies[],E$1+1,FALSE),0)</f>
        <v>10-K</v>
      </c>
      <c r="F150" s="48" t="str">
        <f>IFERROR(VLOOKUP($A150,FetchFundies[],F$1+1,FALSE),0)</f>
        <v>10-K</v>
      </c>
      <c r="G150" s="48" t="str">
        <f>IFERROR(VLOOKUP($A150,FetchFundies[],G$1+1,FALSE),0)</f>
        <v>10-K</v>
      </c>
      <c r="H150" s="48" t="str">
        <f>IFERROR(VLOOKUP($A150,FetchFundies[],H$1+1,FALSE),0)</f>
        <v>10-K</v>
      </c>
      <c r="I150" s="48" t="str">
        <f>IFERROR(VLOOKUP($A150,FetchFundies[],I$1+1,FALSE),0)</f>
        <v>10-K</v>
      </c>
      <c r="J150" s="9"/>
      <c r="K150" s="43"/>
      <c r="L150" s="13"/>
      <c r="M150" s="9"/>
      <c r="N150" s="9"/>
      <c r="O150" s="9"/>
      <c r="P150" s="9"/>
      <c r="Q150" s="9"/>
      <c r="R150" s="9"/>
      <c r="S150" s="9"/>
      <c r="T150" s="9"/>
      <c r="U150" s="9"/>
      <c r="V150" s="9"/>
      <c r="W150" s="9"/>
      <c r="X150" s="9"/>
      <c r="Y150" s="9"/>
      <c r="Z150" s="9"/>
      <c r="AA150" s="9"/>
      <c r="AB150" s="9"/>
      <c r="AC150" s="9"/>
      <c r="AD150" s="9"/>
      <c r="AE150" s="9"/>
      <c r="AF150" s="9"/>
      <c r="AG150" s="9"/>
      <c r="AH150" s="9"/>
      <c r="AI150" s="9"/>
    </row>
    <row r="151" spans="1:35" s="1" customFormat="1" x14ac:dyDescent="0.25">
      <c r="A151" s="1" t="s">
        <v>95</v>
      </c>
      <c r="B151" s="27"/>
      <c r="C151" s="1" t="s">
        <v>762</v>
      </c>
      <c r="D151" s="48">
        <f>IFERROR(VLOOKUP($A151,FetchFundies[],D$1+1,FALSE),0)</f>
        <v>0</v>
      </c>
      <c r="E151" s="48">
        <f>IFERROR(VLOOKUP($A151,FetchFundies[],E$1+1,FALSE),0)</f>
        <v>0</v>
      </c>
      <c r="F151" s="48">
        <f>IFERROR(VLOOKUP($A151,FetchFundies[],F$1+1,FALSE),0)</f>
        <v>0</v>
      </c>
      <c r="G151" s="48">
        <f>IFERROR(VLOOKUP($A151,FetchFundies[],G$1+1,FALSE),0)</f>
        <v>0</v>
      </c>
      <c r="H151" s="48">
        <f>IFERROR(VLOOKUP($A151,FetchFundies[],H$1+1,FALSE),0)</f>
        <v>0</v>
      </c>
      <c r="I151" s="48">
        <f>IFERROR(VLOOKUP($A151,FetchFundies[],I$1+1,FALSE),0)</f>
        <v>0</v>
      </c>
      <c r="J151" s="9"/>
      <c r="K151" s="43"/>
      <c r="L151" s="13"/>
      <c r="M151" s="9"/>
      <c r="N151" s="9"/>
      <c r="O151" s="9"/>
      <c r="P151" s="9"/>
      <c r="Q151" s="9"/>
      <c r="R151" s="9"/>
      <c r="S151" s="9"/>
      <c r="T151" s="9"/>
      <c r="U151" s="9"/>
      <c r="V151" s="9"/>
      <c r="W151" s="9"/>
      <c r="X151" s="9"/>
      <c r="Y151" s="9"/>
      <c r="Z151" s="9"/>
      <c r="AA151" s="9"/>
      <c r="AB151" s="9"/>
      <c r="AC151" s="9"/>
      <c r="AD151" s="9"/>
      <c r="AE151" s="9"/>
      <c r="AF151" s="9"/>
      <c r="AG151" s="9"/>
      <c r="AH151" s="9"/>
      <c r="AI151" s="9"/>
    </row>
    <row r="152" spans="1:35" s="1" customFormat="1" x14ac:dyDescent="0.25">
      <c r="A152" s="1" t="s">
        <v>96</v>
      </c>
      <c r="B152" s="27"/>
      <c r="C152" s="1" t="s">
        <v>763</v>
      </c>
      <c r="D152" s="158">
        <f>IFERROR(VLOOKUP($A152,FetchFundies[],D$1+1,FALSE),0)</f>
        <v>2015</v>
      </c>
      <c r="E152" s="158">
        <f>IFERROR(VLOOKUP($A152,FetchFundies[],E$1+1,FALSE),0)</f>
        <v>2016</v>
      </c>
      <c r="F152" s="158">
        <f>IFERROR(VLOOKUP($A152,FetchFundies[],F$1+1,FALSE),0)</f>
        <v>2017</v>
      </c>
      <c r="G152" s="158">
        <f>IFERROR(VLOOKUP($A152,FetchFundies[],G$1+1,FALSE),0)</f>
        <v>2018</v>
      </c>
      <c r="H152" s="158">
        <f>IFERROR(VLOOKUP($A152,FetchFundies[],H$1+1,FALSE),0)</f>
        <v>2019</v>
      </c>
      <c r="I152" s="158">
        <f>IFERROR(VLOOKUP($A152,FetchFundies[],I$1+1,FALSE),0)</f>
        <v>2020</v>
      </c>
      <c r="J152" s="9"/>
      <c r="K152" s="43"/>
      <c r="L152" s="13"/>
      <c r="M152" s="9"/>
      <c r="N152" s="9"/>
      <c r="O152" s="9"/>
      <c r="P152" s="9"/>
      <c r="Q152" s="9"/>
      <c r="R152" s="9"/>
      <c r="S152" s="9"/>
      <c r="T152" s="9"/>
      <c r="U152" s="9"/>
      <c r="V152" s="9"/>
      <c r="W152" s="9"/>
      <c r="X152" s="9"/>
      <c r="Y152" s="9"/>
      <c r="Z152" s="9"/>
      <c r="AA152" s="9"/>
      <c r="AB152" s="9"/>
      <c r="AC152" s="9"/>
      <c r="AD152" s="9"/>
      <c r="AE152" s="9"/>
      <c r="AF152" s="9"/>
      <c r="AG152" s="9"/>
      <c r="AH152" s="9"/>
      <c r="AI152" s="9"/>
    </row>
    <row r="153" spans="1:35" s="108" customFormat="1" ht="23.25" x14ac:dyDescent="0.25">
      <c r="B153" s="218" t="s">
        <v>454</v>
      </c>
      <c r="C153" s="218"/>
      <c r="D153" s="107"/>
      <c r="E153" s="107"/>
      <c r="F153" s="107"/>
      <c r="G153" s="107"/>
      <c r="H153" s="107"/>
      <c r="I153" s="107"/>
      <c r="J153" s="107"/>
      <c r="K153" s="43" t="str">
        <f t="shared" si="20"/>
        <v>y</v>
      </c>
      <c r="L153" s="44" t="s">
        <v>630</v>
      </c>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row>
    <row r="154" spans="1:35" s="1" customFormat="1" x14ac:dyDescent="0.25">
      <c r="A154" s="1" t="s">
        <v>173</v>
      </c>
      <c r="B154" s="27"/>
      <c r="C154" s="1" t="s">
        <v>348</v>
      </c>
      <c r="D154" s="16">
        <f>IFERROR(VLOOKUP($A154,FetchFundies[],D$1+1,FALSE)/Millions,0)</f>
        <v>978.74452299999996</v>
      </c>
      <c r="E154" s="16">
        <f>IFERROR(VLOOKUP($A154,FetchFundies[],E$1+1,FALSE)/Millions,0)</f>
        <v>955.42253000000005</v>
      </c>
      <c r="F154" s="16">
        <f>IFERROR(VLOOKUP($A154,FetchFundies[],F$1+1,FALSE)/Millions,0)</f>
        <v>932.82829500000003</v>
      </c>
      <c r="G154" s="16">
        <f>IFERROR(VLOOKUP($A154,FetchFundies[],G$1+1,FALSE)/Millions,0)</f>
        <v>912.04807200000005</v>
      </c>
      <c r="H154" s="16">
        <f>IFERROR(VLOOKUP($A154,FetchFundies[],H$1+1,FALSE)/Millions,0)</f>
        <v>887.23510499999998</v>
      </c>
      <c r="I154" s="16">
        <f>IFERROR(VLOOKUP($A154,FetchFundies[],I$1+1,FALSE)/Millions,0)</f>
        <v>890.34867899999995</v>
      </c>
      <c r="J154" s="9"/>
      <c r="K154" s="43" t="str">
        <f t="shared" si="20"/>
        <v>y</v>
      </c>
      <c r="L154" s="13" t="s">
        <v>590</v>
      </c>
      <c r="M154" s="9"/>
      <c r="N154" s="9"/>
      <c r="O154" s="9"/>
      <c r="P154" s="9"/>
      <c r="Q154" s="9"/>
      <c r="R154" s="9"/>
      <c r="S154" s="9"/>
      <c r="T154" s="9"/>
      <c r="U154" s="9"/>
      <c r="V154" s="9"/>
      <c r="W154" s="9"/>
      <c r="X154" s="9"/>
      <c r="Y154" s="9"/>
      <c r="Z154" s="9"/>
      <c r="AA154" s="9"/>
      <c r="AB154" s="9"/>
      <c r="AC154" s="9"/>
      <c r="AD154" s="9"/>
      <c r="AE154" s="9"/>
      <c r="AF154" s="9"/>
      <c r="AG154" s="9"/>
      <c r="AH154" s="9"/>
      <c r="AI154" s="9"/>
    </row>
    <row r="155" spans="1:35" s="1" customFormat="1" x14ac:dyDescent="0.25">
      <c r="A155" s="1" t="s">
        <v>175</v>
      </c>
      <c r="B155" s="27"/>
      <c r="C155" s="1" t="s">
        <v>350</v>
      </c>
      <c r="D155" s="16">
        <f>IFERROR(VLOOKUP($A155,FetchFundies[],D$1+1,FALSE)/Millions,0)</f>
        <v>982.70026700000005</v>
      </c>
      <c r="E155" s="16">
        <f>IFERROR(VLOOKUP($A155,FetchFundies[],E$1+1,FALSE)/Millions,0)</f>
        <v>958.71409700000004</v>
      </c>
      <c r="F155" s="16">
        <f>IFERROR(VLOOKUP($A155,FetchFundies[],F$1+1,FALSE)/Millions,0)</f>
        <v>937.385625</v>
      </c>
      <c r="G155" s="16">
        <f>IFERROR(VLOOKUP($A155,FetchFundies[],G$1+1,FALSE)/Millions,0)</f>
        <v>916.31571399999996</v>
      </c>
      <c r="H155" s="16">
        <f>IFERROR(VLOOKUP($A155,FetchFundies[],H$1+1,FALSE)/Millions,0)</f>
        <v>892.81337599999995</v>
      </c>
      <c r="I155" s="16">
        <f>IFERROR(VLOOKUP($A155,FetchFundies[],I$1+1,FALSE)/Millions,0)</f>
        <v>896.56397100000004</v>
      </c>
      <c r="J155" s="9"/>
      <c r="K155" s="43" t="str">
        <f t="shared" si="20"/>
        <v>y</v>
      </c>
      <c r="L155" s="13" t="s">
        <v>592</v>
      </c>
      <c r="M155" s="9"/>
      <c r="N155" s="9"/>
      <c r="O155" s="9"/>
      <c r="P155" s="9"/>
      <c r="Q155" s="9"/>
      <c r="R155" s="9"/>
      <c r="S155" s="9"/>
      <c r="T155" s="9"/>
      <c r="U155" s="9"/>
      <c r="V155" s="9"/>
      <c r="W155" s="9"/>
      <c r="X155" s="9"/>
      <c r="Y155" s="9"/>
      <c r="Z155" s="9"/>
      <c r="AA155" s="9"/>
      <c r="AB155" s="9"/>
      <c r="AC155" s="9"/>
      <c r="AD155" s="9"/>
      <c r="AE155" s="9"/>
      <c r="AF155" s="9"/>
      <c r="AG155" s="9"/>
      <c r="AH155" s="9"/>
      <c r="AI155" s="9"/>
    </row>
    <row r="156" spans="1:35" s="1" customFormat="1" x14ac:dyDescent="0.25">
      <c r="A156" s="1" t="s">
        <v>354</v>
      </c>
      <c r="B156" s="28"/>
      <c r="C156" s="1" t="s">
        <v>353</v>
      </c>
      <c r="D156" s="31">
        <f>IF(D$1&lt;=0,"",VLOOKUP($A156,FetchFundies[],D$1+1,FALSE))</f>
        <v>13.48</v>
      </c>
      <c r="E156" s="31">
        <f>IF(E$1&lt;=0,"",VLOOKUP($A156,FetchFundies[],E$1+1,FALSE))</f>
        <v>12.38</v>
      </c>
      <c r="F156" s="31">
        <f>IF(F$1&lt;=0,"",VLOOKUP($A156,FetchFundies[],F$1+1,FALSE))</f>
        <v>6.14</v>
      </c>
      <c r="G156" s="22">
        <f>IF(G$1&lt;=0,"",VLOOKUP($A156,FetchFundies[],G$1+1,FALSE))</f>
        <v>9.57</v>
      </c>
      <c r="H156" s="31">
        <f>IF(H$1&lt;=0,"",VLOOKUP($A156,FetchFundies[],H$1+1,FALSE))</f>
        <v>10.63</v>
      </c>
      <c r="I156" s="31">
        <f>IF(I$1&lt;=0,"",VLOOKUP($A156,FetchFundies[],I$1+1,FALSE))</f>
        <v>6.28</v>
      </c>
      <c r="J156" s="4"/>
      <c r="K156" s="43" t="str">
        <f t="shared" si="20"/>
        <v>y</v>
      </c>
      <c r="L156" s="13" t="s">
        <v>542</v>
      </c>
      <c r="M156" s="4"/>
      <c r="N156" s="4"/>
      <c r="O156" s="4"/>
      <c r="P156" s="4"/>
      <c r="Q156" s="4"/>
      <c r="R156" s="4"/>
      <c r="S156" s="4"/>
      <c r="T156" s="4"/>
      <c r="U156" s="4"/>
      <c r="V156" s="4"/>
      <c r="W156" s="4"/>
      <c r="X156" s="4"/>
      <c r="Y156" s="4"/>
      <c r="Z156" s="4"/>
      <c r="AA156" s="4"/>
      <c r="AB156" s="4"/>
      <c r="AC156" s="4"/>
      <c r="AD156" s="4"/>
      <c r="AE156" s="4"/>
      <c r="AF156" s="4"/>
      <c r="AG156" s="4"/>
      <c r="AH156" s="4"/>
      <c r="AI156" s="4"/>
    </row>
    <row r="157" spans="1:35" s="1" customFormat="1" x14ac:dyDescent="0.25">
      <c r="A157" s="1" t="s">
        <v>358</v>
      </c>
      <c r="B157" s="28"/>
      <c r="C157" s="1" t="s">
        <v>357</v>
      </c>
      <c r="D157" s="31">
        <f>IF(D$1&lt;=0,"",VLOOKUP($A157,FetchFundies[],D$1+1,FALSE))</f>
        <v>13.42</v>
      </c>
      <c r="E157" s="31">
        <f>IF(E$1&lt;=0,"",VLOOKUP($A157,FetchFundies[],E$1+1,FALSE))</f>
        <v>12.43</v>
      </c>
      <c r="F157" s="31">
        <f>IF(F$1&lt;=0,"",VLOOKUP($A157,FetchFundies[],F$1+1,FALSE))</f>
        <v>6.17</v>
      </c>
      <c r="G157" s="22">
        <f>IF(G$1&lt;=0,"",VLOOKUP($A157,FetchFundies[],G$1+1,FALSE))</f>
        <v>9.52</v>
      </c>
      <c r="H157" s="31">
        <f>IF(H$1&lt;=0,"",VLOOKUP($A157,FetchFundies[],H$1+1,FALSE))</f>
        <v>10.56</v>
      </c>
      <c r="I157" s="31">
        <f>IF(I$1&lt;=0,"",VLOOKUP($A157,FetchFundies[],I$1+1,FALSE))</f>
        <v>6.23</v>
      </c>
      <c r="J157" s="4"/>
      <c r="K157" s="43" t="str">
        <f t="shared" si="20"/>
        <v>y</v>
      </c>
      <c r="L157" s="13" t="s">
        <v>545</v>
      </c>
      <c r="M157" s="4"/>
      <c r="N157" s="4"/>
      <c r="O157" s="4"/>
      <c r="P157" s="4"/>
      <c r="Q157" s="4"/>
      <c r="R157" s="4"/>
      <c r="S157" s="4"/>
      <c r="T157" s="4"/>
      <c r="U157" s="4"/>
      <c r="V157" s="4"/>
      <c r="W157" s="4"/>
      <c r="X157" s="4"/>
      <c r="Y157" s="4"/>
      <c r="Z157" s="4"/>
      <c r="AA157" s="4"/>
      <c r="AB157" s="4"/>
      <c r="AC157" s="4"/>
      <c r="AD157" s="4"/>
      <c r="AE157" s="4"/>
      <c r="AF157" s="4"/>
      <c r="AG157" s="4"/>
      <c r="AH157" s="4"/>
      <c r="AI157" s="4"/>
    </row>
    <row r="158" spans="1:35" s="1" customFormat="1" x14ac:dyDescent="0.25">
      <c r="A158" s="1" t="s">
        <v>362</v>
      </c>
      <c r="B158" s="27"/>
      <c r="C158" s="1" t="s">
        <v>361</v>
      </c>
      <c r="D158" s="16">
        <f>IFERROR(VLOOKUP($A158,FetchFundies[],D$1+1,FALSE)/Millions,0)</f>
        <v>982.70026700000005</v>
      </c>
      <c r="E158" s="16">
        <f>IFERROR(VLOOKUP($A158,FetchFundies[],E$1+1,FALSE)/Millions,0)</f>
        <v>958.71409700000004</v>
      </c>
      <c r="F158" s="16">
        <f>IFERROR(VLOOKUP($A158,FetchFundies[],F$1+1,FALSE)/Millions,0)</f>
        <v>937.385625</v>
      </c>
      <c r="G158" s="16">
        <f>IFERROR(VLOOKUP($A158,FetchFundies[],G$1+1,FALSE)/Millions,0)</f>
        <v>916.31571399999996</v>
      </c>
      <c r="H158" s="16">
        <f>IFERROR(VLOOKUP($A158,FetchFundies[],H$1+1,FALSE)/Millions,0)</f>
        <v>892.81337599999995</v>
      </c>
      <c r="I158" s="16">
        <f>IFERROR(VLOOKUP($A158,FetchFundies[],I$1+1,FALSE)/Millions,0)</f>
        <v>896.56397100000004</v>
      </c>
      <c r="J158" s="9"/>
      <c r="K158" s="43" t="str">
        <f t="shared" si="20"/>
        <v>y</v>
      </c>
      <c r="L158" s="13" t="s">
        <v>593</v>
      </c>
      <c r="M158" s="9"/>
      <c r="N158" s="9"/>
      <c r="O158" s="9"/>
      <c r="P158" s="9"/>
      <c r="Q158" s="9"/>
      <c r="R158" s="9"/>
      <c r="S158" s="9"/>
      <c r="T158" s="9"/>
      <c r="U158" s="9"/>
      <c r="V158" s="9"/>
      <c r="W158" s="9"/>
      <c r="X158" s="9"/>
      <c r="Y158" s="9"/>
      <c r="Z158" s="9"/>
      <c r="AA158" s="9"/>
      <c r="AB158" s="9"/>
      <c r="AC158" s="9"/>
      <c r="AD158" s="9"/>
      <c r="AE158" s="9"/>
      <c r="AF158" s="9"/>
      <c r="AG158" s="9"/>
      <c r="AH158" s="9"/>
      <c r="AI158" s="9"/>
    </row>
    <row r="159" spans="1:35" s="66" customFormat="1" ht="15.75" x14ac:dyDescent="0.25">
      <c r="A159" s="1" t="s">
        <v>366</v>
      </c>
      <c r="B159" s="28"/>
      <c r="C159" s="1" t="s">
        <v>365</v>
      </c>
      <c r="D159" s="31">
        <f>IF(D$1&lt;=0,"",VLOOKUP($A159,FetchFundies[],D$1+1,FALSE))</f>
        <v>13.4232180889394</v>
      </c>
      <c r="E159" s="31">
        <f>IF(E$1&lt;=0,"",VLOOKUP($A159,FetchFundies[],E$1+1,FALSE))</f>
        <v>12.3853399435306</v>
      </c>
      <c r="F159" s="31">
        <f>IF(F$1&lt;=0,"",VLOOKUP($A159,FetchFundies[],F$1+1,FALSE))</f>
        <v>6.1362152849314304</v>
      </c>
      <c r="G159" s="22">
        <f>IF(G$1&lt;=0,"",VLOOKUP($A159,FetchFundies[],G$1+1,FALSE))</f>
        <v>9.5240099745795703</v>
      </c>
      <c r="H159" s="31">
        <f>IF(H$1&lt;=0,"",VLOOKUP($A159,FetchFundies[],H$1+1,FALSE))</f>
        <v>10.5643578529899</v>
      </c>
      <c r="I159" s="31">
        <f>IF(I$1&lt;=0,"",VLOOKUP($A159,FetchFundies[],I$1+1,FALSE))</f>
        <v>6.2349148313032101</v>
      </c>
      <c r="J159" s="4"/>
      <c r="K159" s="43" t="str">
        <f t="shared" si="20"/>
        <v>y</v>
      </c>
      <c r="L159" s="13" t="s">
        <v>546</v>
      </c>
      <c r="M159" s="4"/>
      <c r="N159" s="4"/>
      <c r="O159" s="4"/>
      <c r="P159" s="4"/>
      <c r="Q159" s="4"/>
      <c r="R159" s="4"/>
      <c r="S159" s="4"/>
      <c r="T159" s="4"/>
      <c r="U159" s="4"/>
      <c r="V159" s="4"/>
      <c r="W159" s="4"/>
      <c r="X159" s="4"/>
      <c r="Y159" s="4"/>
      <c r="Z159" s="4"/>
      <c r="AA159" s="4"/>
      <c r="AB159" s="4"/>
      <c r="AC159" s="4"/>
      <c r="AD159" s="4"/>
      <c r="AE159" s="4"/>
      <c r="AF159" s="4"/>
      <c r="AG159" s="4"/>
      <c r="AH159" s="4"/>
      <c r="AI159" s="4"/>
    </row>
    <row r="160" spans="1:35" s="80" customFormat="1" ht="15.75" x14ac:dyDescent="0.25">
      <c r="A160" s="1" t="s">
        <v>370</v>
      </c>
      <c r="B160" s="39"/>
      <c r="C160" s="1" t="s">
        <v>369</v>
      </c>
      <c r="D160" s="122">
        <f>IF(D$1&lt;=0,"",VLOOKUP($A160,FetchFundies[],D$1+1,FALSE))</f>
        <v>0.12753299342760299</v>
      </c>
      <c r="E160" s="122">
        <f>IF(E$1&lt;=0,"",VLOOKUP($A160,FetchFundies[],E$1+1,FALSE))</f>
        <v>-7.7319621757765397E-2</v>
      </c>
      <c r="F160" s="122">
        <f>IF(F$1&lt;=0,"",VLOOKUP($A160,FetchFundies[],F$1+1,FALSE))</f>
        <v>-0.50455818629858196</v>
      </c>
      <c r="G160" s="122">
        <f>IF(G$1&lt;=0,"",VLOOKUP($A160,FetchFundies[],G$1+1,FALSE))</f>
        <v>0.55209840794984399</v>
      </c>
      <c r="H160" s="122">
        <f>IF(H$1&lt;=0,"",VLOOKUP($A160,FetchFundies[],H$1+1,FALSE))</f>
        <v>0.10923422814414201</v>
      </c>
      <c r="I160" s="122">
        <f>IF(I$1&lt;=0,"",VLOOKUP($A160,FetchFundies[],I$1+1,FALSE))</f>
        <v>-0.40981601361235298</v>
      </c>
      <c r="J160" s="11"/>
      <c r="K160" s="43" t="str">
        <f t="shared" si="20"/>
        <v>y</v>
      </c>
      <c r="L160" s="13" t="s">
        <v>547</v>
      </c>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128" s="71" customFormat="1" ht="15.75" x14ac:dyDescent="0.25">
      <c r="A161" s="1" t="s">
        <v>373</v>
      </c>
      <c r="B161" s="27"/>
      <c r="C161" s="1" t="s">
        <v>372</v>
      </c>
      <c r="D161" s="16">
        <f>IFERROR(VLOOKUP($A161,FetchFundies[],D$1+1,FALSE)/Millions,0)</f>
        <v>978.74452299999996</v>
      </c>
      <c r="E161" s="16">
        <f>IFERROR(VLOOKUP($A161,FetchFundies[],E$1+1,FALSE)/Millions,0)</f>
        <v>955.42253000000005</v>
      </c>
      <c r="F161" s="16">
        <f>IFERROR(VLOOKUP($A161,FetchFundies[],F$1+1,FALSE)/Millions,0)</f>
        <v>932.82829500000003</v>
      </c>
      <c r="G161" s="16">
        <f>IFERROR(VLOOKUP($A161,FetchFundies[],G$1+1,FALSE)/Millions,0)</f>
        <v>912.04807200000005</v>
      </c>
      <c r="H161" s="16">
        <f>IFERROR(VLOOKUP($A161,FetchFundies[],H$1+1,FALSE)/Millions,0)</f>
        <v>887.23510499999998</v>
      </c>
      <c r="I161" s="16">
        <f>IFERROR(VLOOKUP($A161,FetchFundies[],I$1+1,FALSE)/Millions,0)</f>
        <v>890.34867899999995</v>
      </c>
      <c r="J161" s="9"/>
      <c r="K161" s="43" t="str">
        <f t="shared" si="20"/>
        <v>y</v>
      </c>
      <c r="L161" s="13" t="s">
        <v>591</v>
      </c>
      <c r="M161" s="9"/>
      <c r="N161" s="9"/>
      <c r="O161" s="9"/>
      <c r="P161" s="9"/>
      <c r="Q161" s="9"/>
      <c r="R161" s="9"/>
      <c r="S161" s="9"/>
      <c r="T161" s="9"/>
      <c r="U161" s="9"/>
      <c r="V161" s="9"/>
      <c r="W161" s="9"/>
      <c r="X161" s="9"/>
      <c r="Y161" s="9"/>
      <c r="Z161" s="9"/>
      <c r="AA161" s="9"/>
      <c r="AB161" s="9"/>
      <c r="AC161" s="9"/>
      <c r="AD161" s="9"/>
      <c r="AE161" s="9"/>
      <c r="AF161" s="9"/>
      <c r="AG161" s="9"/>
      <c r="AH161" s="9"/>
      <c r="AI161" s="9"/>
    </row>
    <row r="162" spans="1:128" s="112" customFormat="1" x14ac:dyDescent="0.25">
      <c r="A162" s="1" t="s">
        <v>377</v>
      </c>
      <c r="B162" s="28"/>
      <c r="C162" s="1" t="s">
        <v>376</v>
      </c>
      <c r="D162" s="31">
        <f>IF(D$1&lt;=0,"",VLOOKUP($A162,FetchFundies[],D$1+1,FALSE))</f>
        <v>13.4774700547673</v>
      </c>
      <c r="E162" s="31">
        <f>IF(E$1&lt;=0,"",VLOOKUP($A162,FetchFundies[],E$1+1,FALSE))</f>
        <v>12.428009207612</v>
      </c>
      <c r="F162" s="31">
        <f>IF(F$1&lt;=0,"",VLOOKUP($A162,FetchFundies[],F$1+1,FALSE))</f>
        <v>6.1661937473712696</v>
      </c>
      <c r="G162" s="22">
        <f>IF(G$1&lt;=0,"",VLOOKUP($A162,FetchFundies[],G$1+1,FALSE))</f>
        <v>9.56857458276607</v>
      </c>
      <c r="H162" s="31">
        <f>IF(H$1&lt;=0,"",VLOOKUP($A162,FetchFundies[],H$1+1,FALSE))</f>
        <v>10.630778636740301</v>
      </c>
      <c r="I162" s="31">
        <f>IF(I$1&lt;=0,"",VLOOKUP($A162,FetchFundies[],I$1+1,FALSE))</f>
        <v>6.2784391461988101</v>
      </c>
      <c r="J162" s="4"/>
      <c r="K162" s="43" t="str">
        <f t="shared" si="20"/>
        <v>y</v>
      </c>
      <c r="L162" s="13" t="s">
        <v>543</v>
      </c>
      <c r="M162" s="4"/>
      <c r="N162" s="4"/>
      <c r="O162" s="4"/>
      <c r="P162" s="4"/>
      <c r="Q162" s="4"/>
      <c r="R162" s="4"/>
      <c r="S162" s="4"/>
      <c r="T162" s="4"/>
      <c r="U162" s="4"/>
      <c r="V162" s="4"/>
      <c r="W162" s="4"/>
      <c r="X162" s="4"/>
      <c r="Y162" s="4"/>
      <c r="Z162" s="4"/>
      <c r="AA162" s="4"/>
      <c r="AB162" s="4"/>
      <c r="AC162" s="4"/>
      <c r="AD162" s="4"/>
      <c r="AE162" s="4"/>
      <c r="AF162" s="4"/>
      <c r="AG162" s="4"/>
      <c r="AH162" s="4"/>
      <c r="AI162" s="4"/>
    </row>
    <row r="163" spans="1:128" x14ac:dyDescent="0.25">
      <c r="A163" s="1" t="s">
        <v>381</v>
      </c>
      <c r="B163" s="39"/>
      <c r="C163" s="1" t="s">
        <v>380</v>
      </c>
      <c r="D163" s="122">
        <f>IF(D$1&lt;=0,"",VLOOKUP($A163,FetchFundies[],D$1+1,FALSE))</f>
        <v>0.12566980020656801</v>
      </c>
      <c r="E163" s="122">
        <f>IF(E$1&lt;=0,"",VLOOKUP($A163,FetchFundies[],E$1+1,FALSE))</f>
        <v>-7.7867792908508607E-2</v>
      </c>
      <c r="F163" s="122">
        <f>IF(F$1&lt;=0,"",VLOOKUP($A163,FetchFundies[],F$1+1,FALSE))</f>
        <v>-0.50384702454239205</v>
      </c>
      <c r="G163" s="122">
        <f>IF(G$1&lt;=0,"",VLOOKUP($A163,FetchFundies[],G$1+1,FALSE))</f>
        <v>0.55177974854346501</v>
      </c>
      <c r="H163" s="122">
        <f>IF(H$1&lt;=0,"",VLOOKUP($A163,FetchFundies[],H$1+1,FALSE))</f>
        <v>0.111009643577145</v>
      </c>
      <c r="I163" s="122">
        <f>IF(I$1&lt;=0,"",VLOOKUP($A163,FetchFundies[],I$1+1,FALSE))</f>
        <v>-0.40940928592940901</v>
      </c>
      <c r="J163" s="11"/>
      <c r="K163" s="43" t="str">
        <f t="shared" si="20"/>
        <v>y</v>
      </c>
      <c r="L163" s="13" t="s">
        <v>544</v>
      </c>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0"/>
      <c r="DC163" s="10"/>
      <c r="DD163" s="10"/>
      <c r="DE163" s="10"/>
      <c r="DF163" s="10"/>
      <c r="DG163" s="10"/>
      <c r="DH163" s="10"/>
      <c r="DI163" s="10"/>
      <c r="DJ163" s="10"/>
      <c r="DK163" s="10"/>
      <c r="DL163" s="10"/>
      <c r="DM163" s="10"/>
      <c r="DN163" s="10"/>
      <c r="DO163" s="10"/>
      <c r="DP163" s="10"/>
      <c r="DQ163" s="10"/>
      <c r="DR163" s="10"/>
      <c r="DS163" s="10"/>
      <c r="DT163" s="10"/>
      <c r="DU163" s="10"/>
      <c r="DV163" s="10"/>
      <c r="DW163" s="10"/>
      <c r="DX163" s="10"/>
    </row>
    <row r="164" spans="1:128" x14ac:dyDescent="0.25">
      <c r="A164" s="1"/>
      <c r="B164" s="39"/>
      <c r="C164" s="1" t="s">
        <v>771</v>
      </c>
      <c r="D164" s="31">
        <f t="shared" ref="D164:I164" si="22">+D134/D154</f>
        <v>14.571729051708829</v>
      </c>
      <c r="E164" s="31">
        <f t="shared" si="22"/>
        <v>19.097309752576169</v>
      </c>
      <c r="F164" s="31">
        <f t="shared" si="22"/>
        <v>18.859848156728564</v>
      </c>
      <c r="G164" s="31">
        <f t="shared" si="22"/>
        <v>18.416792399074332</v>
      </c>
      <c r="H164" s="31">
        <f t="shared" si="22"/>
        <v>23.487573792518049</v>
      </c>
      <c r="I164" s="31">
        <f t="shared" si="22"/>
        <v>23.133633469455624</v>
      </c>
      <c r="J164" s="11"/>
      <c r="K164" s="43"/>
      <c r="L164" s="13"/>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0"/>
      <c r="DC164" s="10"/>
      <c r="DD164" s="10"/>
      <c r="DE164" s="10"/>
      <c r="DF164" s="10"/>
      <c r="DG164" s="10"/>
      <c r="DH164" s="10"/>
      <c r="DI164" s="10"/>
      <c r="DJ164" s="10"/>
      <c r="DK164" s="10"/>
      <c r="DL164" s="10"/>
      <c r="DM164" s="10"/>
      <c r="DN164" s="10"/>
      <c r="DO164" s="10"/>
      <c r="DP164" s="10"/>
      <c r="DQ164" s="10"/>
      <c r="DR164" s="10"/>
      <c r="DS164" s="10"/>
      <c r="DT164" s="10"/>
      <c r="DU164" s="10"/>
      <c r="DV164" s="10"/>
      <c r="DW164" s="10"/>
      <c r="DX164" s="10"/>
    </row>
    <row r="165" spans="1:128" x14ac:dyDescent="0.25">
      <c r="A165" s="1"/>
      <c r="B165" s="39"/>
      <c r="C165" s="1" t="s">
        <v>690</v>
      </c>
      <c r="D165" s="31" t="s">
        <v>751</v>
      </c>
      <c r="E165" s="31" t="s">
        <v>751</v>
      </c>
      <c r="F165" s="31">
        <f>IF(Settings!B12=TRUE,SUMIF(FetchDividends[YearQuarter],F5,FetchDividends[amount])+SUMIF(FetchDividends[YearQuarter],F6,FetchDividends[amount])+SUMIF(FetchDividends[YearQuarter],F7,FetchDividends[amount])+SUMIF(FetchDividends[YearQuarter],F8,FetchDividends[amount]),"")</f>
        <v>5.9</v>
      </c>
      <c r="G165" s="31">
        <f>IF(Settings!B12=TRUE,SUMIF(FetchDividends[YearQuarter],G5,FetchDividends[amount])+SUMIF(FetchDividends[YearQuarter],G6,FetchDividends[amount])+SUMIF(FetchDividends[YearQuarter],G7,FetchDividends[amount])+SUMIF(FetchDividends[YearQuarter],G8,FetchDividends[amount]),"")</f>
        <v>6.21</v>
      </c>
      <c r="H165" s="31">
        <f>IF(Settings!B12=TRUE,SUMIF(FetchDividends[YearQuarter],H5,FetchDividends[amount])+SUMIF(FetchDividends[YearQuarter],H6,FetchDividends[amount])+SUMIF(FetchDividends[YearQuarter],H7,FetchDividends[amount])+SUMIF(FetchDividends[YearQuarter],H8,FetchDividends[amount]),"")</f>
        <v>6.4300000000000006</v>
      </c>
      <c r="I165" s="31">
        <f>IF(Settings!B12=TRUE,SUMIF(FetchDividends[YearQuarter],I5,FetchDividends[amount])+SUMIF(FetchDividends[YearQuarter],I6,FetchDividends[amount])+SUMIF(FetchDividends[YearQuarter],I7,FetchDividends[amount])+SUMIF(FetchDividends[YearQuarter],I8,FetchDividends[amount]),"")</f>
        <v>6.51</v>
      </c>
      <c r="J165" s="11"/>
      <c r="K165" s="43" t="str">
        <f t="shared" si="20"/>
        <v>y</v>
      </c>
      <c r="L165" s="13" t="s">
        <v>660</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c r="DQ165" s="10"/>
      <c r="DR165" s="10"/>
      <c r="DS165" s="10"/>
      <c r="DT165" s="10"/>
      <c r="DU165" s="10"/>
      <c r="DV165" s="10"/>
      <c r="DW165" s="10"/>
      <c r="DX165" s="10"/>
    </row>
    <row r="166" spans="1:128" s="108" customFormat="1" ht="23.25" x14ac:dyDescent="0.25">
      <c r="B166" s="127" t="s">
        <v>619</v>
      </c>
      <c r="C166" s="127"/>
      <c r="D166" s="107"/>
      <c r="E166" s="107"/>
      <c r="F166" s="107"/>
      <c r="G166" s="107"/>
      <c r="H166" s="107"/>
      <c r="I166" s="107"/>
      <c r="J166" s="107"/>
      <c r="K166" s="43" t="str">
        <f t="shared" si="20"/>
        <v>y</v>
      </c>
      <c r="L166" s="44" t="s">
        <v>631</v>
      </c>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row>
    <row r="167" spans="1:128" s="112" customFormat="1" x14ac:dyDescent="0.25">
      <c r="A167" s="1" t="s">
        <v>89</v>
      </c>
      <c r="B167" s="28"/>
      <c r="C167" s="1" t="s">
        <v>427</v>
      </c>
      <c r="D167" s="31" t="e">
        <f>IF(prices_loaded=TRUE,VLOOKUP(D168,FetchPrices[#All],2,TRUE))</f>
        <v>#N/A</v>
      </c>
      <c r="E167" s="31">
        <f>IF(prices_loaded=TRUE,VLOOKUP(E168,FetchPrices[#All],2,TRUE))</f>
        <v>165.99</v>
      </c>
      <c r="F167" s="31">
        <f>IF(prices_loaded=TRUE,VLOOKUP(F168,FetchPrices[#All],2,TRUE))</f>
        <v>153.41999999999999</v>
      </c>
      <c r="G167" s="31">
        <f>IF(prices_loaded=TRUE,VLOOKUP(G168,FetchPrices[#All],2,TRUE))</f>
        <v>113.67</v>
      </c>
      <c r="H167" s="31">
        <f>IF(prices_loaded=TRUE,VLOOKUP(H168,FetchPrices[#All],2,TRUE))</f>
        <v>134.04</v>
      </c>
      <c r="I167" s="31">
        <f>IF(prices_loaded=TRUE,VLOOKUP(I168,FetchPrices[#All],2,TRUE))</f>
        <v>125.88</v>
      </c>
      <c r="J167" s="4"/>
      <c r="K167" s="43" t="str">
        <f t="shared" si="20"/>
        <v>y</v>
      </c>
      <c r="L167" s="13" t="s">
        <v>612</v>
      </c>
      <c r="M167" s="4"/>
      <c r="N167" s="4"/>
      <c r="O167" s="4"/>
      <c r="P167" s="4"/>
      <c r="Q167" s="4"/>
      <c r="R167" s="4"/>
      <c r="S167" s="4"/>
      <c r="T167" s="4"/>
      <c r="U167" s="4"/>
      <c r="V167" s="4"/>
      <c r="W167" s="4"/>
      <c r="X167" s="4"/>
      <c r="Y167" s="4"/>
      <c r="Z167" s="4"/>
      <c r="AA167" s="4"/>
      <c r="AB167" s="4"/>
      <c r="AC167" s="4"/>
      <c r="AD167" s="4"/>
      <c r="AE167" s="4"/>
      <c r="AF167" s="4"/>
      <c r="AG167" s="4"/>
      <c r="AH167" s="4"/>
      <c r="AI167" s="4"/>
    </row>
    <row r="168" spans="1:128" s="112" customFormat="1" x14ac:dyDescent="0.25">
      <c r="A168" s="1"/>
      <c r="B168" s="28"/>
      <c r="C168" s="1" t="s">
        <v>666</v>
      </c>
      <c r="D168" s="130" t="str">
        <f>IFERROR(VLOOKUP(DATE(D11,12,31),#REF!,1),"")</f>
        <v/>
      </c>
      <c r="E168" s="130">
        <f>VLOOKUP(E11,FetchPrices[#All],1,TRUE)</f>
        <v>42734</v>
      </c>
      <c r="F168" s="130">
        <f>VLOOKUP(F11,FetchPrices[#All],1,TRUE)</f>
        <v>43098</v>
      </c>
      <c r="G168" s="130">
        <f>VLOOKUP(G11,FetchPrices[#All],1,TRUE)</f>
        <v>43465</v>
      </c>
      <c r="H168" s="130">
        <f>VLOOKUP(H11,FetchPrices[#All],1,TRUE)</f>
        <v>43830</v>
      </c>
      <c r="I168" s="130">
        <f>VLOOKUP(I11,FetchPrices[#All],1,TRUE)</f>
        <v>44196</v>
      </c>
      <c r="J168" s="4"/>
      <c r="K168" s="43"/>
      <c r="L168" s="13"/>
      <c r="M168" s="4"/>
      <c r="N168" s="4"/>
      <c r="O168" s="4"/>
      <c r="P168" s="4"/>
      <c r="Q168" s="4"/>
      <c r="R168" s="4"/>
      <c r="S168" s="4"/>
      <c r="T168" s="4"/>
      <c r="U168" s="4"/>
      <c r="V168" s="4"/>
      <c r="W168" s="4"/>
      <c r="X168" s="4"/>
      <c r="Y168" s="4"/>
      <c r="Z168" s="4"/>
      <c r="AA168" s="4"/>
      <c r="AB168" s="4"/>
      <c r="AC168" s="4"/>
      <c r="AD168" s="4"/>
      <c r="AE168" s="4"/>
      <c r="AF168" s="4"/>
      <c r="AG168" s="4"/>
      <c r="AH168" s="4"/>
      <c r="AI168" s="4"/>
    </row>
    <row r="169" spans="1:128" s="28" customFormat="1" x14ac:dyDescent="0.25">
      <c r="A169" s="27"/>
      <c r="B169" s="37"/>
      <c r="C169" s="40" t="s">
        <v>434</v>
      </c>
      <c r="D169" s="29" t="str">
        <f t="shared" ref="D169:I169" si="23">IF(prices_loaded=TRUE,IFERROR(D161*D167,""))</f>
        <v/>
      </c>
      <c r="E169" s="29">
        <f t="shared" si="23"/>
        <v>158590.58575470001</v>
      </c>
      <c r="F169" s="29">
        <f t="shared" si="23"/>
        <v>143114.51701889999</v>
      </c>
      <c r="G169" s="29">
        <f t="shared" si="23"/>
        <v>103672.50434424001</v>
      </c>
      <c r="H169" s="29">
        <f t="shared" si="23"/>
        <v>118924.99347419999</v>
      </c>
      <c r="I169" s="29">
        <f t="shared" si="23"/>
        <v>112077.09171251999</v>
      </c>
      <c r="J169" s="30"/>
      <c r="K169" s="43" t="str">
        <f t="shared" si="20"/>
        <v>y</v>
      </c>
      <c r="L169" s="13" t="s">
        <v>595</v>
      </c>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row>
    <row r="170" spans="1:128" x14ac:dyDescent="0.25">
      <c r="B170" s="113"/>
      <c r="C170" s="14" t="s">
        <v>435</v>
      </c>
      <c r="D170" s="114">
        <f>+D113+D112+D117-D71</f>
        <v>31695</v>
      </c>
      <c r="E170" s="114">
        <f t="shared" ref="E170:I170" si="24">+E113+E112+E117-E71</f>
        <v>33641</v>
      </c>
      <c r="F170" s="114">
        <f t="shared" si="24"/>
        <v>34244</v>
      </c>
      <c r="G170" s="114">
        <f t="shared" si="24"/>
        <v>33815</v>
      </c>
      <c r="H170" s="114">
        <f t="shared" si="24"/>
        <v>54031</v>
      </c>
      <c r="I170" s="114">
        <f t="shared" si="24"/>
        <v>47726</v>
      </c>
      <c r="K170" s="43" t="str">
        <f t="shared" si="20"/>
        <v>y</v>
      </c>
      <c r="L170" s="13" t="s">
        <v>596</v>
      </c>
    </row>
    <row r="171" spans="1:128" x14ac:dyDescent="0.25">
      <c r="A171" s="114" t="str">
        <f t="shared" ref="A171" si="25">+A122</f>
        <v>interestminority</v>
      </c>
      <c r="C171" s="7" t="s">
        <v>436</v>
      </c>
      <c r="D171" s="114">
        <f t="shared" ref="D171:I171" si="26">+D122</f>
        <v>162</v>
      </c>
      <c r="E171" s="114">
        <f t="shared" si="26"/>
        <v>146</v>
      </c>
      <c r="F171" s="114">
        <f t="shared" si="26"/>
        <v>131</v>
      </c>
      <c r="G171" s="114">
        <f t="shared" si="26"/>
        <v>134</v>
      </c>
      <c r="H171" s="114">
        <f t="shared" si="26"/>
        <v>144</v>
      </c>
      <c r="I171" s="114">
        <f t="shared" si="26"/>
        <v>129</v>
      </c>
      <c r="K171" s="43" t="str">
        <f t="shared" si="20"/>
        <v>y</v>
      </c>
      <c r="L171" s="13" t="s">
        <v>557</v>
      </c>
    </row>
    <row r="172" spans="1:128" x14ac:dyDescent="0.25">
      <c r="A172" s="114" t="str">
        <f t="shared" ref="A172" si="27">+A71</f>
        <v>assetscurrentcash</v>
      </c>
      <c r="B172" s="113"/>
      <c r="C172" s="14" t="s">
        <v>437</v>
      </c>
      <c r="D172" s="114">
        <f t="shared" ref="D172:I172" si="28">+D71</f>
        <v>8194</v>
      </c>
      <c r="E172" s="114">
        <f t="shared" si="28"/>
        <v>8527</v>
      </c>
      <c r="F172" s="114">
        <f t="shared" si="28"/>
        <v>12580</v>
      </c>
      <c r="G172" s="114">
        <f t="shared" si="28"/>
        <v>11997</v>
      </c>
      <c r="H172" s="114">
        <f t="shared" si="28"/>
        <v>8868</v>
      </c>
      <c r="I172" s="114">
        <f t="shared" si="28"/>
        <v>13812</v>
      </c>
      <c r="K172" s="43" t="str">
        <f t="shared" si="20"/>
        <v>y</v>
      </c>
      <c r="L172" s="115" t="s">
        <v>473</v>
      </c>
    </row>
    <row r="173" spans="1:128" x14ac:dyDescent="0.25">
      <c r="B173" s="113"/>
      <c r="C173" s="14" t="s">
        <v>621</v>
      </c>
      <c r="D173" s="114" t="str">
        <f t="shared" ref="D173:I173" si="29">IF(prices_loaded=TRUE,IFERROR(D169+D170+D171-D172,""))</f>
        <v/>
      </c>
      <c r="E173" s="114">
        <f t="shared" si="29"/>
        <v>183850.58575470001</v>
      </c>
      <c r="F173" s="114">
        <f t="shared" si="29"/>
        <v>164909.51701889999</v>
      </c>
      <c r="G173" s="114">
        <f t="shared" si="29"/>
        <v>125624.50434424001</v>
      </c>
      <c r="H173" s="114">
        <f t="shared" si="29"/>
        <v>164231.99347419999</v>
      </c>
      <c r="I173" s="114">
        <f t="shared" si="29"/>
        <v>146120.09171251999</v>
      </c>
      <c r="K173" s="43" t="str">
        <f t="shared" si="20"/>
        <v>y</v>
      </c>
      <c r="L173" s="13" t="s">
        <v>597</v>
      </c>
    </row>
    <row r="174" spans="1:128" x14ac:dyDescent="0.25">
      <c r="B174" s="113"/>
      <c r="C174" s="14" t="s">
        <v>455</v>
      </c>
      <c r="D174" s="114">
        <f t="shared" ref="D174:I174" si="30">+D84-D115</f>
        <v>8234</v>
      </c>
      <c r="E174" s="114">
        <f t="shared" si="30"/>
        <v>7615</v>
      </c>
      <c r="F174" s="114">
        <f t="shared" si="30"/>
        <v>12372</v>
      </c>
      <c r="G174" s="114">
        <f t="shared" si="30"/>
        <v>10918</v>
      </c>
      <c r="H174" s="114">
        <f t="shared" si="30"/>
        <v>719</v>
      </c>
      <c r="I174" s="114">
        <f t="shared" si="30"/>
        <v>-704</v>
      </c>
      <c r="K174" s="43" t="str">
        <f t="shared" si="20"/>
        <v>y</v>
      </c>
      <c r="L174" s="13" t="s">
        <v>598</v>
      </c>
    </row>
    <row r="175" spans="1:128" x14ac:dyDescent="0.25">
      <c r="A175" s="114" t="str">
        <f t="shared" ref="A175" si="31">+A58</f>
        <v>incomeNetPreTax</v>
      </c>
      <c r="B175" s="113"/>
      <c r="C175" s="14" t="s">
        <v>441</v>
      </c>
      <c r="D175" s="114">
        <f t="shared" ref="D175:I175" si="32">+D58</f>
        <v>15946</v>
      </c>
      <c r="E175" s="114">
        <f t="shared" si="32"/>
        <v>12332</v>
      </c>
      <c r="F175" s="114">
        <f t="shared" si="32"/>
        <v>11399</v>
      </c>
      <c r="G175" s="114">
        <f t="shared" si="32"/>
        <v>11341</v>
      </c>
      <c r="H175" s="114">
        <f t="shared" si="32"/>
        <v>10167</v>
      </c>
      <c r="I175" s="114">
        <f t="shared" si="32"/>
        <v>4637</v>
      </c>
      <c r="K175" s="43" t="str">
        <f t="shared" si="20"/>
        <v>y</v>
      </c>
      <c r="L175" s="115" t="s">
        <v>548</v>
      </c>
    </row>
    <row r="176" spans="1:128" x14ac:dyDescent="0.25">
      <c r="A176" t="s">
        <v>57</v>
      </c>
      <c r="B176" s="113"/>
      <c r="C176" s="14" t="s">
        <v>821</v>
      </c>
      <c r="D176" s="16">
        <f>IFERROR(VLOOKUP($A176,FetchFundies[],D$1+1,FALSE)/Millions,0)</f>
        <v>15690</v>
      </c>
      <c r="E176" s="16">
        <f>IFERROR(VLOOKUP($A176,FetchFundies[],E$1+1,FALSE)/Millions,0)</f>
        <v>13107</v>
      </c>
      <c r="F176" s="16">
        <f>IFERROR(VLOOKUP($A176,FetchFundies[],F$1+1,FALSE)/Millions,0)</f>
        <v>11798</v>
      </c>
      <c r="G176" s="16">
        <f>IFERROR(VLOOKUP($A176,FetchFundies[],G$1+1,FALSE)/Millions,0)</f>
        <v>13216</v>
      </c>
      <c r="H176" s="16">
        <f>IFERROR(VLOOKUP($A176,FetchFundies[],H$1+1,FALSE)/Millions,0)</f>
        <v>10544</v>
      </c>
      <c r="I176" s="16">
        <f>IFERROR(VLOOKUP($A176,FetchFundies[],I$1+1,FALSE)/Millions,0)</f>
        <v>6786</v>
      </c>
      <c r="K176" s="43" t="str">
        <f t="shared" si="20"/>
        <v>y</v>
      </c>
      <c r="L176" s="13" t="s">
        <v>599</v>
      </c>
    </row>
    <row r="177" spans="1:35" x14ac:dyDescent="0.25">
      <c r="A177" t="s">
        <v>58</v>
      </c>
      <c r="B177" s="113"/>
      <c r="C177" s="14" t="s">
        <v>820</v>
      </c>
      <c r="D177" s="16">
        <f>IFERROR(VLOOKUP($A177,FetchFundies[],D$1+1,FALSE)/Millions,0)</f>
        <v>19545</v>
      </c>
      <c r="E177" s="16">
        <f>IFERROR(VLOOKUP($A177,FetchFundies[],E$1+1,FALSE)/Millions,0)</f>
        <v>17488</v>
      </c>
      <c r="F177" s="16">
        <f>IFERROR(VLOOKUP($A177,FetchFundies[],F$1+1,FALSE)/Millions,0)</f>
        <v>16339</v>
      </c>
      <c r="G177" s="16">
        <f>IFERROR(VLOOKUP($A177,FetchFundies[],G$1+1,FALSE)/Millions,0)</f>
        <v>17696</v>
      </c>
      <c r="H177" s="16">
        <f>IFERROR(VLOOKUP($A177,FetchFundies[],H$1+1,FALSE)/Millions,0)</f>
        <v>16603</v>
      </c>
      <c r="I177" s="16">
        <f>IFERROR(VLOOKUP($A177,FetchFundies[],I$1+1,FALSE)/Millions,0)</f>
        <v>13481</v>
      </c>
      <c r="K177" s="43" t="str">
        <f t="shared" si="20"/>
        <v>y</v>
      </c>
      <c r="L177" s="13" t="s">
        <v>600</v>
      </c>
    </row>
    <row r="178" spans="1:35" x14ac:dyDescent="0.25">
      <c r="B178" s="113"/>
      <c r="C178" s="14" t="s">
        <v>614</v>
      </c>
      <c r="D178" s="114"/>
      <c r="E178" s="114">
        <f>+E66+E138+E140-(E174-D174)</f>
        <v>12724</v>
      </c>
      <c r="F178" s="114">
        <f>+F66+F138+F140-(F174-E174)</f>
        <v>1763</v>
      </c>
      <c r="G178" s="114">
        <f>+G66+G138+G140-(G174-F174)</f>
        <v>10697</v>
      </c>
      <c r="H178" s="114">
        <f>+H66+H138+H140-(H174-G174)</f>
        <v>23404</v>
      </c>
      <c r="I178" s="114">
        <f>+I66+I138+I140-(I174-H174)</f>
        <v>10478</v>
      </c>
      <c r="K178" s="43" t="str">
        <f t="shared" si="20"/>
        <v>y</v>
      </c>
      <c r="L178" s="13" t="s">
        <v>615</v>
      </c>
    </row>
    <row r="179" spans="1:35" s="108" customFormat="1" ht="23.25" x14ac:dyDescent="0.25">
      <c r="B179" s="127" t="s">
        <v>616</v>
      </c>
      <c r="C179" s="127"/>
      <c r="D179" s="116"/>
      <c r="E179" s="152"/>
      <c r="F179" s="152"/>
      <c r="G179" s="152"/>
      <c r="H179" s="152"/>
      <c r="I179" s="152"/>
      <c r="J179" s="107"/>
      <c r="K179" s="43" t="str">
        <f t="shared" si="20"/>
        <v>y</v>
      </c>
      <c r="L179" s="44" t="s">
        <v>632</v>
      </c>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row>
    <row r="180" spans="1:35" x14ac:dyDescent="0.25">
      <c r="B180" s="113"/>
      <c r="C180" s="14" t="s">
        <v>620</v>
      </c>
      <c r="D180" s="117"/>
      <c r="E180" s="117">
        <f>IFERROR(E173/E18,"")</f>
        <v>2.3004327546884387</v>
      </c>
      <c r="F180" s="117">
        <f>IFERROR(F173/F18,"")</f>
        <v>2.0837958151973108</v>
      </c>
      <c r="G180" s="117">
        <f>IFERROR(G173/G18,"")</f>
        <v>1.5783955816590025</v>
      </c>
      <c r="H180" s="117">
        <f>IFERROR(H173/H18,"")</f>
        <v>2.128818923278935</v>
      </c>
      <c r="I180" s="117">
        <f>IFERROR(I173/I18,"")</f>
        <v>1.9847610289526085</v>
      </c>
      <c r="K180" s="43" t="str">
        <f t="shared" si="20"/>
        <v>y</v>
      </c>
      <c r="L180" s="13" t="s">
        <v>622</v>
      </c>
    </row>
    <row r="181" spans="1:35" x14ac:dyDescent="0.25">
      <c r="B181" s="113"/>
      <c r="C181" s="14" t="s">
        <v>438</v>
      </c>
      <c r="D181" s="117"/>
      <c r="E181" s="117">
        <f>IFERROR(E173/E176,"")</f>
        <v>14.026900568757153</v>
      </c>
      <c r="F181" s="117">
        <f>IFERROR(F173/F176,"")</f>
        <v>13.977751908704864</v>
      </c>
      <c r="G181" s="117">
        <f>IFERROR(G173/G176,"")</f>
        <v>9.5054861035290568</v>
      </c>
      <c r="H181" s="117">
        <f>IFERROR(H173/H176,"")</f>
        <v>15.57587191523141</v>
      </c>
      <c r="I181" s="117">
        <f>IFERROR(I173/I176,"")</f>
        <v>21.53258056476864</v>
      </c>
      <c r="K181" s="43" t="str">
        <f t="shared" si="20"/>
        <v>y</v>
      </c>
      <c r="L181" s="13" t="s">
        <v>438</v>
      </c>
    </row>
    <row r="182" spans="1:35" x14ac:dyDescent="0.25">
      <c r="B182" s="113"/>
      <c r="C182" s="14" t="s">
        <v>449</v>
      </c>
      <c r="D182" s="117"/>
      <c r="E182" s="117">
        <f>IFERROR(E173/E177,"")</f>
        <v>10.51295664196592</v>
      </c>
      <c r="F182" s="117">
        <f>IFERROR(F173/F177,"")</f>
        <v>10.092999389124181</v>
      </c>
      <c r="G182" s="117">
        <f>IFERROR(G173/G177,"")</f>
        <v>7.099033925420434</v>
      </c>
      <c r="H182" s="117">
        <f>IFERROR(H173/H177,"")</f>
        <v>9.8917059250858266</v>
      </c>
      <c r="I182" s="117">
        <f>IFERROR(I173/I177,"")</f>
        <v>10.838965337328091</v>
      </c>
      <c r="K182" s="43" t="str">
        <f t="shared" si="20"/>
        <v>y</v>
      </c>
      <c r="L182" s="13" t="s">
        <v>449</v>
      </c>
    </row>
    <row r="183" spans="1:35" x14ac:dyDescent="0.25">
      <c r="B183" s="113"/>
      <c r="C183" s="14" t="s">
        <v>450</v>
      </c>
      <c r="D183" s="117"/>
      <c r="E183" s="117">
        <f>IFERROR(E169/E66,"")</f>
        <v>13.356121421147044</v>
      </c>
      <c r="F183" s="117">
        <f>IFERROR(F169/F66,"")</f>
        <v>24.880827019975658</v>
      </c>
      <c r="G183" s="117">
        <f>IFERROR(G169/G66,"")</f>
        <v>11.879512357538674</v>
      </c>
      <c r="H183" s="117">
        <f>IFERROR(H169/H66,"")</f>
        <v>12.608671912022899</v>
      </c>
      <c r="I183" s="117">
        <f>IFERROR(I169/I66,"")</f>
        <v>20.049569179341681</v>
      </c>
      <c r="K183" s="43" t="str">
        <f t="shared" si="20"/>
        <v>y</v>
      </c>
      <c r="L183" s="13" t="s">
        <v>601</v>
      </c>
    </row>
    <row r="184" spans="1:35" x14ac:dyDescent="0.25">
      <c r="B184" s="113"/>
      <c r="C184" s="14" t="s">
        <v>772</v>
      </c>
      <c r="D184" s="117"/>
      <c r="E184" s="117">
        <f>IFERROR(E169/E134,"")</f>
        <v>8.6918001619368628</v>
      </c>
      <c r="F184" s="117">
        <f>IFERROR(F169/F134,"")</f>
        <v>8.1347420575740355</v>
      </c>
      <c r="G184" s="117">
        <f>IFERROR(G169/G134,"")</f>
        <v>6.1720845593998934</v>
      </c>
      <c r="H184" s="117">
        <f>IFERROR(H169/H134,"")</f>
        <v>5.7068474242622003</v>
      </c>
      <c r="I184" s="117">
        <f>IFERROR(I169/I134,"")</f>
        <v>5.4414279609904348</v>
      </c>
      <c r="K184" s="43"/>
      <c r="L184" s="13" t="s">
        <v>773</v>
      </c>
    </row>
    <row r="185" spans="1:35" x14ac:dyDescent="0.25">
      <c r="B185" s="113"/>
      <c r="C185" s="14" t="s">
        <v>618</v>
      </c>
      <c r="D185" s="117"/>
      <c r="E185" s="26">
        <f>IFERROR(E178/E169,"")</f>
        <v>8.023174855839707E-2</v>
      </c>
      <c r="F185" s="26">
        <f>IFERROR(F178/F169,"")</f>
        <v>1.2318806203057477E-2</v>
      </c>
      <c r="G185" s="26">
        <f>IFERROR(G178/G169,"")</f>
        <v>0.10318068486588383</v>
      </c>
      <c r="H185" s="26">
        <f>IFERROR(H178/H169,"")</f>
        <v>0.19679631098804598</v>
      </c>
      <c r="I185" s="26">
        <f>IFERROR(I178/I169,"")</f>
        <v>9.3489221034359832E-2</v>
      </c>
      <c r="K185" s="43" t="str">
        <f t="shared" si="20"/>
        <v>y</v>
      </c>
      <c r="L185" s="13" t="s">
        <v>617</v>
      </c>
    </row>
    <row r="186" spans="1:35" x14ac:dyDescent="0.25">
      <c r="B186" s="113"/>
      <c r="C186" s="14" t="s">
        <v>659</v>
      </c>
      <c r="D186" s="117"/>
      <c r="E186" s="26" t="str">
        <f>IFERROR(E165/E167,"")</f>
        <v/>
      </c>
      <c r="F186" s="26">
        <f>IFERROR(F165/F167,"")</f>
        <v>3.8456524573067405E-2</v>
      </c>
      <c r="G186" s="26">
        <f>IFERROR(G165/G167,"")</f>
        <v>5.4631828978622329E-2</v>
      </c>
      <c r="H186" s="26">
        <f>IFERROR(H165/H167,"")</f>
        <v>4.7970754998507913E-2</v>
      </c>
      <c r="I186" s="26">
        <f>IFERROR(I165/I167,"")</f>
        <v>5.1715919923736892E-2</v>
      </c>
      <c r="K186" s="43" t="str">
        <f t="shared" si="20"/>
        <v>y</v>
      </c>
      <c r="L186" s="13" t="s">
        <v>693</v>
      </c>
    </row>
    <row r="187" spans="1:35" s="108" customFormat="1" ht="23.25" x14ac:dyDescent="0.25">
      <c r="B187" s="127" t="s">
        <v>451</v>
      </c>
      <c r="C187" s="127"/>
      <c r="D187" s="107"/>
      <c r="E187" s="107"/>
      <c r="F187" s="107"/>
      <c r="G187" s="107"/>
      <c r="H187" s="107"/>
      <c r="I187" s="107"/>
      <c r="J187" s="107"/>
      <c r="K187" s="43" t="str">
        <f t="shared" si="20"/>
        <v>y</v>
      </c>
      <c r="L187" s="44" t="s">
        <v>635</v>
      </c>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row>
    <row r="188" spans="1:35" x14ac:dyDescent="0.25">
      <c r="B188" s="113"/>
      <c r="C188" s="14" t="s">
        <v>425</v>
      </c>
      <c r="D188" s="26">
        <f t="shared" ref="D188:I188" si="33">+D30</f>
        <v>0.49772454796799687</v>
      </c>
      <c r="E188" s="26">
        <f t="shared" si="33"/>
        <v>0.47917917917917918</v>
      </c>
      <c r="F188" s="26">
        <f t="shared" si="33"/>
        <v>0.45775155106837334</v>
      </c>
      <c r="G188" s="26">
        <f t="shared" si="33"/>
        <v>0.46406583741676088</v>
      </c>
      <c r="H188" s="26">
        <f t="shared" si="33"/>
        <v>0.47298015476946609</v>
      </c>
      <c r="I188" s="26">
        <f t="shared" si="33"/>
        <v>0.48321810353024275</v>
      </c>
      <c r="K188" s="43" t="str">
        <f t="shared" si="20"/>
        <v>y</v>
      </c>
      <c r="L188" s="13" t="s">
        <v>602</v>
      </c>
    </row>
    <row r="189" spans="1:35" x14ac:dyDescent="0.25">
      <c r="B189" s="113"/>
      <c r="C189" s="14" t="s">
        <v>452</v>
      </c>
      <c r="D189" s="26">
        <f t="shared" ref="D189:I189" si="34">IFERROR(D176/D18,"")</f>
        <v>0.19194538915123194</v>
      </c>
      <c r="E189" s="26">
        <f t="shared" si="34"/>
        <v>0.1640015015015015</v>
      </c>
      <c r="F189" s="26">
        <f t="shared" si="34"/>
        <v>0.14907946777189501</v>
      </c>
      <c r="G189" s="26">
        <f t="shared" si="34"/>
        <v>0.16605101143359718</v>
      </c>
      <c r="H189" s="26">
        <f t="shared" si="34"/>
        <v>0.13667414157387844</v>
      </c>
      <c r="I189" s="26">
        <f t="shared" si="34"/>
        <v>9.2174787085206669E-2</v>
      </c>
      <c r="K189" s="43" t="str">
        <f t="shared" si="20"/>
        <v>y</v>
      </c>
      <c r="L189" s="13" t="s">
        <v>603</v>
      </c>
    </row>
    <row r="190" spans="1:35" x14ac:dyDescent="0.25">
      <c r="B190" s="113"/>
      <c r="C190" s="14" t="s">
        <v>453</v>
      </c>
      <c r="D190" s="26">
        <f t="shared" ref="D190:I190" si="35">IFERROR(D66/D18,"")</f>
        <v>0.16137359007609306</v>
      </c>
      <c r="E190" s="26">
        <f t="shared" si="35"/>
        <v>0.14857357357357356</v>
      </c>
      <c r="F190" s="26">
        <f t="shared" si="35"/>
        <v>7.2682242636373975E-2</v>
      </c>
      <c r="G190" s="26">
        <f t="shared" si="35"/>
        <v>0.10964945344892574</v>
      </c>
      <c r="H190" s="26">
        <f t="shared" si="35"/>
        <v>0.12226010084643603</v>
      </c>
      <c r="I190" s="26">
        <f t="shared" si="35"/>
        <v>7.5929422311568712E-2</v>
      </c>
      <c r="K190" s="43" t="str">
        <f t="shared" si="20"/>
        <v>y</v>
      </c>
      <c r="L190" s="13" t="s">
        <v>604</v>
      </c>
    </row>
    <row r="191" spans="1:35" x14ac:dyDescent="0.25">
      <c r="B191" s="113"/>
      <c r="C191" s="14" t="s">
        <v>633</v>
      </c>
      <c r="D191" s="26">
        <f t="shared" ref="D191:I191" si="36">IFERROR(D143/D18,"")</f>
        <v>0.20806929118445841</v>
      </c>
      <c r="E191" s="26">
        <f t="shared" si="36"/>
        <v>0.21218718718718718</v>
      </c>
      <c r="F191" s="26">
        <f t="shared" si="36"/>
        <v>0.21132437862495104</v>
      </c>
      <c r="G191" s="26">
        <f t="shared" si="36"/>
        <v>0.1915692926247016</v>
      </c>
      <c r="H191" s="26">
        <f t="shared" si="36"/>
        <v>0.19145268124489612</v>
      </c>
      <c r="I191" s="26">
        <f t="shared" si="36"/>
        <v>0.24717132339957348</v>
      </c>
      <c r="K191" s="43" t="str">
        <f t="shared" si="20"/>
        <v>y</v>
      </c>
      <c r="L191" s="13" t="s">
        <v>634</v>
      </c>
    </row>
    <row r="192" spans="1:35" x14ac:dyDescent="0.25">
      <c r="B192" s="113"/>
      <c r="C192" s="14" t="s">
        <v>636</v>
      </c>
      <c r="D192" s="26"/>
      <c r="E192" s="26">
        <f>IFERROR(E178/E18,"")</f>
        <v>0.1592092092092092</v>
      </c>
      <c r="F192" s="26">
        <f>IFERROR(F178/F18,"")</f>
        <v>2.2277258999987365E-2</v>
      </c>
      <c r="G192" s="26">
        <f>IFERROR(G178/G18,"")</f>
        <v>0.13440130669682121</v>
      </c>
      <c r="H192" s="26">
        <f>IFERROR(H178/H18,"")</f>
        <v>0.30336889315203441</v>
      </c>
      <c r="I192" s="26">
        <f>IFERROR(I178/I18,"")</f>
        <v>0.14232352182121949</v>
      </c>
      <c r="K192" s="43" t="str">
        <f t="shared" si="20"/>
        <v>y</v>
      </c>
      <c r="L192" s="13" t="s">
        <v>637</v>
      </c>
    </row>
    <row r="193" spans="2:35" s="108" customFormat="1" ht="23.25" x14ac:dyDescent="0.25">
      <c r="B193" s="127" t="s">
        <v>457</v>
      </c>
      <c r="C193" s="127"/>
      <c r="D193" s="107"/>
      <c r="E193" s="107"/>
      <c r="F193" s="107"/>
      <c r="G193" s="107"/>
      <c r="H193" s="107"/>
      <c r="I193" s="107"/>
      <c r="J193" s="107"/>
      <c r="K193" s="43" t="str">
        <f t="shared" si="20"/>
        <v>y</v>
      </c>
      <c r="L193" s="44"/>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row>
    <row r="194" spans="2:35" x14ac:dyDescent="0.25">
      <c r="B194" s="113"/>
      <c r="C194" s="14" t="s">
        <v>605</v>
      </c>
      <c r="E194" s="26">
        <f>IFERROR(E18/D18-1,"")</f>
        <v>-2.2289643023170491E-2</v>
      </c>
      <c r="F194" s="26">
        <f>IFERROR(F18/E18-1,"")</f>
        <v>-9.7722722722722866E-3</v>
      </c>
      <c r="G194" s="26">
        <f>IFERROR(G18/F18-1,"")</f>
        <v>5.6988336976711018E-3</v>
      </c>
      <c r="H194" s="26">
        <f>IFERROR(H18/G18-1,"")</f>
        <v>-3.0694810905892655E-2</v>
      </c>
      <c r="I194" s="26">
        <f>IFERROR(I18/H18-1,"")</f>
        <v>-4.5704952882160033E-2</v>
      </c>
      <c r="K194" s="43" t="str">
        <f t="shared" si="20"/>
        <v>y</v>
      </c>
      <c r="L194" s="13" t="s">
        <v>605</v>
      </c>
    </row>
    <row r="195" spans="2:35" x14ac:dyDescent="0.25">
      <c r="B195" s="113"/>
      <c r="C195" s="14" t="s">
        <v>606</v>
      </c>
      <c r="E195" s="26">
        <f>IFERROR(E176/D176-1,"")</f>
        <v>-0.16462715105162529</v>
      </c>
      <c r="F195" s="26">
        <f>IFERROR(F176/E176-1,"")</f>
        <v>-9.9870298313878059E-2</v>
      </c>
      <c r="G195" s="26">
        <f>IFERROR(G176/F176-1,"")</f>
        <v>0.12018986268859133</v>
      </c>
      <c r="H195" s="26">
        <f>IFERROR(H176/G176-1,"")</f>
        <v>-0.20217917675544794</v>
      </c>
      <c r="I195" s="26">
        <f>IFERROR(I176/H176-1,"")</f>
        <v>-0.35641122913505308</v>
      </c>
      <c r="K195" s="43" t="str">
        <f t="shared" si="20"/>
        <v>y</v>
      </c>
      <c r="L195" s="13" t="s">
        <v>606</v>
      </c>
    </row>
    <row r="196" spans="2:35" x14ac:dyDescent="0.25">
      <c r="B196" s="113"/>
      <c r="C196" s="14" t="s">
        <v>607</v>
      </c>
      <c r="E196" s="26">
        <f>IFERROR(E66/D66-1,"")</f>
        <v>-9.9840800545826669E-2</v>
      </c>
      <c r="F196" s="26">
        <f>IFERROR(F66/E66-1,"")</f>
        <v>-0.51558025939026442</v>
      </c>
      <c r="G196" s="26">
        <f>IFERROR(G66/F66-1,"")</f>
        <v>0.5172114047287899</v>
      </c>
      <c r="H196" s="26">
        <f>IFERROR(H66/G66-1,"")</f>
        <v>8.0783774492952931E-2</v>
      </c>
      <c r="I196" s="26">
        <f>IFERROR(I66/H66-1,"")</f>
        <v>-0.40733672603901616</v>
      </c>
      <c r="K196" s="43" t="str">
        <f t="shared" si="20"/>
        <v>y</v>
      </c>
      <c r="L196" s="13" t="s">
        <v>607</v>
      </c>
    </row>
    <row r="197" spans="2:35" x14ac:dyDescent="0.25">
      <c r="B197" s="113"/>
      <c r="C197" s="14" t="s">
        <v>608</v>
      </c>
      <c r="E197" s="26">
        <f>IFERROR(E174/D174-1,"")</f>
        <v>-7.5176099101287308E-2</v>
      </c>
      <c r="F197" s="26">
        <f>IFERROR(F174/E174-1,"")</f>
        <v>0.62468811556139192</v>
      </c>
      <c r="G197" s="26">
        <f>IFERROR(G174/F174-1,"")</f>
        <v>-0.1175234400258649</v>
      </c>
      <c r="H197" s="26">
        <f>IFERROR(H174/G174-1,"")</f>
        <v>-0.93414544788422793</v>
      </c>
      <c r="I197" s="26">
        <f>IFERROR(I174/H174-1,"")</f>
        <v>-1.9791376912378302</v>
      </c>
      <c r="K197" s="43" t="str">
        <f t="shared" si="20"/>
        <v>y</v>
      </c>
      <c r="L197" s="13" t="s">
        <v>608</v>
      </c>
    </row>
    <row r="198" spans="2:35" s="108" customFormat="1" ht="23.25" x14ac:dyDescent="0.25">
      <c r="B198" s="127" t="s">
        <v>440</v>
      </c>
      <c r="C198" s="127"/>
      <c r="D198" s="116"/>
      <c r="E198" s="116"/>
      <c r="F198" s="116"/>
      <c r="G198" s="116"/>
      <c r="H198" s="116"/>
      <c r="I198" s="116"/>
      <c r="J198" s="107"/>
      <c r="K198" s="43" t="str">
        <f t="shared" si="20"/>
        <v>y</v>
      </c>
      <c r="L198" s="44" t="s">
        <v>793</v>
      </c>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row>
    <row r="199" spans="2:35" x14ac:dyDescent="0.25">
      <c r="B199" s="113"/>
      <c r="C199" s="14" t="s">
        <v>442</v>
      </c>
      <c r="E199" s="117">
        <f>IFERROR(E66/E175,"")</f>
        <v>0.96286084982160236</v>
      </c>
      <c r="F199" s="117">
        <f>IFERROR(F66/F175,"")</f>
        <v>0.5046056671637863</v>
      </c>
      <c r="G199" s="117">
        <f>IFERROR(G66/G175,"")</f>
        <v>0.76950886165241161</v>
      </c>
      <c r="H199" s="117">
        <f>IFERROR(H66/H175,"")</f>
        <v>0.92770728828562998</v>
      </c>
      <c r="I199" s="117">
        <f>IFERROR(I66/I175,"")</f>
        <v>1.2055208108690965</v>
      </c>
      <c r="K199" s="43" t="str">
        <f t="shared" si="20"/>
        <v>y</v>
      </c>
      <c r="L199" s="13" t="s">
        <v>442</v>
      </c>
    </row>
    <row r="200" spans="2:35" x14ac:dyDescent="0.25">
      <c r="B200" s="113"/>
      <c r="C200" s="14" t="s">
        <v>443</v>
      </c>
      <c r="E200" s="118">
        <f>IFERROR(E175/E176,"")</f>
        <v>0.94087129015030135</v>
      </c>
      <c r="F200" s="118">
        <f>IFERROR(F175/F176,"")</f>
        <v>0.96618070859467708</v>
      </c>
      <c r="G200" s="118">
        <f>IFERROR(G175/G176,"")</f>
        <v>0.85812651331719125</v>
      </c>
      <c r="H200" s="118">
        <f>IFERROR(H175/H176,"")</f>
        <v>0.96424506828528078</v>
      </c>
      <c r="I200" s="118">
        <f>IFERROR(I175/I176,"")</f>
        <v>0.68331859711170051</v>
      </c>
      <c r="K200" s="43" t="str">
        <f t="shared" si="20"/>
        <v>y</v>
      </c>
      <c r="L200" s="13" t="s">
        <v>443</v>
      </c>
    </row>
    <row r="201" spans="2:35" x14ac:dyDescent="0.25">
      <c r="B201" s="113"/>
      <c r="C201" s="14" t="s">
        <v>444</v>
      </c>
      <c r="E201" s="26">
        <f>IFERROR(E176/E18,"")</f>
        <v>0.1640015015015015</v>
      </c>
      <c r="F201" s="26">
        <f>IFERROR(F176/F18,"")</f>
        <v>0.14907946777189501</v>
      </c>
      <c r="G201" s="26">
        <f>IFERROR(G176/G18,"")</f>
        <v>0.16605101143359718</v>
      </c>
      <c r="H201" s="26">
        <f>IFERROR(H176/H18,"")</f>
        <v>0.13667414157387844</v>
      </c>
      <c r="I201" s="26">
        <f>IFERROR(I176/I18,"")</f>
        <v>9.2174787085206669E-2</v>
      </c>
      <c r="K201" s="43" t="str">
        <f t="shared" si="20"/>
        <v>y</v>
      </c>
      <c r="L201" s="13" t="s">
        <v>444</v>
      </c>
    </row>
    <row r="202" spans="2:35" x14ac:dyDescent="0.25">
      <c r="B202" s="113"/>
      <c r="C202" s="14" t="s">
        <v>445</v>
      </c>
      <c r="E202" s="118">
        <f>IFERROR(E18/(AVERAGE(D101:E101)),"")</f>
        <v>0.70116026583028102</v>
      </c>
      <c r="F202" s="118">
        <f>IFERROR(F18/(AVERAGE(E101:F101)),"")</f>
        <v>0.65181384277695642</v>
      </c>
      <c r="G202" s="118">
        <f>IFERROR(G18/(AVERAGE(F101:G101)),"")</f>
        <v>0.6399556155924353</v>
      </c>
      <c r="H202" s="118">
        <f>IFERROR(H18/(AVERAGE(G101:H101)),"")</f>
        <v>0.55991668057742972</v>
      </c>
      <c r="I202" s="118">
        <f>IFERROR(I18/(AVERAGE(H101:I101)),"")</f>
        <v>0.47781488007736317</v>
      </c>
      <c r="K202" s="43" t="str">
        <f t="shared" si="20"/>
        <v>y</v>
      </c>
      <c r="L202" s="13" t="s">
        <v>445</v>
      </c>
    </row>
    <row r="203" spans="2:35" x14ac:dyDescent="0.25">
      <c r="B203" s="113"/>
      <c r="C203" s="14" t="s">
        <v>446</v>
      </c>
      <c r="E203" s="119">
        <f>IFERROR((AVERAGE(D101:E101)/AVERAGE(D134:E134)),"")</f>
        <v>7.0125815183954723</v>
      </c>
      <c r="F203" s="119">
        <f>IFERROR((AVERAGE(E101:F101)/AVERAGE(E134:F134)),"")</f>
        <v>6.7754959680794666</v>
      </c>
      <c r="G203" s="119">
        <f>IFERROR((AVERAGE(F101:G101)/AVERAGE(F134:G134)),"")</f>
        <v>7.2328002326257632</v>
      </c>
      <c r="H203" s="119">
        <f>IFERROR((AVERAGE(G101:H101)/AVERAGE(G134:H134)),"")</f>
        <v>7.3218726750983105</v>
      </c>
      <c r="I203" s="119">
        <f>IFERROR((AVERAGE(H101:I101)/AVERAGE(H134:I134)),"")</f>
        <v>7.4369388937156096</v>
      </c>
      <c r="K203" s="43" t="str">
        <f t="shared" si="20"/>
        <v>y</v>
      </c>
      <c r="L203" s="13" t="s">
        <v>446</v>
      </c>
    </row>
    <row r="204" spans="2:35" s="102" customFormat="1" x14ac:dyDescent="0.25">
      <c r="B204" s="113"/>
      <c r="C204" s="14" t="s">
        <v>458</v>
      </c>
      <c r="D204" s="120"/>
      <c r="E204" s="49">
        <f>IFERROR(E199*E200*E201*E202*E203,"")</f>
        <v>0.73052787006275377</v>
      </c>
      <c r="F204" s="49">
        <f>IFERROR(F199*F200*F201*F202*F203,"")</f>
        <v>0.32099109908200563</v>
      </c>
      <c r="G204" s="49">
        <f t="shared" ref="G204:I204" si="37">IFERROR(G199*G200*G201*G202*G203,"")</f>
        <v>0.50753125908694385</v>
      </c>
      <c r="H204" s="49">
        <f t="shared" si="37"/>
        <v>0.50122223403124677</v>
      </c>
      <c r="I204" s="49">
        <f t="shared" si="37"/>
        <v>0.26981368857997878</v>
      </c>
      <c r="J204" s="120"/>
      <c r="K204" s="43" t="str">
        <f t="shared" si="20"/>
        <v>y</v>
      </c>
      <c r="L204" s="13" t="s">
        <v>789</v>
      </c>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row>
    <row r="205" spans="2:35" s="108" customFormat="1" ht="23.25" x14ac:dyDescent="0.25">
      <c r="B205" s="127" t="s">
        <v>623</v>
      </c>
      <c r="C205" s="127"/>
      <c r="D205" s="107"/>
      <c r="E205" s="107"/>
      <c r="F205" s="47"/>
      <c r="G205" s="47"/>
      <c r="H205" s="47"/>
      <c r="I205" s="47"/>
      <c r="J205" s="107"/>
      <c r="K205" s="43" t="str">
        <f t="shared" si="20"/>
        <v>y</v>
      </c>
      <c r="L205" s="44" t="s">
        <v>658</v>
      </c>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row>
    <row r="206" spans="2:35" x14ac:dyDescent="0.25">
      <c r="B206" s="113"/>
      <c r="C206" s="14" t="s">
        <v>625</v>
      </c>
      <c r="D206" s="24"/>
      <c r="E206" s="24">
        <f>IFERROR((D115+E115+D125+E125)/(E134+D134),"")</f>
        <v>6.0125199950781347</v>
      </c>
      <c r="F206" s="24">
        <f>IFERROR((E115+F115+E125+F125)/(F134+E134),"")</f>
        <v>5.7753843578224835</v>
      </c>
      <c r="G206" s="24">
        <f>IFERROR((F115+G115+F125+G125)/(G134+F134),"")</f>
        <v>6.2328874672870018</v>
      </c>
      <c r="H206" s="24">
        <f>IFERROR((G115+H115+G125+H125)/(H134+G134),"")</f>
        <v>6.3218992454033369</v>
      </c>
      <c r="I206" s="24">
        <f>IFERROR((H115+I115+H125+I125)/(I134+H134),"")</f>
        <v>6.4368664929047208</v>
      </c>
      <c r="K206" s="43" t="str">
        <f t="shared" si="20"/>
        <v>y</v>
      </c>
      <c r="L206" s="13" t="s">
        <v>626</v>
      </c>
    </row>
    <row r="207" spans="2:35" x14ac:dyDescent="0.25">
      <c r="B207" s="113"/>
      <c r="C207" s="14" t="s">
        <v>624</v>
      </c>
      <c r="D207" s="24"/>
      <c r="E207" s="24">
        <f>+E203</f>
        <v>7.0125815183954723</v>
      </c>
      <c r="F207" s="24">
        <f>+F203</f>
        <v>6.7754959680794666</v>
      </c>
      <c r="G207" s="24">
        <f>+G203</f>
        <v>7.2328002326257632</v>
      </c>
      <c r="H207" s="24">
        <f>+H203</f>
        <v>7.3218726750983105</v>
      </c>
      <c r="I207" s="24">
        <f>+I203</f>
        <v>7.4369388937156096</v>
      </c>
      <c r="K207" s="43" t="str">
        <f t="shared" si="20"/>
        <v>y</v>
      </c>
      <c r="L207" s="121" t="str">
        <f>+L203</f>
        <v>Leverage (average total assets/average equity)</v>
      </c>
    </row>
    <row r="208" spans="2:35" x14ac:dyDescent="0.25">
      <c r="B208" s="113"/>
      <c r="C208" s="14" t="s">
        <v>628</v>
      </c>
      <c r="E208" s="24">
        <f>IFERROR((E170+D170)/(E134+D134),"")</f>
        <v>2.0098437307739632</v>
      </c>
      <c r="F208" s="24">
        <f>IFERROR((F170+E170)/(F134+E134),"")</f>
        <v>1.8941655738162337</v>
      </c>
      <c r="G208" s="24">
        <f>IFERROR((G170+F170)/(G134+F134),"")</f>
        <v>1.9790346030822914</v>
      </c>
      <c r="H208" s="24">
        <f>IFERROR((H170+G170)/(H134+G134),"")</f>
        <v>2.3340950154107771</v>
      </c>
      <c r="I208" s="24">
        <f>IFERROR((I170+H170)/(I134+H134),"")</f>
        <v>2.4557631045467709</v>
      </c>
      <c r="K208" s="43" t="str">
        <f t="shared" si="20"/>
        <v>y</v>
      </c>
      <c r="L208" s="13" t="s">
        <v>656</v>
      </c>
    </row>
    <row r="209" spans="1:35" x14ac:dyDescent="0.25">
      <c r="B209" s="113"/>
      <c r="C209" s="14" t="s">
        <v>627</v>
      </c>
      <c r="D209" s="24">
        <f t="shared" ref="D209:I209" si="38">IFERROR(D170/D177,"")</f>
        <v>1.6216423637759019</v>
      </c>
      <c r="E209" s="24">
        <f t="shared" si="38"/>
        <v>1.9236619396157366</v>
      </c>
      <c r="F209" s="24">
        <f t="shared" si="38"/>
        <v>2.0958442989167025</v>
      </c>
      <c r="G209" s="24">
        <f t="shared" si="38"/>
        <v>1.9108838155515371</v>
      </c>
      <c r="H209" s="24">
        <f t="shared" si="38"/>
        <v>3.2542913931217248</v>
      </c>
      <c r="I209" s="24">
        <f t="shared" si="38"/>
        <v>3.5402418218233067</v>
      </c>
      <c r="K209" s="43" t="str">
        <f t="shared" ref="K209:K220" si="39">IF(B209&lt;&gt;"","y",IF(SUM(E209:I209)=0,"","y"))</f>
        <v>y</v>
      </c>
      <c r="L209" s="13" t="s">
        <v>627</v>
      </c>
    </row>
    <row r="210" spans="1:35" x14ac:dyDescent="0.25">
      <c r="B210" s="113"/>
      <c r="C210" s="14" t="s">
        <v>629</v>
      </c>
      <c r="D210" s="24">
        <f t="shared" ref="D210:I210" si="40">IFERROR(D176/D46,"")</f>
        <v>39.621212121212125</v>
      </c>
      <c r="E210" s="24">
        <f t="shared" si="40"/>
        <v>20.804761904761904</v>
      </c>
      <c r="F210" s="24">
        <f t="shared" si="40"/>
        <v>19.183739837398374</v>
      </c>
      <c r="G210" s="24">
        <f t="shared" si="40"/>
        <v>18.279391424619639</v>
      </c>
      <c r="H210" s="24">
        <f t="shared" si="40"/>
        <v>10.596984924623115</v>
      </c>
      <c r="I210" s="24">
        <f t="shared" si="40"/>
        <v>5.2686335403726705</v>
      </c>
      <c r="K210" s="43" t="str">
        <f t="shared" si="39"/>
        <v>y</v>
      </c>
      <c r="L210" s="13" t="s">
        <v>657</v>
      </c>
    </row>
    <row r="211" spans="1:35" s="108" customFormat="1" ht="23.25" x14ac:dyDescent="0.25">
      <c r="A211" s="42"/>
      <c r="B211" s="127" t="s">
        <v>416</v>
      </c>
      <c r="C211" s="127"/>
      <c r="D211" s="45"/>
      <c r="E211" s="45"/>
      <c r="F211" s="45"/>
      <c r="G211" s="45"/>
      <c r="H211" s="45"/>
      <c r="I211" s="45"/>
      <c r="J211" s="107"/>
      <c r="K211" s="43" t="str">
        <f t="shared" si="39"/>
        <v>y</v>
      </c>
      <c r="L211" s="44" t="s">
        <v>794</v>
      </c>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row>
    <row r="212" spans="1:35" x14ac:dyDescent="0.25">
      <c r="A212" s="1" t="s">
        <v>392</v>
      </c>
      <c r="B212" s="113"/>
      <c r="C212" s="14" t="s">
        <v>391</v>
      </c>
      <c r="D212" s="22">
        <f>IF(D$1&lt;=0,"",VLOOKUP($A212,FetchFundies[],D$1+1,FALSE))</f>
        <v>2.8627162569167202</v>
      </c>
      <c r="E212" s="22">
        <f>IF(E$1&lt;=0,"",VLOOKUP($A212,FetchFundies[],E$1+1,FALSE))</f>
        <v>2.7327748333048398</v>
      </c>
      <c r="F212" s="22">
        <f>IF(F$1&lt;=0,"",VLOOKUP($A212,FetchFundies[],F$1+1,FALSE))</f>
        <v>2.5020233955105899</v>
      </c>
      <c r="G212" s="22">
        <f>IF(G$1&lt;=0,"",VLOOKUP($A212,FetchFundies[],G$1+1,FALSE))</f>
        <v>2.6041291758008001</v>
      </c>
      <c r="H212" s="22">
        <f>IF(H$1&lt;=0,"",VLOOKUP($A212,FetchFundies[],H$1+1,FALSE))</f>
        <v>3.2421517125446502</v>
      </c>
      <c r="I212" s="22">
        <f>IF(I$1&lt;=0,"",VLOOKUP($A212,FetchFundies[],I$1+1,FALSE))</f>
        <v>3.92896787277191</v>
      </c>
      <c r="K212" s="43" t="str">
        <f t="shared" si="39"/>
        <v>y</v>
      </c>
      <c r="L212" s="13" t="s">
        <v>470</v>
      </c>
    </row>
    <row r="213" spans="1:35" x14ac:dyDescent="0.25">
      <c r="A213" s="1" t="s">
        <v>394</v>
      </c>
      <c r="B213" s="113"/>
      <c r="C213" s="14" t="s">
        <v>783</v>
      </c>
      <c r="D213" s="22">
        <f>IF(D$1&lt;=0,"",VLOOKUP($A213,FetchFundies[],D$1+1,FALSE))</f>
        <v>127.501284529373</v>
      </c>
      <c r="E213" s="22">
        <f>IF(E$1&lt;=0,"",VLOOKUP($A213,FetchFundies[],E$1+1,FALSE))</f>
        <v>133.56387637637599</v>
      </c>
      <c r="F213" s="22">
        <f>IF(F$1&lt;=0,"",VLOOKUP($A213,FetchFundies[],F$1+1,FALSE))</f>
        <v>145.88192926370101</v>
      </c>
      <c r="G213" s="22">
        <f>IF(G$1&lt;=0,"",VLOOKUP($A213,FetchFundies[],G$1+1,FALSE))</f>
        <v>140.16201784143701</v>
      </c>
      <c r="H213" s="22">
        <f>IF(H$1&lt;=0,"",VLOOKUP($A213,FetchFundies[],H$1+1,FALSE))</f>
        <v>112.579555912738</v>
      </c>
      <c r="I213" s="22">
        <f>IF(I$1&lt;=0,"",VLOOKUP($A213,FetchFundies[],I$1+1,FALSE))</f>
        <v>92.899716113608903</v>
      </c>
      <c r="K213" s="43" t="str">
        <f t="shared" si="39"/>
        <v>y</v>
      </c>
      <c r="L213" s="13" t="s">
        <v>828</v>
      </c>
    </row>
    <row r="214" spans="1:35" x14ac:dyDescent="0.25">
      <c r="A214" s="1" t="s">
        <v>398</v>
      </c>
      <c r="C214" s="14" t="s">
        <v>397</v>
      </c>
      <c r="D214" s="22">
        <f>IF(D$1&lt;=0,"",VLOOKUP($A214,FetchFundies[],D$1+1,FALSE))</f>
        <v>52.702772404900102</v>
      </c>
      <c r="E214" s="22">
        <f>IF(E$1&lt;=0,"",VLOOKUP($A214,FetchFundies[],E$1+1,FALSE))</f>
        <v>51.461687057308403</v>
      </c>
      <c r="F214" s="22">
        <f>IF(F$1&lt;=0,"",VLOOKUP($A214,FetchFundies[],F$1+1,FALSE))</f>
        <v>49.993051168667101</v>
      </c>
      <c r="G214" s="22">
        <f>IF(G$1&lt;=0,"",VLOOKUP($A214,FetchFundies[],G$1+1,FALSE))</f>
        <v>47.318668252080897</v>
      </c>
      <c r="H214" s="22">
        <f>IF(H$1&lt;=0,"",VLOOKUP($A214,FetchFundies[],H$1+1,FALSE))</f>
        <v>47.651019147622002</v>
      </c>
      <c r="I214" s="22">
        <f>IF(I$1&lt;=0,"",VLOOKUP($A214,FetchFundies[],I$1+1,FALSE))</f>
        <v>40.033170201196299</v>
      </c>
      <c r="K214" s="43" t="str">
        <f t="shared" si="39"/>
        <v>y</v>
      </c>
      <c r="L214" s="13" t="s">
        <v>559</v>
      </c>
    </row>
    <row r="215" spans="1:35" x14ac:dyDescent="0.25">
      <c r="A215" s="1" t="s">
        <v>402</v>
      </c>
      <c r="C215" s="14" t="s">
        <v>401</v>
      </c>
      <c r="D215" s="22">
        <f>IF(D$1&lt;=0,"",VLOOKUP($A215,FetchFundies[],D$1+1,FALSE))</f>
        <v>6.9256318661153404</v>
      </c>
      <c r="E215" s="22">
        <f>IF(E$1&lt;=0,"",VLOOKUP($A215,FetchFundies[],E$1+1,FALSE))</f>
        <v>7.0926551551551604</v>
      </c>
      <c r="F215" s="22">
        <f>IF(F$1&lt;=0,"",VLOOKUP($A215,FetchFundies[],F$1+1,FALSE))</f>
        <v>7.30101467039007</v>
      </c>
      <c r="G215" s="22">
        <f>IF(G$1&lt;=0,"",VLOOKUP($A215,FetchFundies[],G$1+1,FALSE))</f>
        <v>7.7136574946601302</v>
      </c>
      <c r="H215" s="22">
        <f>IF(H$1&lt;=0,"",VLOOKUP($A215,FetchFundies[],H$1+1,FALSE))</f>
        <v>7.6598571558194104</v>
      </c>
      <c r="I215" s="22">
        <f>IF(I$1&lt;=0,"",VLOOKUP($A215,FetchFundies[],I$1+1,FALSE))</f>
        <v>9.1174393175860207</v>
      </c>
      <c r="K215" s="43" t="str">
        <f t="shared" si="39"/>
        <v>y</v>
      </c>
      <c r="L215" s="13" t="s">
        <v>503</v>
      </c>
    </row>
    <row r="216" spans="1:35" x14ac:dyDescent="0.25">
      <c r="A216" s="1" t="s">
        <v>405</v>
      </c>
      <c r="B216" s="113"/>
      <c r="C216" s="14" t="s">
        <v>782</v>
      </c>
      <c r="D216" s="22">
        <f>IF(D$1&lt;=0,"",VLOOKUP($A216,FetchFundies[],D$1+1,FALSE))</f>
        <v>13.5603848706038</v>
      </c>
      <c r="E216" s="22">
        <f>IF(E$1&lt;=0,"",VLOOKUP($A216,FetchFundies[],E$1+1,FALSE))</f>
        <v>12.8716379449187</v>
      </c>
      <c r="F216" s="22">
        <f>IF(F$1&lt;=0,"",VLOOKUP($A216,FetchFundies[],F$1+1,FALSE))</f>
        <v>12.2677104324911</v>
      </c>
      <c r="G216" s="22">
        <f>IF(G$1&lt;=0,"",VLOOKUP($A216,FetchFundies[],G$1+1,FALSE))</f>
        <v>12.136322049405299</v>
      </c>
      <c r="H216" s="22">
        <f>IF(H$1&lt;=0,"",VLOOKUP($A216,FetchFundies[],H$1+1,FALSE))</f>
        <v>15.7571486928105</v>
      </c>
      <c r="I216" s="22">
        <f>IF(I$1&lt;=0,"",VLOOKUP($A216,FetchFundies[],I$1+1,FALSE))</f>
        <v>15.000203748981299</v>
      </c>
      <c r="K216" s="43" t="str">
        <f t="shared" si="39"/>
        <v>y</v>
      </c>
      <c r="L216" s="13" t="s">
        <v>468</v>
      </c>
    </row>
    <row r="217" spans="1:35" x14ac:dyDescent="0.25">
      <c r="A217" s="1" t="s">
        <v>409</v>
      </c>
      <c r="B217" s="113"/>
      <c r="C217" s="14" t="s">
        <v>408</v>
      </c>
      <c r="D217" s="22">
        <f>IF(D$1&lt;=0,"",VLOOKUP($A217,FetchFundies[],D$1+1,FALSE))</f>
        <v>26.916640160505001</v>
      </c>
      <c r="E217" s="22">
        <f>IF(E$1&lt;=0,"",VLOOKUP($A217,FetchFundies[],E$1+1,FALSE))</f>
        <v>28.356919419419398</v>
      </c>
      <c r="F217" s="22">
        <f>IF(F$1&lt;=0,"",VLOOKUP($A217,FetchFundies[],F$1+1,FALSE))</f>
        <v>29.752903119827099</v>
      </c>
      <c r="G217" s="22">
        <f>IF(G$1&lt;=0,"",VLOOKUP($A217,FetchFundies[],G$1+1,FALSE))</f>
        <v>30.0750094232944</v>
      </c>
      <c r="H217" s="22">
        <f>IF(H$1&lt;=0,"",VLOOKUP($A217,FetchFundies[],H$1+1,FALSE))</f>
        <v>23.1640893359431</v>
      </c>
      <c r="I217" s="22">
        <f>IF(I$1&lt;=0,"",VLOOKUP($A217,FetchFundies[],I$1+1,FALSE))</f>
        <v>24.3330028116977</v>
      </c>
      <c r="K217" s="43" t="str">
        <f t="shared" si="39"/>
        <v>y</v>
      </c>
      <c r="L217" s="13" t="s">
        <v>502</v>
      </c>
    </row>
    <row r="218" spans="1:35" x14ac:dyDescent="0.25">
      <c r="A218" s="1" t="s">
        <v>413</v>
      </c>
      <c r="B218" s="113"/>
      <c r="C218" s="14" t="s">
        <v>412</v>
      </c>
      <c r="D218" s="22">
        <f>IF(D$1&lt;=0,"",VLOOKUP($A218,FetchFundies[],D$1+1,FALSE))</f>
        <v>7.4169313129480097</v>
      </c>
      <c r="E218" s="22">
        <f>IF(E$1&lt;=0,"",VLOOKUP($A218,FetchFundies[],E$1+1,FALSE))</f>
        <v>7.2424105120072504</v>
      </c>
      <c r="F218" s="22">
        <f>IF(F$1&lt;=0,"",VLOOKUP($A218,FetchFundies[],F$1+1,FALSE))</f>
        <v>6.8506752077562298</v>
      </c>
      <c r="G218" s="22">
        <f>IF(G$1&lt;=0,"",VLOOKUP($A218,FetchFundies[],G$1+1,FALSE))</f>
        <v>7.1285266457680203</v>
      </c>
      <c r="H218" s="22">
        <f>IF(H$1&lt;=0,"",VLOOKUP($A218,FetchFundies[],H$1+1,FALSE))</f>
        <v>6.4150174621653102</v>
      </c>
      <c r="I218" s="22">
        <f>IF(I$1&lt;=0,"",VLOOKUP($A218,FetchFundies[],I$1+1,FALSE))</f>
        <v>5.7368503078002</v>
      </c>
      <c r="K218" s="43" t="str">
        <f t="shared" si="39"/>
        <v>y</v>
      </c>
      <c r="L218" s="13" t="s">
        <v>576</v>
      </c>
    </row>
    <row r="219" spans="1:35" x14ac:dyDescent="0.25">
      <c r="A219" s="1" t="s">
        <v>415</v>
      </c>
      <c r="B219" s="113"/>
      <c r="C219" s="14" t="s">
        <v>414</v>
      </c>
      <c r="D219" s="22">
        <f>IF(D$1&lt;=0,"",VLOOKUP($A219,FetchFundies[],D$1+1,FALSE))</f>
        <v>49.211727141494002</v>
      </c>
      <c r="E219" s="22">
        <f>IF(E$1&lt;=0,"",VLOOKUP($A219,FetchFundies[],E$1+1,FALSE))</f>
        <v>50.397585085085097</v>
      </c>
      <c r="F219" s="22">
        <f>IF(F$1&lt;=0,"",VLOOKUP($A219,FetchFundies[],F$1+1,FALSE))</f>
        <v>53.279419755114397</v>
      </c>
      <c r="G219" s="22">
        <f>IF(G$1&lt;=0,"",VLOOKUP($A219,FetchFundies[],G$1+1,FALSE))</f>
        <v>51.202726473174998</v>
      </c>
      <c r="H219" s="22">
        <f>IF(H$1&lt;=0,"",VLOOKUP($A219,FetchFundies[],H$1+1,FALSE))</f>
        <v>56.897740676889597</v>
      </c>
      <c r="I219" s="22">
        <f>IF(I$1&lt;=0,"",VLOOKUP($A219,FetchFundies[],I$1+1,FALSE))</f>
        <v>63.623762241751699</v>
      </c>
      <c r="K219" s="43" t="str">
        <f t="shared" si="39"/>
        <v>y</v>
      </c>
      <c r="L219" s="13" t="s">
        <v>504</v>
      </c>
    </row>
    <row r="220" spans="1:35" x14ac:dyDescent="0.25">
      <c r="A220" s="1" t="s">
        <v>417</v>
      </c>
      <c r="B220" s="113"/>
      <c r="C220" s="14" t="s">
        <v>416</v>
      </c>
      <c r="D220" s="22">
        <f>IF(D$1&lt;=0,"",VLOOKUP($A220,FetchFundies[],D$1+1,FALSE))</f>
        <v>58.298549093489299</v>
      </c>
      <c r="E220" s="22">
        <f>IF(E$1&lt;=0,"",VLOOKUP($A220,FetchFundies[],E$1+1,FALSE))</f>
        <v>61.902027027027003</v>
      </c>
      <c r="F220" s="22">
        <f>IF(F$1&lt;=0,"",VLOOKUP($A220,FetchFundies[],F$1+1,FALSE))</f>
        <v>70.150621059149103</v>
      </c>
      <c r="G220" s="22">
        <f>IF(G$1&lt;=0,"",VLOOKUP($A220,FetchFundies[],G$1+1,FALSE))</f>
        <v>66.597939439628107</v>
      </c>
      <c r="H220" s="22">
        <f>IF(H$1&lt;=0,"",VLOOKUP($A220,FetchFundies[],H$1+1,FALSE))</f>
        <v>40.177583055724803</v>
      </c>
      <c r="I220" s="22">
        <f>IF(I$1&lt;=0,"",VLOOKUP($A220,FetchFundies[],I$1+1,FALSE))</f>
        <v>14.060390377745501</v>
      </c>
      <c r="K220" s="43" t="str">
        <f t="shared" si="39"/>
        <v>y</v>
      </c>
      <c r="L220" s="13" t="s">
        <v>491</v>
      </c>
    </row>
    <row r="221" spans="1:35" x14ac:dyDescent="0.25">
      <c r="C221" s="7" t="s">
        <v>784</v>
      </c>
      <c r="E221" s="159">
        <f>IF(D76&gt;0,AVERAGE(D76:E76)/E28*365,"")</f>
        <v>13.609456083029022</v>
      </c>
      <c r="F221" s="159">
        <f t="shared" ref="F221:I221" si="41">IF(E76&gt;0,AVERAGE(E76:F76)/F28*365,"")</f>
        <v>13.336751101064944</v>
      </c>
      <c r="G221" s="159">
        <f t="shared" si="41"/>
        <v>13.969347087094127</v>
      </c>
      <c r="H221" s="159">
        <f t="shared" si="41"/>
        <v>14.817071671011854</v>
      </c>
      <c r="I221" s="159">
        <f t="shared" si="41"/>
        <v>16.587420490984599</v>
      </c>
      <c r="L221" s="105" t="s">
        <v>781</v>
      </c>
    </row>
  </sheetData>
  <autoFilter ref="A12:ES221" xr:uid="{F1AB6046-9A76-40EE-976F-24C96785EA10}"/>
  <mergeCells count="5">
    <mergeCell ref="B153:C153"/>
    <mergeCell ref="B13:C13"/>
    <mergeCell ref="K10:K11"/>
    <mergeCell ref="B11:C11"/>
    <mergeCell ref="B148:C148"/>
  </mergeCells>
  <hyperlinks>
    <hyperlink ref="C197" r:id="rId1" display="Net Working Capital" xr:uid="{E23D171B-E879-40E4-AA71-13819DDE47E5}"/>
    <hyperlink ref="B198:C198" r:id="rId2" display="Dupont Analysis" xr:uid="{270BF3AD-CEB7-44F9-A7FF-CA3F91FA916E}"/>
  </hyperlinks>
  <pageMargins left="0.25" right="0.25" top="0.75" bottom="0.75" header="0.3" footer="0.3"/>
  <pageSetup scale="53" fitToHeight="0" orientation="portrait" r:id="rId3"/>
  <headerFooter>
    <oddFooter>&amp;LSource data provided by New Constructs, LLC © All rights reserved.  Delivered by iexcloud.io&amp;R&amp;P</oddFooter>
  </headerFooter>
  <rowBreaks count="3" manualBreakCount="3">
    <brk id="68" min="1" max="8" man="1"/>
    <brk id="135" min="1" max="7" man="1"/>
    <brk id="145"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873D1-7503-4743-B4B9-52A65EF97FE6}">
  <sheetPr codeName="Sheet4">
    <tabColor theme="5"/>
    <pageSetUpPr fitToPage="1"/>
  </sheetPr>
  <dimension ref="A1:M251"/>
  <sheetViews>
    <sheetView showGridLines="0" zoomScale="70" zoomScaleNormal="70" workbookViewId="0">
      <selection activeCell="B1" sqref="B1"/>
    </sheetView>
  </sheetViews>
  <sheetFormatPr defaultColWidth="8.85546875" defaultRowHeight="15" x14ac:dyDescent="0.25"/>
  <cols>
    <col min="1" max="13" width="24.42578125" customWidth="1"/>
    <col min="14" max="20" width="21.7109375" customWidth="1"/>
  </cols>
  <sheetData>
    <row r="1" spans="1:1" ht="36" x14ac:dyDescent="0.55000000000000004">
      <c r="A1" s="100" t="e">
        <f>+'Financial Statements and Ratios'!B10</f>
        <v>#VALUE!</v>
      </c>
    </row>
    <row r="2" spans="1:1" ht="17.25" x14ac:dyDescent="0.3">
      <c r="A2" s="136" t="str">
        <f>IF(Millions=1000000,"   Amounts in millions, except per share data","   Amounts in USD")</f>
        <v xml:space="preserve">   Amounts in millions, except per share data</v>
      </c>
    </row>
    <row r="35" spans="13:13" x14ac:dyDescent="0.25">
      <c r="M35" s="197" t="str">
        <f>IF(Settings!B12&lt;&gt;TRUE,Settings!B12,"")</f>
        <v/>
      </c>
    </row>
    <row r="104" spans="8:8" ht="17.25" x14ac:dyDescent="0.3">
      <c r="H104" s="135" t="s">
        <v>691</v>
      </c>
    </row>
    <row r="245" spans="1:11" x14ac:dyDescent="0.25">
      <c r="B245" s="155">
        <f>+'Financial Statements and Ratios'!E11</f>
        <v>42735</v>
      </c>
      <c r="C245" s="155"/>
      <c r="D245" s="155">
        <f>+'Financial Statements and Ratios'!F11</f>
        <v>43100</v>
      </c>
      <c r="E245" s="155"/>
      <c r="F245" s="155">
        <f>+'Financial Statements and Ratios'!G11</f>
        <v>43465</v>
      </c>
      <c r="G245" s="155"/>
      <c r="H245" s="155">
        <f>+'Financial Statements and Ratios'!H11</f>
        <v>43830</v>
      </c>
      <c r="I245" s="155"/>
      <c r="J245" s="155">
        <f>+'Financial Statements and Ratios'!I11</f>
        <v>44196</v>
      </c>
      <c r="K245" s="155"/>
    </row>
    <row r="246" spans="1:11" x14ac:dyDescent="0.25">
      <c r="B246" t="s">
        <v>639</v>
      </c>
      <c r="C246" t="s">
        <v>640</v>
      </c>
      <c r="D246" t="s">
        <v>639</v>
      </c>
      <c r="E246" t="str">
        <f>+C246</f>
        <v>Liabs &amp; Equity</v>
      </c>
      <c r="F246" t="s">
        <v>639</v>
      </c>
      <c r="G246" t="str">
        <f>+E246</f>
        <v>Liabs &amp; Equity</v>
      </c>
      <c r="H246" t="s">
        <v>639</v>
      </c>
      <c r="I246" t="str">
        <f>+G246</f>
        <v>Liabs &amp; Equity</v>
      </c>
      <c r="J246" t="s">
        <v>639</v>
      </c>
      <c r="K246" t="str">
        <f>+I246</f>
        <v>Liabs &amp; Equity</v>
      </c>
    </row>
    <row r="247" spans="1:11" x14ac:dyDescent="0.25">
      <c r="A247" t="str">
        <f>+'Financial Statements and Ratios'!C84</f>
        <v>Total Current/Investment Assets (Unadjusted)</v>
      </c>
      <c r="B247">
        <f>+'Financial Statements and Ratios'!E84</f>
        <v>43889</v>
      </c>
      <c r="D247">
        <f>+'Financial Statements and Ratios'!F84</f>
        <v>49735</v>
      </c>
      <c r="F247">
        <f>+'Financial Statements and Ratios'!G84</f>
        <v>49145</v>
      </c>
      <c r="H247">
        <f>+'Financial Statements and Ratios'!H84</f>
        <v>38420</v>
      </c>
      <c r="J247">
        <f>+'Financial Statements and Ratios'!I84</f>
        <v>39165</v>
      </c>
    </row>
    <row r="248" spans="1:11" x14ac:dyDescent="0.25">
      <c r="A248" t="str">
        <f>+'Financial Statements and Ratios'!C100</f>
        <v>Total Fixed Assets</v>
      </c>
      <c r="B248">
        <f>+'Financial Statements and Ratios'!E100</f>
        <v>73582</v>
      </c>
      <c r="D248">
        <f>+'Financial Statements and Ratios'!F100</f>
        <v>75621</v>
      </c>
      <c r="F248">
        <f>+'Financial Statements and Ratios'!G100</f>
        <v>74235</v>
      </c>
      <c r="H248">
        <f>+'Financial Statements and Ratios'!H100</f>
        <v>113766</v>
      </c>
      <c r="J248">
        <f>+'Financial Statements and Ratios'!I100</f>
        <v>116806</v>
      </c>
    </row>
    <row r="249" spans="1:11" x14ac:dyDescent="0.25">
      <c r="A249" t="str">
        <f>+'Financial Statements and Ratios'!C115</f>
        <v>Total Current/Investment Liabilities</v>
      </c>
      <c r="C249">
        <f>+'Financial Statements and Ratios'!E115</f>
        <v>36274</v>
      </c>
      <c r="E249">
        <f>+'Financial Statements and Ratios'!F115</f>
        <v>37363</v>
      </c>
      <c r="G249">
        <f>+'Financial Statements and Ratios'!G115</f>
        <v>38227</v>
      </c>
      <c r="I249">
        <f>+'Financial Statements and Ratios'!H115</f>
        <v>37701</v>
      </c>
      <c r="K249">
        <f>+'Financial Statements and Ratios'!I115</f>
        <v>39869</v>
      </c>
    </row>
    <row r="250" spans="1:11" x14ac:dyDescent="0.25">
      <c r="A250" t="str">
        <f>+'Financial Statements and Ratios'!C125</f>
        <v>Total Long-term Liabilities and Minority Interest</v>
      </c>
      <c r="C250">
        <f>+'Financial Statements and Ratios'!E125</f>
        <v>62947</v>
      </c>
      <c r="E250">
        <f>+'Financial Statements and Ratios'!F125</f>
        <v>70400</v>
      </c>
      <c r="G250">
        <f>+'Financial Statements and Ratios'!G125</f>
        <v>68359</v>
      </c>
      <c r="I250">
        <f>+'Financial Statements and Ratios'!H125</f>
        <v>93644</v>
      </c>
      <c r="K250">
        <f>+'Financial Statements and Ratios'!I125</f>
        <v>95504</v>
      </c>
    </row>
    <row r="251" spans="1:11" x14ac:dyDescent="0.25">
      <c r="A251" t="str">
        <f>+'Financial Statements and Ratios'!C134</f>
        <v>Total Shareholders' Equity</v>
      </c>
      <c r="C251">
        <f>+'Financial Statements and Ratios'!E134</f>
        <v>18246</v>
      </c>
      <c r="E251">
        <f>+'Financial Statements and Ratios'!F134</f>
        <v>17593</v>
      </c>
      <c r="G251">
        <f>+'Financial Statements and Ratios'!G134</f>
        <v>16797</v>
      </c>
      <c r="I251">
        <f>+'Financial Statements and Ratios'!H134</f>
        <v>20839</v>
      </c>
      <c r="K251">
        <f>+'Financial Statements and Ratios'!I134</f>
        <v>20597</v>
      </c>
    </row>
  </sheetData>
  <pageMargins left="0.7" right="0.7" top="0.75" bottom="0.75" header="0.3" footer="0.3"/>
  <pageSetup scale="4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2720-F452-4B86-81FA-A6D8B8933BC8}">
  <sheetPr codeName="Sheet6">
    <tabColor theme="0"/>
  </sheetPr>
  <dimension ref="A1:DM184"/>
  <sheetViews>
    <sheetView topLeftCell="A153" zoomScale="85" zoomScaleNormal="85" workbookViewId="0">
      <selection activeCell="B181" sqref="B181"/>
    </sheetView>
  </sheetViews>
  <sheetFormatPr defaultColWidth="9.140625" defaultRowHeight="15" x14ac:dyDescent="0.25"/>
  <cols>
    <col min="1" max="1" width="53.85546875" style="160" bestFit="1" customWidth="1"/>
    <col min="2" max="12" width="15.7109375" style="160" bestFit="1" customWidth="1"/>
    <col min="13" max="16" width="15.85546875" style="160" customWidth="1"/>
    <col min="17" max="21" width="15.7109375" style="160" bestFit="1" customWidth="1"/>
    <col min="22" max="37" width="15.7109375" style="160" customWidth="1"/>
    <col min="38" max="40" width="15.7109375" style="160" bestFit="1" customWidth="1"/>
    <col min="41" max="109" width="15.7109375" style="160" customWidth="1"/>
    <col min="110" max="115" width="15.7109375" style="160" bestFit="1" customWidth="1"/>
    <col min="116" max="116" width="18" style="161" bestFit="1" customWidth="1"/>
    <col min="117" max="117" width="22" style="161" customWidth="1"/>
    <col min="118" max="118" width="12.85546875" style="160" bestFit="1" customWidth="1"/>
    <col min="119" max="288" width="15.7109375" style="160" customWidth="1"/>
    <col min="289" max="291" width="15.7109375" style="160" bestFit="1" customWidth="1"/>
    <col min="292" max="315" width="15.7109375" style="160" customWidth="1"/>
    <col min="316" max="318" width="15.7109375" style="160" bestFit="1" customWidth="1"/>
    <col min="319" max="319" width="11.140625" style="160" bestFit="1" customWidth="1"/>
    <col min="320" max="321" width="12.140625" style="160" bestFit="1" customWidth="1"/>
    <col min="322" max="322" width="8.42578125" style="160" bestFit="1" customWidth="1"/>
    <col min="323" max="325" width="15.7109375" style="160" customWidth="1"/>
    <col min="326" max="328" width="15.7109375" style="160" bestFit="1" customWidth="1"/>
    <col min="329" max="329" width="51.42578125" style="160" bestFit="1" customWidth="1"/>
    <col min="330" max="330" width="15.7109375" style="160" bestFit="1" customWidth="1"/>
    <col min="331" max="16384" width="9.140625" style="160"/>
  </cols>
  <sheetData>
    <row r="1" spans="1:117" x14ac:dyDescent="0.25">
      <c r="A1" s="160" t="s">
        <v>418</v>
      </c>
      <c r="B1" s="160" t="s">
        <v>419</v>
      </c>
      <c r="C1" s="160" t="s">
        <v>420</v>
      </c>
      <c r="D1" t="s">
        <v>822</v>
      </c>
      <c r="E1" t="s">
        <v>823</v>
      </c>
      <c r="F1" t="s">
        <v>824</v>
      </c>
      <c r="G1" t="s">
        <v>825</v>
      </c>
      <c r="H1" t="s">
        <v>826</v>
      </c>
      <c r="I1" s="161"/>
      <c r="DL1" s="160"/>
      <c r="DM1" s="160"/>
    </row>
    <row r="2" spans="1:117" x14ac:dyDescent="0.25">
      <c r="A2" s="160" t="s">
        <v>0</v>
      </c>
      <c r="B2" s="160">
        <v>6864000000</v>
      </c>
      <c r="C2" s="160">
        <v>6028000000</v>
      </c>
      <c r="D2">
        <v>6209000000</v>
      </c>
      <c r="E2">
        <v>6451000000</v>
      </c>
      <c r="F2">
        <v>6558000000</v>
      </c>
      <c r="G2">
        <v>4896000000</v>
      </c>
      <c r="H2">
        <v>4908000000</v>
      </c>
      <c r="I2" s="161"/>
      <c r="L2" s="162"/>
      <c r="DL2" s="160"/>
      <c r="DM2" s="160"/>
    </row>
    <row r="3" spans="1:117" x14ac:dyDescent="0.25">
      <c r="A3" s="160" t="s">
        <v>1</v>
      </c>
      <c r="B3" s="160">
        <v>13.5187937062937</v>
      </c>
      <c r="C3" s="160">
        <v>13.5603848706038</v>
      </c>
      <c r="D3">
        <v>12.8716379449187</v>
      </c>
      <c r="E3">
        <v>12.2677104324911</v>
      </c>
      <c r="F3">
        <v>12.136322049405299</v>
      </c>
      <c r="G3">
        <v>15.7571486928105</v>
      </c>
      <c r="H3">
        <v>15.000203748981299</v>
      </c>
      <c r="I3" s="161"/>
      <c r="L3" s="162"/>
      <c r="DL3" s="160"/>
      <c r="DM3" s="160"/>
    </row>
    <row r="4" spans="1:117" x14ac:dyDescent="0.25">
      <c r="A4" s="160" t="s">
        <v>2</v>
      </c>
      <c r="B4" s="160">
        <v>31831000000</v>
      </c>
      <c r="C4" s="160">
        <v>28554000000</v>
      </c>
      <c r="D4">
        <v>29245000000</v>
      </c>
      <c r="E4">
        <v>31630000000</v>
      </c>
      <c r="F4">
        <v>30563000000</v>
      </c>
      <c r="G4">
        <v>23795000000</v>
      </c>
      <c r="H4">
        <v>18738000000</v>
      </c>
      <c r="I4" s="161"/>
      <c r="L4" s="162"/>
      <c r="DL4" s="160"/>
      <c r="DM4" s="160"/>
    </row>
    <row r="5" spans="1:117" x14ac:dyDescent="0.25">
      <c r="A5" s="160" t="s">
        <v>3</v>
      </c>
      <c r="B5" s="160">
        <v>2.9151770286827299</v>
      </c>
      <c r="C5" s="160">
        <v>2.8627162569167202</v>
      </c>
      <c r="D5">
        <v>2.7327748333048398</v>
      </c>
      <c r="E5">
        <v>2.5020233955105899</v>
      </c>
      <c r="F5">
        <v>2.6041291758008001</v>
      </c>
      <c r="G5">
        <v>3.2421517125446502</v>
      </c>
      <c r="H5">
        <v>3.92896787277191</v>
      </c>
      <c r="I5" s="161"/>
      <c r="L5" s="162"/>
      <c r="DL5" s="160"/>
      <c r="DM5" s="160"/>
    </row>
    <row r="6" spans="1:117" x14ac:dyDescent="0.25">
      <c r="A6" s="160" t="s">
        <v>4</v>
      </c>
      <c r="B6" s="160" t="s">
        <v>853</v>
      </c>
      <c r="C6" s="160" t="s">
        <v>853</v>
      </c>
      <c r="D6" t="s">
        <v>853</v>
      </c>
      <c r="E6" t="s">
        <v>853</v>
      </c>
      <c r="F6" t="s">
        <v>853</v>
      </c>
      <c r="G6" t="s">
        <v>853</v>
      </c>
      <c r="H6" t="s">
        <v>853</v>
      </c>
      <c r="I6" s="161"/>
      <c r="L6" s="162"/>
      <c r="DL6" s="160"/>
      <c r="DM6" s="160"/>
    </row>
    <row r="7" spans="1:117" x14ac:dyDescent="0.25">
      <c r="A7" s="160" t="s">
        <v>5</v>
      </c>
      <c r="B7" s="160">
        <v>8476000000</v>
      </c>
      <c r="C7" s="160">
        <v>8194000000</v>
      </c>
      <c r="D7">
        <v>8527000000</v>
      </c>
      <c r="E7">
        <v>12580000000</v>
      </c>
      <c r="F7">
        <v>11997000000</v>
      </c>
      <c r="G7">
        <v>8868000000</v>
      </c>
      <c r="H7">
        <v>13812000000</v>
      </c>
      <c r="I7" s="161"/>
      <c r="L7" s="162"/>
      <c r="DL7" s="160"/>
      <c r="DM7" s="160"/>
    </row>
    <row r="8" spans="1:117" x14ac:dyDescent="0.25">
      <c r="A8" s="160" t="s">
        <v>6</v>
      </c>
      <c r="B8" s="160">
        <v>0</v>
      </c>
      <c r="C8" s="160">
        <v>0</v>
      </c>
      <c r="D8">
        <v>0</v>
      </c>
      <c r="E8">
        <v>0</v>
      </c>
      <c r="F8">
        <v>225000000</v>
      </c>
      <c r="G8">
        <v>141000000</v>
      </c>
      <c r="H8">
        <v>463000000</v>
      </c>
      <c r="I8" s="161"/>
      <c r="L8" s="162"/>
      <c r="DL8" s="160"/>
      <c r="DM8" s="160"/>
    </row>
    <row r="9" spans="1:117" x14ac:dyDescent="0.25">
      <c r="A9" s="160" t="s">
        <v>7</v>
      </c>
      <c r="B9" s="160">
        <v>0</v>
      </c>
      <c r="C9" s="160">
        <v>0</v>
      </c>
      <c r="D9">
        <v>0</v>
      </c>
      <c r="E9">
        <v>0</v>
      </c>
      <c r="F9">
        <v>0</v>
      </c>
      <c r="G9">
        <v>0</v>
      </c>
      <c r="H9">
        <v>0</v>
      </c>
      <c r="I9" s="161"/>
      <c r="L9" s="162"/>
      <c r="DL9" s="160"/>
      <c r="DM9" s="160"/>
    </row>
    <row r="10" spans="1:117" x14ac:dyDescent="0.25">
      <c r="A10" s="160" t="s">
        <v>8</v>
      </c>
      <c r="B10" s="160">
        <v>2044000000</v>
      </c>
      <c r="C10" s="160">
        <v>0</v>
      </c>
      <c r="D10">
        <v>0</v>
      </c>
      <c r="E10">
        <v>0</v>
      </c>
      <c r="F10">
        <v>0</v>
      </c>
      <c r="G10">
        <v>0</v>
      </c>
      <c r="H10">
        <v>0</v>
      </c>
      <c r="I10" s="161"/>
      <c r="L10" s="162"/>
      <c r="DL10" s="160"/>
      <c r="DM10" s="160"/>
    </row>
    <row r="11" spans="1:117" x14ac:dyDescent="0.25">
      <c r="A11" s="160" t="s">
        <v>9</v>
      </c>
      <c r="B11" s="160">
        <v>0</v>
      </c>
      <c r="C11" s="160">
        <v>0</v>
      </c>
      <c r="D11">
        <v>0</v>
      </c>
      <c r="E11">
        <v>0</v>
      </c>
      <c r="F11">
        <v>0</v>
      </c>
      <c r="G11">
        <v>0</v>
      </c>
      <c r="H11">
        <v>0</v>
      </c>
      <c r="I11" s="161"/>
      <c r="L11" s="162"/>
      <c r="DL11" s="160"/>
      <c r="DM11" s="160"/>
    </row>
    <row r="12" spans="1:117" x14ac:dyDescent="0.25">
      <c r="A12" s="160" t="s">
        <v>10</v>
      </c>
      <c r="B12" s="160">
        <v>0</v>
      </c>
      <c r="C12" s="160">
        <v>0</v>
      </c>
      <c r="D12">
        <v>0</v>
      </c>
      <c r="E12">
        <v>0</v>
      </c>
      <c r="F12">
        <v>0</v>
      </c>
      <c r="G12">
        <v>0</v>
      </c>
      <c r="H12">
        <v>0</v>
      </c>
      <c r="I12" s="161"/>
      <c r="L12" s="162"/>
      <c r="DL12" s="160"/>
      <c r="DM12" s="160"/>
    </row>
    <row r="13" spans="1:117" x14ac:dyDescent="0.25">
      <c r="A13" s="160" t="s">
        <v>11</v>
      </c>
      <c r="B13" s="160">
        <v>0</v>
      </c>
      <c r="C13" s="160">
        <v>0</v>
      </c>
      <c r="D13">
        <v>0</v>
      </c>
      <c r="E13">
        <v>0</v>
      </c>
      <c r="F13">
        <v>0</v>
      </c>
      <c r="G13">
        <v>0</v>
      </c>
      <c r="H13">
        <v>0</v>
      </c>
      <c r="I13" s="161"/>
      <c r="L13" s="162"/>
      <c r="DL13" s="160"/>
      <c r="DM13" s="160"/>
    </row>
    <row r="14" spans="1:117" x14ac:dyDescent="0.25">
      <c r="A14" s="160" t="s">
        <v>12</v>
      </c>
      <c r="B14" s="160">
        <v>0</v>
      </c>
      <c r="C14" s="160">
        <v>0</v>
      </c>
      <c r="D14">
        <v>0</v>
      </c>
      <c r="E14">
        <v>0</v>
      </c>
      <c r="F14">
        <v>0</v>
      </c>
      <c r="G14">
        <v>0</v>
      </c>
      <c r="H14">
        <v>0</v>
      </c>
      <c r="I14" s="161"/>
      <c r="L14" s="162"/>
      <c r="DL14" s="160"/>
      <c r="DM14" s="160"/>
    </row>
    <row r="15" spans="1:117" x14ac:dyDescent="0.25">
      <c r="A15" s="160" t="s">
        <v>13</v>
      </c>
      <c r="B15" s="160">
        <v>4967000000</v>
      </c>
      <c r="C15" s="160">
        <v>4205000000</v>
      </c>
      <c r="D15">
        <v>4564000000</v>
      </c>
      <c r="E15">
        <v>3942000000</v>
      </c>
      <c r="F15">
        <v>4678000000</v>
      </c>
      <c r="G15">
        <v>3997000000</v>
      </c>
      <c r="H15">
        <v>4313000000</v>
      </c>
      <c r="I15" s="161"/>
      <c r="L15" s="162"/>
      <c r="DL15" s="160"/>
      <c r="DM15" s="160"/>
    </row>
    <row r="16" spans="1:117" x14ac:dyDescent="0.25">
      <c r="A16" s="160" t="s">
        <v>14</v>
      </c>
      <c r="B16" s="160">
        <v>0</v>
      </c>
      <c r="C16" s="160">
        <v>0</v>
      </c>
      <c r="D16">
        <v>0</v>
      </c>
      <c r="E16">
        <v>0</v>
      </c>
      <c r="F16">
        <v>0</v>
      </c>
      <c r="G16">
        <v>0</v>
      </c>
      <c r="H16">
        <v>0</v>
      </c>
      <c r="I16" s="161"/>
      <c r="L16" s="162"/>
      <c r="DL16" s="160"/>
      <c r="DM16" s="160"/>
    </row>
    <row r="17" spans="1:117" x14ac:dyDescent="0.25">
      <c r="A17" s="160" t="s">
        <v>15</v>
      </c>
      <c r="B17" s="160">
        <v>49422000000</v>
      </c>
      <c r="C17" s="160">
        <v>42504000000</v>
      </c>
      <c r="D17">
        <v>43889000000</v>
      </c>
      <c r="E17">
        <v>49735000000</v>
      </c>
      <c r="F17">
        <v>49145000000</v>
      </c>
      <c r="G17">
        <v>38420000000</v>
      </c>
      <c r="H17">
        <v>39165000000</v>
      </c>
      <c r="I17" s="161"/>
      <c r="L17" s="162"/>
      <c r="DL17" s="160"/>
      <c r="DM17" s="160"/>
    </row>
    <row r="18" spans="1:117" x14ac:dyDescent="0.25">
      <c r="A18" s="160" t="s">
        <v>16</v>
      </c>
      <c r="B18" s="160">
        <v>68113000000</v>
      </c>
      <c r="C18" s="160">
        <v>67990000000</v>
      </c>
      <c r="D18">
        <v>73582000000</v>
      </c>
      <c r="E18">
        <v>75621000000</v>
      </c>
      <c r="F18">
        <v>74235000000</v>
      </c>
      <c r="G18">
        <v>113766000000</v>
      </c>
      <c r="H18">
        <v>116806000000</v>
      </c>
      <c r="I18" s="161"/>
      <c r="L18" s="162"/>
      <c r="DL18" s="160"/>
      <c r="DM18" s="160"/>
    </row>
    <row r="19" spans="1:117" x14ac:dyDescent="0.25">
      <c r="A19" s="160" t="s">
        <v>17</v>
      </c>
      <c r="B19" s="160">
        <v>0</v>
      </c>
      <c r="C19" s="160">
        <v>0</v>
      </c>
      <c r="D19">
        <v>0</v>
      </c>
      <c r="E19">
        <v>0</v>
      </c>
      <c r="F19">
        <v>0</v>
      </c>
      <c r="G19">
        <v>0</v>
      </c>
      <c r="H19">
        <v>0</v>
      </c>
      <c r="I19" s="161"/>
      <c r="L19" s="162"/>
      <c r="DL19" s="160"/>
      <c r="DM19" s="160"/>
    </row>
    <row r="20" spans="1:117" x14ac:dyDescent="0.25">
      <c r="A20" s="160" t="s">
        <v>18</v>
      </c>
      <c r="B20" s="160">
        <v>4808000000</v>
      </c>
      <c r="C20" s="160">
        <v>4822000000</v>
      </c>
      <c r="D20">
        <v>5224000000</v>
      </c>
      <c r="E20">
        <v>4862000000</v>
      </c>
      <c r="F20">
        <v>5216000000</v>
      </c>
      <c r="G20">
        <v>5182000000</v>
      </c>
      <c r="H20">
        <v>9241000000</v>
      </c>
      <c r="I20" s="161"/>
      <c r="L20" s="162"/>
      <c r="DL20" s="160"/>
      <c r="DM20" s="160"/>
    </row>
    <row r="21" spans="1:117" x14ac:dyDescent="0.25">
      <c r="A21" s="160" t="s">
        <v>19</v>
      </c>
      <c r="B21" s="160">
        <v>0</v>
      </c>
      <c r="C21" s="160">
        <v>0</v>
      </c>
      <c r="D21">
        <v>0</v>
      </c>
      <c r="E21">
        <v>0</v>
      </c>
      <c r="F21">
        <v>0</v>
      </c>
      <c r="G21">
        <v>0</v>
      </c>
      <c r="H21">
        <v>0</v>
      </c>
      <c r="I21" s="161"/>
      <c r="L21" s="162"/>
      <c r="DL21" s="160"/>
      <c r="DM21" s="160"/>
    </row>
    <row r="22" spans="1:117" x14ac:dyDescent="0.25">
      <c r="A22" s="160" t="s">
        <v>20</v>
      </c>
      <c r="B22" s="160">
        <v>0</v>
      </c>
      <c r="C22" s="160">
        <v>0</v>
      </c>
      <c r="D22">
        <v>0</v>
      </c>
      <c r="E22">
        <v>0</v>
      </c>
      <c r="F22">
        <v>0</v>
      </c>
      <c r="G22">
        <v>4996000000</v>
      </c>
      <c r="H22">
        <v>4686000000</v>
      </c>
      <c r="I22" s="161"/>
      <c r="L22" s="162"/>
      <c r="DL22" s="160"/>
      <c r="DM22" s="160"/>
    </row>
    <row r="23" spans="1:117" x14ac:dyDescent="0.25">
      <c r="A23" s="160" t="s">
        <v>21</v>
      </c>
      <c r="B23" s="160">
        <v>0</v>
      </c>
      <c r="C23" s="160">
        <v>0</v>
      </c>
      <c r="D23">
        <v>0</v>
      </c>
      <c r="E23">
        <v>0</v>
      </c>
      <c r="F23">
        <v>0</v>
      </c>
      <c r="G23">
        <v>0</v>
      </c>
      <c r="H23">
        <v>0</v>
      </c>
      <c r="I23" s="161"/>
      <c r="L23" s="162"/>
      <c r="DL23" s="160"/>
      <c r="DM23" s="160"/>
    </row>
    <row r="24" spans="1:117" x14ac:dyDescent="0.25">
      <c r="A24" s="160" t="s">
        <v>22</v>
      </c>
      <c r="B24" s="160">
        <v>0</v>
      </c>
      <c r="C24" s="160">
        <v>0</v>
      </c>
      <c r="D24">
        <v>0</v>
      </c>
      <c r="E24">
        <v>0</v>
      </c>
      <c r="F24">
        <v>0</v>
      </c>
      <c r="G24">
        <v>0</v>
      </c>
      <c r="H24">
        <v>0</v>
      </c>
      <c r="I24" s="161"/>
      <c r="L24" s="162"/>
      <c r="DL24" s="160"/>
      <c r="DM24" s="160"/>
    </row>
    <row r="25" spans="1:117" x14ac:dyDescent="0.25">
      <c r="A25" s="160" t="s">
        <v>23</v>
      </c>
      <c r="B25" s="160">
        <v>0</v>
      </c>
      <c r="C25" s="160">
        <v>0</v>
      </c>
      <c r="D25">
        <v>0</v>
      </c>
      <c r="E25">
        <v>0</v>
      </c>
      <c r="F25">
        <v>0</v>
      </c>
      <c r="G25">
        <v>0</v>
      </c>
      <c r="H25">
        <v>0</v>
      </c>
      <c r="I25" s="161"/>
      <c r="L25" s="162"/>
      <c r="DL25" s="160"/>
      <c r="DM25" s="160"/>
    </row>
    <row r="26" spans="1:117" x14ac:dyDescent="0.25">
      <c r="A26" s="160" t="s">
        <v>24</v>
      </c>
      <c r="B26" s="160">
        <v>18280000000</v>
      </c>
      <c r="C26" s="160">
        <v>16458000000</v>
      </c>
      <c r="D26">
        <v>16537000000</v>
      </c>
      <c r="E26">
        <v>18991000000</v>
      </c>
      <c r="F26">
        <v>18649000000</v>
      </c>
      <c r="G26">
        <v>19899000000</v>
      </c>
      <c r="H26">
        <v>19200000000</v>
      </c>
      <c r="I26" s="161"/>
      <c r="L26" s="162"/>
      <c r="DL26" s="160"/>
      <c r="DM26" s="160"/>
    </row>
    <row r="27" spans="1:117" x14ac:dyDescent="0.25">
      <c r="A27" s="160" t="s">
        <v>25</v>
      </c>
      <c r="B27" s="160">
        <v>98000000</v>
      </c>
      <c r="C27" s="160">
        <v>82000000</v>
      </c>
      <c r="D27">
        <v>85000000</v>
      </c>
      <c r="E27">
        <v>90000000</v>
      </c>
      <c r="F27">
        <v>192000000</v>
      </c>
      <c r="G27">
        <v>184000000</v>
      </c>
      <c r="H27">
        <v>172000000</v>
      </c>
      <c r="I27" s="161"/>
      <c r="L27" s="162"/>
      <c r="DL27" s="160"/>
      <c r="DM27" s="160"/>
    </row>
    <row r="28" spans="1:117" x14ac:dyDescent="0.25">
      <c r="A28" s="160" t="s">
        <v>26</v>
      </c>
      <c r="B28" s="160">
        <v>117535000000</v>
      </c>
      <c r="C28" s="160">
        <v>110494000000</v>
      </c>
      <c r="D28">
        <v>117471000000</v>
      </c>
      <c r="E28">
        <v>125356000000</v>
      </c>
      <c r="F28">
        <v>123380000000</v>
      </c>
      <c r="G28">
        <v>152186000000</v>
      </c>
      <c r="H28">
        <v>155971000000</v>
      </c>
      <c r="I28" s="161"/>
      <c r="L28" s="162"/>
      <c r="DL28" s="160"/>
      <c r="DM28" s="160"/>
    </row>
    <row r="29" spans="1:117" x14ac:dyDescent="0.25">
      <c r="A29" s="160" t="s">
        <v>27</v>
      </c>
      <c r="B29" s="160">
        <v>-3740000000</v>
      </c>
      <c r="C29" s="160">
        <v>-4151000000</v>
      </c>
      <c r="D29">
        <v>-4150000000</v>
      </c>
      <c r="E29">
        <v>-3773000000</v>
      </c>
      <c r="F29">
        <v>-3964000000</v>
      </c>
      <c r="G29">
        <v>-2286000000</v>
      </c>
      <c r="H29">
        <v>-3230000000</v>
      </c>
      <c r="I29" s="161"/>
      <c r="L29" s="162"/>
      <c r="DL29" s="160"/>
      <c r="DM29" s="160"/>
    </row>
    <row r="30" spans="1:117" x14ac:dyDescent="0.25">
      <c r="A30" s="160" t="s">
        <v>28</v>
      </c>
      <c r="B30" s="160">
        <v>-656000000</v>
      </c>
      <c r="C30" s="160">
        <v>-3349000000</v>
      </c>
      <c r="D30">
        <v>-5679000000</v>
      </c>
      <c r="E30">
        <v>0</v>
      </c>
      <c r="F30">
        <v>-139000000</v>
      </c>
      <c r="G30">
        <v>-32630000000</v>
      </c>
      <c r="H30">
        <v>-336000000</v>
      </c>
      <c r="I30" s="161"/>
      <c r="L30" s="162"/>
      <c r="DL30" s="160"/>
      <c r="DM30" s="160"/>
    </row>
    <row r="31" spans="1:117" x14ac:dyDescent="0.25">
      <c r="A31" s="160" t="s">
        <v>29</v>
      </c>
      <c r="B31" s="160">
        <v>0</v>
      </c>
      <c r="C31" s="160">
        <v>0</v>
      </c>
      <c r="D31">
        <v>0</v>
      </c>
      <c r="E31">
        <v>0</v>
      </c>
      <c r="F31">
        <v>0</v>
      </c>
      <c r="G31">
        <v>0</v>
      </c>
      <c r="H31">
        <v>0</v>
      </c>
      <c r="I31" s="161"/>
      <c r="L31" s="162"/>
      <c r="DL31" s="160"/>
      <c r="DM31" s="160"/>
    </row>
    <row r="32" spans="1:117" x14ac:dyDescent="0.25">
      <c r="A32" s="160" t="s">
        <v>30</v>
      </c>
      <c r="B32" s="160">
        <v>59.765391786018299</v>
      </c>
      <c r="C32" s="160">
        <v>58.298549093489299</v>
      </c>
      <c r="D32">
        <v>61.902027027027003</v>
      </c>
      <c r="E32">
        <v>70.150621059149103</v>
      </c>
      <c r="F32">
        <v>66.597939439628107</v>
      </c>
      <c r="G32">
        <v>40.177583055724803</v>
      </c>
      <c r="H32">
        <v>14.060390377745501</v>
      </c>
      <c r="I32" s="161"/>
      <c r="L32" s="162"/>
      <c r="DL32" s="160"/>
      <c r="DM32" s="160"/>
    </row>
    <row r="33" spans="1:117" x14ac:dyDescent="0.25">
      <c r="A33" s="160" t="s">
        <v>31</v>
      </c>
      <c r="B33" s="160">
        <v>-15452000000</v>
      </c>
      <c r="C33" s="160">
        <v>-9166000000</v>
      </c>
      <c r="D33">
        <v>-5791000000</v>
      </c>
      <c r="E33">
        <v>-6418000000</v>
      </c>
      <c r="F33">
        <v>-10469000000</v>
      </c>
      <c r="G33">
        <v>9042000000</v>
      </c>
      <c r="H33">
        <v>-9721000000</v>
      </c>
      <c r="I33" s="161"/>
      <c r="L33" s="162"/>
      <c r="DL33" s="160"/>
      <c r="DM33" s="160"/>
    </row>
    <row r="34" spans="1:117" x14ac:dyDescent="0.25">
      <c r="A34" s="160" t="s">
        <v>32</v>
      </c>
      <c r="B34" s="160">
        <v>-3001000000</v>
      </c>
      <c r="C34" s="160">
        <v>-8159000000</v>
      </c>
      <c r="D34">
        <v>-10976000000</v>
      </c>
      <c r="E34">
        <v>-7096000000</v>
      </c>
      <c r="F34">
        <v>-4913000000</v>
      </c>
      <c r="G34">
        <v>-26936000000</v>
      </c>
      <c r="H34">
        <v>-3028000000</v>
      </c>
      <c r="I34" s="161"/>
      <c r="L34" s="162"/>
      <c r="DL34" s="160"/>
      <c r="DM34" s="160"/>
    </row>
    <row r="35" spans="1:117" x14ac:dyDescent="0.25">
      <c r="A35" s="160" t="s">
        <v>33</v>
      </c>
      <c r="B35" s="160">
        <v>16868000000</v>
      </c>
      <c r="C35" s="160">
        <v>17008000000</v>
      </c>
      <c r="D35">
        <v>16958000000</v>
      </c>
      <c r="E35">
        <v>16724000000</v>
      </c>
      <c r="F35">
        <v>15247000000</v>
      </c>
      <c r="G35">
        <v>14770000000</v>
      </c>
      <c r="H35">
        <v>18197000000</v>
      </c>
      <c r="I35" s="161"/>
      <c r="L35" s="162"/>
      <c r="DL35" s="160"/>
      <c r="DM35" s="160"/>
    </row>
    <row r="36" spans="1:117" x14ac:dyDescent="0.25">
      <c r="A36" s="160" t="s">
        <v>34</v>
      </c>
      <c r="B36" s="160">
        <v>0</v>
      </c>
      <c r="C36" s="160">
        <v>0</v>
      </c>
      <c r="D36">
        <v>0</v>
      </c>
      <c r="E36">
        <v>-4340000000</v>
      </c>
      <c r="F36">
        <v>-4443000000</v>
      </c>
      <c r="G36">
        <v>-1361000000</v>
      </c>
      <c r="H36">
        <v>0</v>
      </c>
      <c r="I36" s="161"/>
      <c r="L36" s="162"/>
      <c r="DL36" s="160"/>
      <c r="DM36" s="160"/>
    </row>
    <row r="37" spans="1:117" x14ac:dyDescent="0.25">
      <c r="A37" s="160" t="s">
        <v>35</v>
      </c>
      <c r="B37" s="160">
        <v>496000000</v>
      </c>
      <c r="C37" s="160">
        <v>393000000</v>
      </c>
      <c r="D37">
        <v>19000000</v>
      </c>
      <c r="E37">
        <v>32000000</v>
      </c>
      <c r="F37">
        <v>34000000</v>
      </c>
      <c r="G37">
        <v>38000000</v>
      </c>
      <c r="H37">
        <v>54000000</v>
      </c>
      <c r="I37" s="161"/>
      <c r="L37" s="162"/>
      <c r="DL37" s="160"/>
      <c r="DM37" s="160"/>
    </row>
    <row r="38" spans="1:117" x14ac:dyDescent="0.25">
      <c r="A38" s="160" t="s">
        <v>36</v>
      </c>
      <c r="B38" s="160">
        <v>0</v>
      </c>
      <c r="C38" s="160">
        <v>0</v>
      </c>
      <c r="D38">
        <v>0</v>
      </c>
      <c r="E38">
        <v>0</v>
      </c>
      <c r="F38">
        <v>0</v>
      </c>
      <c r="G38">
        <v>0</v>
      </c>
      <c r="H38">
        <v>0</v>
      </c>
      <c r="I38" s="161"/>
      <c r="L38" s="162"/>
      <c r="DL38" s="160"/>
      <c r="DM38" s="160"/>
    </row>
    <row r="39" spans="1:117" x14ac:dyDescent="0.25">
      <c r="A39" s="160" t="s">
        <v>37</v>
      </c>
      <c r="B39" s="160">
        <v>5748000000</v>
      </c>
      <c r="C39" s="160">
        <v>2657000000</v>
      </c>
      <c r="D39">
        <v>1078000000</v>
      </c>
      <c r="E39">
        <v>1597000000</v>
      </c>
      <c r="F39">
        <v>0</v>
      </c>
      <c r="G39">
        <v>0</v>
      </c>
      <c r="H39">
        <v>0</v>
      </c>
      <c r="I39" s="161"/>
      <c r="L39" s="162"/>
      <c r="DL39" s="160"/>
      <c r="DM39" s="160"/>
    </row>
    <row r="40" spans="1:117" x14ac:dyDescent="0.25">
      <c r="A40" s="160" t="s">
        <v>38</v>
      </c>
      <c r="B40" s="160">
        <v>1061000000</v>
      </c>
      <c r="C40" s="160">
        <v>995000000</v>
      </c>
      <c r="D40">
        <v>1158000000</v>
      </c>
      <c r="E40">
        <v>1208000000</v>
      </c>
      <c r="F40">
        <v>0</v>
      </c>
      <c r="G40">
        <v>0</v>
      </c>
      <c r="H40">
        <v>0</v>
      </c>
      <c r="I40" s="161"/>
      <c r="L40" s="162"/>
      <c r="DL40" s="160"/>
      <c r="DM40" s="160"/>
    </row>
    <row r="41" spans="1:117" x14ac:dyDescent="0.25">
      <c r="A41" s="160" t="s">
        <v>39</v>
      </c>
      <c r="B41" s="160">
        <v>0</v>
      </c>
      <c r="C41" s="160">
        <v>0</v>
      </c>
      <c r="D41">
        <v>0</v>
      </c>
      <c r="E41">
        <v>0</v>
      </c>
      <c r="F41">
        <v>0</v>
      </c>
      <c r="G41">
        <v>0</v>
      </c>
      <c r="H41">
        <v>0</v>
      </c>
      <c r="I41" s="161"/>
      <c r="L41" s="162"/>
      <c r="DL41" s="160"/>
      <c r="DM41" s="160"/>
    </row>
    <row r="42" spans="1:117" x14ac:dyDescent="0.25">
      <c r="A42" s="160" t="s">
        <v>40</v>
      </c>
      <c r="B42" s="160">
        <v>3729000000</v>
      </c>
      <c r="C42" s="160">
        <v>174000000</v>
      </c>
      <c r="D42">
        <v>9000000</v>
      </c>
      <c r="E42">
        <v>5000000</v>
      </c>
      <c r="F42">
        <v>-5000000</v>
      </c>
      <c r="G42">
        <v>4000000</v>
      </c>
      <c r="H42">
        <v>-89000000</v>
      </c>
      <c r="I42" s="161"/>
      <c r="L42" s="162"/>
      <c r="DL42" s="160"/>
      <c r="DM42" s="160"/>
    </row>
    <row r="43" spans="1:117" x14ac:dyDescent="0.25">
      <c r="A43" s="160" t="s">
        <v>41</v>
      </c>
      <c r="B43" s="160">
        <v>3729000000</v>
      </c>
      <c r="C43" s="160">
        <v>174000000</v>
      </c>
      <c r="D43">
        <v>9000000</v>
      </c>
      <c r="E43">
        <v>5000000</v>
      </c>
      <c r="F43">
        <v>-5000000</v>
      </c>
      <c r="G43">
        <v>4000000</v>
      </c>
      <c r="H43">
        <v>-89000000</v>
      </c>
      <c r="I43" s="161"/>
      <c r="L43" s="162"/>
      <c r="DL43" s="160"/>
      <c r="DM43" s="160"/>
    </row>
    <row r="44" spans="1:117" x14ac:dyDescent="0.25">
      <c r="A44" s="160" t="s">
        <v>42</v>
      </c>
      <c r="B44" s="160">
        <v>0</v>
      </c>
      <c r="C44" s="160">
        <v>0</v>
      </c>
      <c r="D44">
        <v>0</v>
      </c>
      <c r="E44">
        <v>0</v>
      </c>
      <c r="F44">
        <v>0</v>
      </c>
      <c r="G44">
        <v>0</v>
      </c>
      <c r="H44">
        <v>0</v>
      </c>
      <c r="I44" s="161"/>
      <c r="L44" s="162"/>
      <c r="DL44" s="160"/>
      <c r="DM44" s="160"/>
    </row>
    <row r="45" spans="1:117" x14ac:dyDescent="0.25">
      <c r="A45" s="160" t="s">
        <v>43</v>
      </c>
      <c r="B45" s="160" t="s">
        <v>854</v>
      </c>
      <c r="C45" s="160" t="s">
        <v>854</v>
      </c>
      <c r="D45" t="s">
        <v>854</v>
      </c>
      <c r="E45" t="s">
        <v>854</v>
      </c>
      <c r="F45" t="s">
        <v>854</v>
      </c>
      <c r="G45" t="s">
        <v>854</v>
      </c>
      <c r="H45" t="s">
        <v>854</v>
      </c>
      <c r="I45" s="161"/>
      <c r="L45" s="162"/>
      <c r="DL45" s="160"/>
      <c r="DM45" s="160"/>
    </row>
    <row r="46" spans="1:117" x14ac:dyDescent="0.25">
      <c r="A46" s="160" t="s">
        <v>44</v>
      </c>
      <c r="B46" s="160">
        <v>0</v>
      </c>
      <c r="C46" s="160">
        <v>0</v>
      </c>
      <c r="D46">
        <v>0</v>
      </c>
      <c r="E46">
        <v>0</v>
      </c>
      <c r="F46">
        <v>0</v>
      </c>
      <c r="G46">
        <v>0</v>
      </c>
      <c r="H46">
        <v>0</v>
      </c>
      <c r="I46" s="161"/>
      <c r="L46" s="162"/>
      <c r="DL46" s="160"/>
      <c r="DM46" s="160"/>
    </row>
    <row r="47" spans="1:117" x14ac:dyDescent="0.25">
      <c r="A47" s="160" t="s">
        <v>45</v>
      </c>
      <c r="B47" s="160" t="s">
        <v>853</v>
      </c>
      <c r="C47" s="160" t="s">
        <v>853</v>
      </c>
      <c r="D47" t="s">
        <v>853</v>
      </c>
      <c r="E47" t="s">
        <v>853</v>
      </c>
      <c r="F47" t="s">
        <v>853</v>
      </c>
      <c r="G47" t="s">
        <v>853</v>
      </c>
      <c r="H47" t="s">
        <v>853</v>
      </c>
      <c r="I47" s="161"/>
      <c r="L47" s="162"/>
      <c r="DL47" s="160"/>
      <c r="DM47" s="160"/>
    </row>
    <row r="48" spans="1:117" x14ac:dyDescent="0.25">
      <c r="A48" s="160" t="s">
        <v>46</v>
      </c>
      <c r="B48" s="160">
        <v>26.999450389576801</v>
      </c>
      <c r="C48" s="160">
        <v>26.916640160505001</v>
      </c>
      <c r="D48">
        <v>28.356919419419398</v>
      </c>
      <c r="E48">
        <v>29.752903119827099</v>
      </c>
      <c r="F48">
        <v>30.0750094232944</v>
      </c>
      <c r="G48">
        <v>23.1640893359431</v>
      </c>
      <c r="H48">
        <v>24.3330028116977</v>
      </c>
      <c r="I48" s="161"/>
      <c r="L48" s="162"/>
      <c r="DL48" s="160"/>
      <c r="DM48" s="160"/>
    </row>
    <row r="49" spans="1:117" x14ac:dyDescent="0.25">
      <c r="A49" s="160" t="s">
        <v>47</v>
      </c>
      <c r="B49" s="160">
        <v>8.2760553058959196</v>
      </c>
      <c r="C49" s="160">
        <v>6.9256318661153404</v>
      </c>
      <c r="D49">
        <v>7.0926551551551604</v>
      </c>
      <c r="E49">
        <v>7.30101467039007</v>
      </c>
      <c r="F49">
        <v>7.7136574946601302</v>
      </c>
      <c r="G49">
        <v>7.6598571558194104</v>
      </c>
      <c r="H49">
        <v>9.1174393175860207</v>
      </c>
      <c r="I49" s="161"/>
      <c r="L49" s="162"/>
      <c r="DL49" s="160"/>
      <c r="DM49" s="160"/>
    </row>
    <row r="50" spans="1:117" x14ac:dyDescent="0.25">
      <c r="A50" s="160" t="s">
        <v>48</v>
      </c>
      <c r="B50" s="160">
        <v>46.718017522873502</v>
      </c>
      <c r="C50" s="160">
        <v>49.211727141494002</v>
      </c>
      <c r="D50">
        <v>50.397585085085097</v>
      </c>
      <c r="E50">
        <v>53.279419755114397</v>
      </c>
      <c r="F50">
        <v>51.202726473174998</v>
      </c>
      <c r="G50">
        <v>56.897740676889597</v>
      </c>
      <c r="H50">
        <v>63.623762241751699</v>
      </c>
      <c r="I50" s="161"/>
      <c r="L50" s="162"/>
      <c r="DL50" s="160"/>
      <c r="DM50" s="160"/>
    </row>
    <row r="51" spans="1:117" x14ac:dyDescent="0.25">
      <c r="A51" s="160" t="s">
        <v>49</v>
      </c>
      <c r="B51" s="160">
        <v>125.20680439257301</v>
      </c>
      <c r="C51" s="160">
        <v>127.501284529373</v>
      </c>
      <c r="D51">
        <v>133.56387637637599</v>
      </c>
      <c r="E51">
        <v>145.88192926370101</v>
      </c>
      <c r="F51">
        <v>140.16201784143701</v>
      </c>
      <c r="G51">
        <v>112.579555912738</v>
      </c>
      <c r="H51">
        <v>92.899716113608903</v>
      </c>
      <c r="I51" s="161"/>
      <c r="L51" s="162"/>
      <c r="DL51" s="160"/>
      <c r="DM51" s="160"/>
    </row>
    <row r="52" spans="1:117" x14ac:dyDescent="0.25">
      <c r="A52" s="160" t="s">
        <v>50</v>
      </c>
      <c r="B52" s="160">
        <v>0</v>
      </c>
      <c r="C52" s="160">
        <v>0</v>
      </c>
      <c r="D52">
        <v>0</v>
      </c>
      <c r="E52">
        <v>0</v>
      </c>
      <c r="F52">
        <v>0</v>
      </c>
      <c r="G52">
        <v>0</v>
      </c>
      <c r="H52">
        <v>0</v>
      </c>
      <c r="I52" s="161"/>
      <c r="L52" s="162"/>
      <c r="DL52" s="160"/>
      <c r="DM52" s="160"/>
    </row>
    <row r="53" spans="1:117" x14ac:dyDescent="0.25">
      <c r="A53" s="160" t="s">
        <v>51</v>
      </c>
      <c r="B53" s="160">
        <v>5731000000</v>
      </c>
      <c r="C53" s="160">
        <v>6461000000</v>
      </c>
      <c r="D53">
        <v>7513000000</v>
      </c>
      <c r="E53">
        <v>6987000000</v>
      </c>
      <c r="F53">
        <v>10207000000</v>
      </c>
      <c r="G53">
        <v>8797000000</v>
      </c>
      <c r="H53">
        <v>7183000000</v>
      </c>
      <c r="I53" s="161"/>
      <c r="L53" s="162"/>
      <c r="DL53" s="160"/>
      <c r="DM53" s="160"/>
    </row>
    <row r="54" spans="1:117" x14ac:dyDescent="0.25">
      <c r="A54" s="160" t="s">
        <v>52</v>
      </c>
      <c r="B54" s="160">
        <v>28263000000</v>
      </c>
      <c r="C54" s="160">
        <v>18615000000</v>
      </c>
      <c r="D54">
        <v>19303000000</v>
      </c>
      <c r="E54">
        <v>21215000000</v>
      </c>
      <c r="F54">
        <v>21668000000</v>
      </c>
      <c r="G54">
        <v>22018000000</v>
      </c>
      <c r="H54">
        <v>23136000000</v>
      </c>
      <c r="I54" s="161"/>
      <c r="L54" s="162"/>
      <c r="DL54" s="160"/>
      <c r="DM54" s="160"/>
    </row>
    <row r="55" spans="1:117" x14ac:dyDescent="0.25">
      <c r="A55" s="160" t="s">
        <v>53</v>
      </c>
      <c r="B55" s="160">
        <v>4492000000</v>
      </c>
      <c r="C55" s="160">
        <v>3855000000</v>
      </c>
      <c r="D55">
        <v>4381000000</v>
      </c>
      <c r="E55">
        <v>4541000000</v>
      </c>
      <c r="F55">
        <v>4480000000</v>
      </c>
      <c r="G55">
        <v>6059000000</v>
      </c>
      <c r="H55">
        <v>6695000000</v>
      </c>
      <c r="I55" s="161"/>
      <c r="L55" s="162"/>
      <c r="DL55" s="160"/>
      <c r="DM55" s="160"/>
    </row>
    <row r="56" spans="1:117" x14ac:dyDescent="0.25">
      <c r="A56" s="160" t="s">
        <v>54</v>
      </c>
      <c r="B56" s="160">
        <v>0</v>
      </c>
      <c r="C56" s="160">
        <v>0</v>
      </c>
      <c r="D56">
        <v>0</v>
      </c>
      <c r="E56">
        <v>0</v>
      </c>
      <c r="F56">
        <v>0</v>
      </c>
      <c r="G56">
        <v>0</v>
      </c>
      <c r="H56">
        <v>0</v>
      </c>
      <c r="I56" s="161"/>
      <c r="L56" s="162"/>
      <c r="DL56" s="160"/>
      <c r="DM56" s="160"/>
    </row>
    <row r="57" spans="1:117" x14ac:dyDescent="0.25">
      <c r="A57" s="160" t="s">
        <v>55</v>
      </c>
      <c r="B57" s="160">
        <v>0</v>
      </c>
      <c r="C57" s="160">
        <v>0</v>
      </c>
      <c r="D57">
        <v>0</v>
      </c>
      <c r="E57">
        <v>0</v>
      </c>
      <c r="F57">
        <v>0</v>
      </c>
      <c r="G57">
        <v>0</v>
      </c>
      <c r="H57">
        <v>0</v>
      </c>
      <c r="I57" s="161"/>
      <c r="L57" s="162"/>
      <c r="DL57" s="160"/>
      <c r="DM57" s="160"/>
    </row>
    <row r="58" spans="1:117" x14ac:dyDescent="0.25">
      <c r="A58" s="160" t="s">
        <v>56</v>
      </c>
      <c r="B58" s="160">
        <v>0</v>
      </c>
      <c r="C58" s="160">
        <v>146124000000</v>
      </c>
      <c r="D58">
        <v>152759000000</v>
      </c>
      <c r="E58">
        <v>153126000000</v>
      </c>
      <c r="F58">
        <v>159206000000</v>
      </c>
      <c r="G58">
        <v>162954000000</v>
      </c>
      <c r="H58">
        <v>162717000000</v>
      </c>
      <c r="I58" s="161"/>
      <c r="L58" s="162"/>
      <c r="DL58" s="160"/>
      <c r="DM58" s="160"/>
    </row>
    <row r="59" spans="1:117" x14ac:dyDescent="0.25">
      <c r="A59" s="160" t="s">
        <v>57</v>
      </c>
      <c r="B59" s="160">
        <v>18532000000</v>
      </c>
      <c r="C59" s="160">
        <v>15690000000</v>
      </c>
      <c r="D59">
        <v>13107000000</v>
      </c>
      <c r="E59">
        <v>11798000000</v>
      </c>
      <c r="F59">
        <v>13216000000</v>
      </c>
      <c r="G59">
        <v>10544000000</v>
      </c>
      <c r="H59">
        <v>6786000000</v>
      </c>
      <c r="I59" s="161"/>
      <c r="L59" s="162"/>
      <c r="DL59" s="160"/>
      <c r="DM59" s="160"/>
    </row>
    <row r="60" spans="1:117" x14ac:dyDescent="0.25">
      <c r="A60" s="160" t="s">
        <v>58</v>
      </c>
      <c r="B60" s="160">
        <v>23024000000</v>
      </c>
      <c r="C60" s="160">
        <v>19545000000</v>
      </c>
      <c r="D60">
        <v>17488000000</v>
      </c>
      <c r="E60">
        <v>16339000000</v>
      </c>
      <c r="F60">
        <v>17696000000</v>
      </c>
      <c r="G60">
        <v>16603000000</v>
      </c>
      <c r="H60">
        <v>13481000000</v>
      </c>
      <c r="I60" s="161"/>
      <c r="L60" s="162"/>
      <c r="DL60" s="160"/>
      <c r="DM60" s="160"/>
    </row>
    <row r="61" spans="1:117" x14ac:dyDescent="0.25">
      <c r="A61" s="160" t="s">
        <v>59</v>
      </c>
      <c r="B61" s="160">
        <v>11870000000</v>
      </c>
      <c r="C61" s="160">
        <v>14262000000</v>
      </c>
      <c r="D61">
        <v>18246000000</v>
      </c>
      <c r="E61">
        <v>17593000000</v>
      </c>
      <c r="F61">
        <v>16797000000</v>
      </c>
      <c r="G61">
        <v>20839000000</v>
      </c>
      <c r="H61">
        <v>20597000000</v>
      </c>
      <c r="I61" s="161"/>
      <c r="L61" s="162"/>
      <c r="DL61" s="160"/>
      <c r="DM61" s="160"/>
    </row>
    <row r="62" spans="1:117" x14ac:dyDescent="0.25">
      <c r="A62" s="160" t="s">
        <v>60</v>
      </c>
      <c r="B62" s="160">
        <v>0</v>
      </c>
      <c r="C62" s="160">
        <v>0</v>
      </c>
      <c r="D62">
        <v>0</v>
      </c>
      <c r="E62">
        <v>0</v>
      </c>
      <c r="F62">
        <v>0</v>
      </c>
      <c r="G62">
        <v>0</v>
      </c>
      <c r="H62">
        <v>0</v>
      </c>
      <c r="I62" s="161"/>
      <c r="L62" s="162"/>
      <c r="DL62" s="160"/>
      <c r="DM62" s="160"/>
    </row>
    <row r="63" spans="1:117" x14ac:dyDescent="0.25">
      <c r="A63" s="160" t="s">
        <v>61</v>
      </c>
      <c r="B63" s="160">
        <v>0</v>
      </c>
      <c r="C63" s="160">
        <v>0</v>
      </c>
      <c r="D63">
        <v>0</v>
      </c>
      <c r="E63">
        <v>0</v>
      </c>
      <c r="F63">
        <v>0</v>
      </c>
      <c r="G63">
        <v>0</v>
      </c>
      <c r="H63">
        <v>0</v>
      </c>
      <c r="I63" s="161"/>
      <c r="L63" s="162"/>
      <c r="DL63" s="160"/>
      <c r="DM63" s="160"/>
    </row>
    <row r="64" spans="1:117" x14ac:dyDescent="0.25">
      <c r="A64" s="160" t="s">
        <v>62</v>
      </c>
      <c r="B64" s="160">
        <v>0</v>
      </c>
      <c r="C64" s="160">
        <v>0</v>
      </c>
      <c r="D64">
        <v>0</v>
      </c>
      <c r="E64">
        <v>0</v>
      </c>
      <c r="F64">
        <v>0</v>
      </c>
      <c r="G64">
        <v>0</v>
      </c>
      <c r="H64">
        <v>0</v>
      </c>
      <c r="I64" s="161"/>
      <c r="L64" s="162"/>
      <c r="DL64" s="160"/>
      <c r="DM64" s="160"/>
    </row>
    <row r="65" spans="1:117" x14ac:dyDescent="0.25">
      <c r="A65" s="160" t="s">
        <v>63</v>
      </c>
      <c r="B65" s="160">
        <v>0</v>
      </c>
      <c r="C65" s="160">
        <v>0</v>
      </c>
      <c r="D65">
        <v>0</v>
      </c>
      <c r="E65">
        <v>0</v>
      </c>
      <c r="F65">
        <v>0</v>
      </c>
      <c r="G65">
        <v>0</v>
      </c>
      <c r="H65">
        <v>0</v>
      </c>
      <c r="I65" s="161"/>
      <c r="L65" s="162"/>
      <c r="DL65" s="160"/>
      <c r="DM65" s="160"/>
    </row>
    <row r="66" spans="1:117" x14ac:dyDescent="0.25">
      <c r="A66" s="160" t="s">
        <v>64</v>
      </c>
      <c r="B66" s="160">
        <v>73548000000</v>
      </c>
      <c r="C66" s="160">
        <v>66478000000</v>
      </c>
      <c r="D66">
        <v>69219000000</v>
      </c>
      <c r="E66">
        <v>69206000000</v>
      </c>
      <c r="F66">
        <v>69275000000</v>
      </c>
      <c r="G66">
        <v>67628000000</v>
      </c>
      <c r="H66">
        <v>69610000000</v>
      </c>
      <c r="I66" s="161"/>
      <c r="L66" s="162"/>
      <c r="DL66" s="160"/>
      <c r="DM66" s="160"/>
    </row>
    <row r="67" spans="1:117" x14ac:dyDescent="0.25">
      <c r="A67" s="160" t="s">
        <v>65</v>
      </c>
      <c r="B67" s="160">
        <v>0</v>
      </c>
      <c r="C67" s="160">
        <v>0</v>
      </c>
      <c r="D67">
        <v>0</v>
      </c>
      <c r="E67">
        <v>0</v>
      </c>
      <c r="F67">
        <v>0</v>
      </c>
      <c r="G67">
        <v>0</v>
      </c>
      <c r="H67">
        <v>0</v>
      </c>
      <c r="I67" s="161"/>
      <c r="L67" s="162"/>
      <c r="DL67" s="160"/>
      <c r="DM67" s="160"/>
    </row>
    <row r="68" spans="1:117" x14ac:dyDescent="0.25">
      <c r="A68" s="160" t="s">
        <v>66</v>
      </c>
      <c r="B68" s="160">
        <v>0</v>
      </c>
      <c r="C68" s="160">
        <v>0</v>
      </c>
      <c r="D68">
        <v>0</v>
      </c>
      <c r="E68">
        <v>0</v>
      </c>
      <c r="F68">
        <v>0</v>
      </c>
      <c r="G68">
        <v>0</v>
      </c>
      <c r="H68">
        <v>0</v>
      </c>
      <c r="I68" s="161"/>
      <c r="L68" s="162"/>
      <c r="DL68" s="160"/>
      <c r="DM68" s="160"/>
    </row>
    <row r="69" spans="1:117" x14ac:dyDescent="0.25">
      <c r="A69" s="160" t="s">
        <v>67</v>
      </c>
      <c r="B69" s="160">
        <v>0</v>
      </c>
      <c r="C69" s="160">
        <v>0</v>
      </c>
      <c r="D69">
        <v>0</v>
      </c>
      <c r="E69">
        <v>0</v>
      </c>
      <c r="F69">
        <v>0</v>
      </c>
      <c r="G69">
        <v>0</v>
      </c>
      <c r="H69">
        <v>0</v>
      </c>
      <c r="I69" s="161"/>
      <c r="L69" s="162"/>
      <c r="DL69" s="160"/>
      <c r="DM69" s="160"/>
    </row>
    <row r="70" spans="1:117" x14ac:dyDescent="0.25">
      <c r="A70" s="160" t="s">
        <v>68</v>
      </c>
      <c r="B70" s="160">
        <v>654000000</v>
      </c>
      <c r="C70" s="160">
        <v>-853000000</v>
      </c>
      <c r="D70">
        <v>0</v>
      </c>
      <c r="E70">
        <v>0</v>
      </c>
      <c r="F70">
        <v>0</v>
      </c>
      <c r="G70">
        <v>15000000</v>
      </c>
      <c r="H70">
        <v>0</v>
      </c>
      <c r="I70" s="161"/>
      <c r="L70" s="162"/>
      <c r="DL70" s="160"/>
      <c r="DM70" s="160"/>
    </row>
    <row r="71" spans="1:117" x14ac:dyDescent="0.25">
      <c r="A71" s="160" t="s">
        <v>69</v>
      </c>
      <c r="B71" s="160">
        <v>0</v>
      </c>
      <c r="C71" s="160">
        <v>0</v>
      </c>
      <c r="D71">
        <v>0</v>
      </c>
      <c r="E71">
        <v>0</v>
      </c>
      <c r="F71">
        <v>0</v>
      </c>
      <c r="G71">
        <v>0</v>
      </c>
      <c r="H71">
        <v>0</v>
      </c>
      <c r="I71" s="161"/>
      <c r="L71" s="162"/>
      <c r="DL71" s="160"/>
      <c r="DM71" s="160"/>
    </row>
    <row r="72" spans="1:117" x14ac:dyDescent="0.25">
      <c r="A72" s="160" t="s">
        <v>70</v>
      </c>
      <c r="B72" s="160">
        <v>0</v>
      </c>
      <c r="C72" s="160">
        <v>0</v>
      </c>
      <c r="D72">
        <v>0</v>
      </c>
      <c r="E72">
        <v>0</v>
      </c>
      <c r="F72">
        <v>0</v>
      </c>
      <c r="G72">
        <v>0</v>
      </c>
      <c r="H72">
        <v>0</v>
      </c>
      <c r="I72" s="161"/>
      <c r="L72" s="162"/>
      <c r="DL72" s="160"/>
      <c r="DM72" s="160"/>
    </row>
    <row r="73" spans="1:117" x14ac:dyDescent="0.25">
      <c r="A73" s="160" t="s">
        <v>71</v>
      </c>
      <c r="B73" s="160">
        <v>0</v>
      </c>
      <c r="C73" s="160">
        <v>0</v>
      </c>
      <c r="D73">
        <v>0</v>
      </c>
      <c r="E73">
        <v>0</v>
      </c>
      <c r="F73">
        <v>0</v>
      </c>
      <c r="G73">
        <v>0</v>
      </c>
      <c r="H73">
        <v>0</v>
      </c>
      <c r="I73" s="161"/>
      <c r="L73" s="162"/>
      <c r="DL73" s="160"/>
      <c r="DM73" s="160"/>
    </row>
    <row r="74" spans="1:117" x14ac:dyDescent="0.25">
      <c r="A74" s="160" t="s">
        <v>72</v>
      </c>
      <c r="B74" s="160">
        <v>-599000000</v>
      </c>
      <c r="C74" s="160">
        <v>414000000</v>
      </c>
      <c r="D74">
        <v>0</v>
      </c>
      <c r="E74">
        <v>0</v>
      </c>
      <c r="F74">
        <v>0</v>
      </c>
      <c r="G74">
        <v>-279000000</v>
      </c>
      <c r="H74">
        <v>0</v>
      </c>
      <c r="I74" s="161"/>
      <c r="L74" s="162"/>
      <c r="DL74" s="160"/>
      <c r="DM74" s="160"/>
    </row>
    <row r="75" spans="1:117" x14ac:dyDescent="0.25">
      <c r="A75" s="160" t="s">
        <v>73</v>
      </c>
      <c r="B75" s="160">
        <v>394000000</v>
      </c>
      <c r="C75" s="160">
        <v>396000000</v>
      </c>
      <c r="D75">
        <v>630000000</v>
      </c>
      <c r="E75">
        <v>615000000</v>
      </c>
      <c r="F75">
        <v>723000000</v>
      </c>
      <c r="G75">
        <v>995000000</v>
      </c>
      <c r="H75">
        <v>1288000000</v>
      </c>
      <c r="I75" s="161"/>
      <c r="L75" s="162"/>
      <c r="DL75" s="160"/>
      <c r="DM75" s="160"/>
    </row>
    <row r="76" spans="1:117" x14ac:dyDescent="0.25">
      <c r="A76" s="160" t="s">
        <v>74</v>
      </c>
      <c r="B76" s="160">
        <v>0</v>
      </c>
      <c r="C76" s="160">
        <v>0</v>
      </c>
      <c r="D76">
        <v>0</v>
      </c>
      <c r="E76">
        <v>0</v>
      </c>
      <c r="F76">
        <v>0</v>
      </c>
      <c r="G76">
        <v>0</v>
      </c>
      <c r="H76">
        <v>0</v>
      </c>
      <c r="I76" s="161"/>
      <c r="L76" s="162"/>
      <c r="DL76" s="160"/>
      <c r="DM76" s="160"/>
    </row>
    <row r="77" spans="1:117" x14ac:dyDescent="0.25">
      <c r="A77" s="160" t="s">
        <v>75</v>
      </c>
      <c r="B77" s="160">
        <v>0</v>
      </c>
      <c r="C77" s="160">
        <v>0</v>
      </c>
      <c r="D77">
        <v>0</v>
      </c>
      <c r="E77">
        <v>0</v>
      </c>
      <c r="F77">
        <v>0</v>
      </c>
      <c r="G77">
        <v>0</v>
      </c>
      <c r="H77">
        <v>0</v>
      </c>
      <c r="I77" s="161"/>
      <c r="L77" s="162"/>
      <c r="DL77" s="160"/>
      <c r="DM77" s="160"/>
    </row>
    <row r="78" spans="1:117" x14ac:dyDescent="0.25">
      <c r="A78" s="160" t="s">
        <v>76</v>
      </c>
      <c r="B78" s="160">
        <v>0</v>
      </c>
      <c r="C78" s="160">
        <v>0</v>
      </c>
      <c r="D78">
        <v>0</v>
      </c>
      <c r="E78">
        <v>0</v>
      </c>
      <c r="F78">
        <v>0</v>
      </c>
      <c r="G78">
        <v>0</v>
      </c>
      <c r="H78">
        <v>0</v>
      </c>
      <c r="I78" s="161"/>
      <c r="L78" s="162"/>
      <c r="DL78" s="160"/>
      <c r="DM78" s="160"/>
    </row>
    <row r="79" spans="1:117" x14ac:dyDescent="0.25">
      <c r="A79" s="160" t="s">
        <v>77</v>
      </c>
      <c r="B79" s="160">
        <v>-1878000000</v>
      </c>
      <c r="C79" s="160">
        <v>-260000000</v>
      </c>
      <c r="D79">
        <v>145000000</v>
      </c>
      <c r="E79">
        <v>-216000000</v>
      </c>
      <c r="F79">
        <v>1152000000</v>
      </c>
      <c r="G79">
        <v>-937000000</v>
      </c>
      <c r="H79">
        <v>861000000</v>
      </c>
      <c r="I79" s="161"/>
      <c r="L79" s="162"/>
      <c r="DL79" s="160"/>
      <c r="DM79" s="160"/>
    </row>
    <row r="80" spans="1:117" x14ac:dyDescent="0.25">
      <c r="A80" s="160" t="s">
        <v>78</v>
      </c>
      <c r="B80" s="160">
        <v>-26000000</v>
      </c>
      <c r="C80" s="160">
        <v>47000000</v>
      </c>
      <c r="D80">
        <v>0</v>
      </c>
      <c r="E80">
        <v>0</v>
      </c>
      <c r="F80">
        <v>0</v>
      </c>
      <c r="G80">
        <v>583000000</v>
      </c>
      <c r="H80">
        <v>0</v>
      </c>
      <c r="I80" s="161"/>
      <c r="L80" s="162"/>
      <c r="DL80" s="160"/>
      <c r="DM80" s="160"/>
    </row>
    <row r="81" spans="1:117" x14ac:dyDescent="0.25">
      <c r="A81" s="160" t="s">
        <v>79</v>
      </c>
      <c r="B81" s="160">
        <v>0</v>
      </c>
      <c r="C81" s="160">
        <v>0</v>
      </c>
      <c r="D81">
        <v>0</v>
      </c>
      <c r="E81">
        <v>0</v>
      </c>
      <c r="F81">
        <v>0</v>
      </c>
      <c r="G81">
        <v>0</v>
      </c>
      <c r="H81">
        <v>0</v>
      </c>
      <c r="I81" s="161"/>
      <c r="L81" s="162"/>
      <c r="DL81" s="160"/>
      <c r="DM81" s="160"/>
    </row>
    <row r="82" spans="1:117" x14ac:dyDescent="0.25">
      <c r="A82" s="160" t="s">
        <v>80</v>
      </c>
      <c r="B82" s="160">
        <v>0</v>
      </c>
      <c r="C82" s="160">
        <v>0</v>
      </c>
      <c r="D82">
        <v>0</v>
      </c>
      <c r="E82">
        <v>0</v>
      </c>
      <c r="F82">
        <v>0</v>
      </c>
      <c r="G82">
        <v>0</v>
      </c>
      <c r="H82">
        <v>0</v>
      </c>
      <c r="I82" s="161"/>
      <c r="L82" s="162"/>
      <c r="DL82" s="160"/>
      <c r="DM82" s="160"/>
    </row>
    <row r="83" spans="1:117" x14ac:dyDescent="0.25">
      <c r="A83" s="160" t="s">
        <v>81</v>
      </c>
      <c r="B83" s="160">
        <v>75003000000</v>
      </c>
      <c r="C83" s="160">
        <v>66734000000</v>
      </c>
      <c r="D83">
        <v>68444000000</v>
      </c>
      <c r="E83">
        <v>68807000000</v>
      </c>
      <c r="F83">
        <v>67400000000</v>
      </c>
      <c r="G83">
        <v>67251000000</v>
      </c>
      <c r="H83">
        <v>67461000000</v>
      </c>
      <c r="I83" s="161"/>
      <c r="L83" s="162"/>
      <c r="DL83" s="160"/>
      <c r="DM83" s="160"/>
    </row>
    <row r="84" spans="1:117" x14ac:dyDescent="0.25">
      <c r="A84" s="160" t="s">
        <v>82</v>
      </c>
      <c r="B84" s="160">
        <v>0</v>
      </c>
      <c r="C84" s="160">
        <v>0</v>
      </c>
      <c r="D84">
        <v>0</v>
      </c>
      <c r="E84">
        <v>0</v>
      </c>
      <c r="F84">
        <v>0</v>
      </c>
      <c r="G84">
        <v>0</v>
      </c>
      <c r="H84">
        <v>0</v>
      </c>
      <c r="I84" s="161"/>
      <c r="L84" s="162"/>
      <c r="DL84" s="160"/>
      <c r="DM84" s="160"/>
    </row>
    <row r="85" spans="1:117" x14ac:dyDescent="0.25">
      <c r="A85" s="160" t="s">
        <v>83</v>
      </c>
      <c r="B85" s="160">
        <v>0</v>
      </c>
      <c r="C85" s="160">
        <v>0</v>
      </c>
      <c r="D85">
        <v>0</v>
      </c>
      <c r="E85">
        <v>0</v>
      </c>
      <c r="F85">
        <v>0</v>
      </c>
      <c r="G85">
        <v>0</v>
      </c>
      <c r="H85">
        <v>0</v>
      </c>
      <c r="I85" s="161"/>
      <c r="L85" s="162"/>
      <c r="DL85" s="160"/>
      <c r="DM85" s="160"/>
    </row>
    <row r="86" spans="1:117" x14ac:dyDescent="0.25">
      <c r="A86" s="160" t="s">
        <v>84</v>
      </c>
      <c r="B86" s="160">
        <v>0</v>
      </c>
      <c r="C86" s="160">
        <v>0</v>
      </c>
      <c r="D86">
        <v>0</v>
      </c>
      <c r="E86">
        <v>0</v>
      </c>
      <c r="F86">
        <v>0</v>
      </c>
      <c r="G86">
        <v>0</v>
      </c>
      <c r="H86">
        <v>0</v>
      </c>
      <c r="I86" s="161"/>
      <c r="L86" s="162"/>
      <c r="DL86" s="160"/>
      <c r="DM86" s="160"/>
    </row>
    <row r="87" spans="1:117" x14ac:dyDescent="0.25">
      <c r="A87" s="160" t="s">
        <v>85</v>
      </c>
      <c r="B87" s="160">
        <v>0</v>
      </c>
      <c r="C87" s="160">
        <v>0</v>
      </c>
      <c r="D87">
        <v>0</v>
      </c>
      <c r="E87">
        <v>0</v>
      </c>
      <c r="F87">
        <v>0</v>
      </c>
      <c r="G87">
        <v>0</v>
      </c>
      <c r="H87">
        <v>0</v>
      </c>
      <c r="I87" s="161"/>
      <c r="L87" s="162"/>
      <c r="DL87" s="160"/>
      <c r="DM87" s="160"/>
    </row>
    <row r="88" spans="1:117" x14ac:dyDescent="0.25">
      <c r="A88" s="160" t="s">
        <v>86</v>
      </c>
      <c r="B88" s="160">
        <v>0</v>
      </c>
      <c r="C88" s="160">
        <v>0</v>
      </c>
      <c r="D88">
        <v>0</v>
      </c>
      <c r="E88">
        <v>0</v>
      </c>
      <c r="F88">
        <v>0</v>
      </c>
      <c r="G88">
        <v>0</v>
      </c>
      <c r="H88">
        <v>0</v>
      </c>
      <c r="I88" s="161"/>
      <c r="L88" s="162"/>
      <c r="DL88" s="160"/>
      <c r="DM88" s="160"/>
    </row>
    <row r="89" spans="1:117" x14ac:dyDescent="0.25">
      <c r="A89" s="160" t="s">
        <v>87</v>
      </c>
      <c r="B89" s="160">
        <v>0</v>
      </c>
      <c r="C89" s="160">
        <v>0</v>
      </c>
      <c r="D89">
        <v>0</v>
      </c>
      <c r="E89">
        <v>0</v>
      </c>
      <c r="F89">
        <v>0</v>
      </c>
      <c r="G89">
        <v>0</v>
      </c>
      <c r="H89">
        <v>0</v>
      </c>
      <c r="I89" s="161"/>
      <c r="L89" s="162"/>
      <c r="DL89" s="160"/>
      <c r="DM89" s="160"/>
    </row>
    <row r="90" spans="1:117" x14ac:dyDescent="0.25">
      <c r="A90" s="160" t="s">
        <v>88</v>
      </c>
      <c r="B90" s="160">
        <v>23180000000</v>
      </c>
      <c r="C90" s="160">
        <v>20430000000</v>
      </c>
      <c r="D90">
        <v>21069000000</v>
      </c>
      <c r="E90">
        <v>20107000000</v>
      </c>
      <c r="F90">
        <v>19366000000</v>
      </c>
      <c r="G90">
        <v>20604000000</v>
      </c>
      <c r="H90">
        <v>23082000000</v>
      </c>
      <c r="I90" s="161"/>
      <c r="L90" s="162"/>
      <c r="DL90" s="160"/>
      <c r="DM90" s="160"/>
    </row>
    <row r="91" spans="1:117" x14ac:dyDescent="0.25">
      <c r="A91" s="160" t="s">
        <v>89</v>
      </c>
      <c r="B91" s="160">
        <v>0</v>
      </c>
      <c r="C91" s="160">
        <v>0</v>
      </c>
      <c r="D91">
        <v>0</v>
      </c>
      <c r="E91">
        <v>0</v>
      </c>
      <c r="F91">
        <v>0</v>
      </c>
      <c r="G91">
        <v>0</v>
      </c>
      <c r="H91">
        <v>0</v>
      </c>
      <c r="I91" s="161"/>
      <c r="L91" s="162"/>
      <c r="DL91" s="160"/>
      <c r="DM91" s="160"/>
    </row>
    <row r="92" spans="1:117" x14ac:dyDescent="0.25">
      <c r="A92" s="160" t="s">
        <v>90</v>
      </c>
      <c r="B92" s="160">
        <v>0</v>
      </c>
      <c r="C92" s="160">
        <v>0</v>
      </c>
      <c r="D92">
        <v>0</v>
      </c>
      <c r="E92">
        <v>0</v>
      </c>
      <c r="F92">
        <v>0</v>
      </c>
      <c r="G92">
        <v>0</v>
      </c>
      <c r="H92">
        <v>0</v>
      </c>
      <c r="I92" s="161"/>
      <c r="L92" s="162"/>
      <c r="DL92" s="160"/>
      <c r="DM92" s="160"/>
    </row>
    <row r="93" spans="1:117" x14ac:dyDescent="0.25">
      <c r="A93" s="160" t="s">
        <v>91</v>
      </c>
      <c r="B93" s="160">
        <v>0</v>
      </c>
      <c r="C93" s="160">
        <v>0</v>
      </c>
      <c r="D93">
        <v>0</v>
      </c>
      <c r="E93">
        <v>0</v>
      </c>
      <c r="F93">
        <v>0</v>
      </c>
      <c r="G93">
        <v>0</v>
      </c>
      <c r="H93">
        <v>0</v>
      </c>
      <c r="I93" s="161"/>
      <c r="L93" s="162"/>
      <c r="DL93" s="160"/>
      <c r="DM93" s="160"/>
    </row>
    <row r="94" spans="1:117" x14ac:dyDescent="0.25">
      <c r="A94" s="160" t="s">
        <v>92</v>
      </c>
      <c r="B94" s="160" t="s">
        <v>855</v>
      </c>
      <c r="C94" s="160" t="s">
        <v>855</v>
      </c>
      <c r="D94" t="s">
        <v>855</v>
      </c>
      <c r="E94" t="s">
        <v>855</v>
      </c>
      <c r="F94" t="s">
        <v>855</v>
      </c>
      <c r="G94" t="s">
        <v>855</v>
      </c>
      <c r="H94" t="s">
        <v>855</v>
      </c>
      <c r="I94" s="161"/>
      <c r="L94" s="162"/>
      <c r="DL94" s="160"/>
      <c r="DM94" s="160"/>
    </row>
    <row r="95" spans="1:117" x14ac:dyDescent="0.25">
      <c r="A95" s="160" t="s">
        <v>93</v>
      </c>
      <c r="B95" s="160" t="s">
        <v>859</v>
      </c>
      <c r="C95" s="160" t="s">
        <v>860</v>
      </c>
      <c r="D95" t="s">
        <v>861</v>
      </c>
      <c r="E95" t="s">
        <v>862</v>
      </c>
      <c r="F95" t="s">
        <v>856</v>
      </c>
      <c r="G95" t="s">
        <v>857</v>
      </c>
      <c r="H95" t="s">
        <v>858</v>
      </c>
      <c r="I95" s="161"/>
      <c r="L95" s="162"/>
      <c r="DL95" s="160"/>
      <c r="DM95" s="160"/>
    </row>
    <row r="96" spans="1:117" x14ac:dyDescent="0.25">
      <c r="A96" s="160" t="s">
        <v>94</v>
      </c>
      <c r="B96" s="160" t="s">
        <v>827</v>
      </c>
      <c r="C96" s="160" t="s">
        <v>827</v>
      </c>
      <c r="D96" t="s">
        <v>827</v>
      </c>
      <c r="E96" t="s">
        <v>827</v>
      </c>
      <c r="F96" t="s">
        <v>827</v>
      </c>
      <c r="G96" t="s">
        <v>827</v>
      </c>
      <c r="H96" t="s">
        <v>827</v>
      </c>
      <c r="I96" s="161"/>
      <c r="L96" s="162"/>
      <c r="DL96" s="160"/>
      <c r="DM96" s="160"/>
    </row>
    <row r="97" spans="1:117" x14ac:dyDescent="0.25">
      <c r="A97" s="160" t="s">
        <v>95</v>
      </c>
      <c r="B97" s="160">
        <v>0</v>
      </c>
      <c r="C97" s="160">
        <v>0</v>
      </c>
      <c r="D97">
        <v>0</v>
      </c>
      <c r="E97">
        <v>0</v>
      </c>
      <c r="F97">
        <v>0</v>
      </c>
      <c r="G97">
        <v>0</v>
      </c>
      <c r="H97">
        <v>0</v>
      </c>
      <c r="I97" s="161"/>
      <c r="L97" s="162"/>
      <c r="DL97" s="160"/>
      <c r="DM97" s="160"/>
    </row>
    <row r="98" spans="1:117" x14ac:dyDescent="0.25">
      <c r="A98" s="160" t="s">
        <v>96</v>
      </c>
      <c r="B98" s="160">
        <v>2014</v>
      </c>
      <c r="C98" s="160">
        <v>2015</v>
      </c>
      <c r="D98">
        <v>2016</v>
      </c>
      <c r="E98">
        <v>2017</v>
      </c>
      <c r="F98">
        <v>2018</v>
      </c>
      <c r="G98">
        <v>2019</v>
      </c>
      <c r="H98">
        <v>2020</v>
      </c>
      <c r="I98" s="161"/>
      <c r="L98" s="162"/>
      <c r="DL98" s="160"/>
      <c r="DM98" s="160"/>
    </row>
    <row r="99" spans="1:117" x14ac:dyDescent="0.25">
      <c r="A99" s="160" t="s">
        <v>97</v>
      </c>
      <c r="B99" s="160">
        <v>0</v>
      </c>
      <c r="C99" s="160">
        <v>0</v>
      </c>
      <c r="D99">
        <v>0</v>
      </c>
      <c r="E99">
        <v>0</v>
      </c>
      <c r="F99">
        <v>0</v>
      </c>
      <c r="G99">
        <v>0</v>
      </c>
      <c r="H99">
        <v>0</v>
      </c>
      <c r="I99" s="161"/>
      <c r="L99" s="162"/>
      <c r="DL99" s="160"/>
      <c r="DM99" s="160"/>
    </row>
    <row r="100" spans="1:117" x14ac:dyDescent="0.25">
      <c r="A100" s="160" t="s">
        <v>98</v>
      </c>
      <c r="B100" s="160">
        <v>0</v>
      </c>
      <c r="C100" s="160">
        <v>0</v>
      </c>
      <c r="D100">
        <v>0</v>
      </c>
      <c r="E100">
        <v>0</v>
      </c>
      <c r="F100">
        <v>0</v>
      </c>
      <c r="G100">
        <v>0</v>
      </c>
      <c r="H100">
        <v>0</v>
      </c>
      <c r="I100" s="161"/>
      <c r="L100" s="162"/>
      <c r="DL100" s="160"/>
      <c r="DM100" s="160"/>
    </row>
    <row r="101" spans="1:117" x14ac:dyDescent="0.25">
      <c r="A101" s="160" t="s">
        <v>99</v>
      </c>
      <c r="B101" s="160">
        <v>3104000000</v>
      </c>
      <c r="C101" s="160">
        <v>3487000000</v>
      </c>
      <c r="D101">
        <v>4688000000</v>
      </c>
      <c r="E101">
        <v>3742000000</v>
      </c>
      <c r="F101">
        <v>3087000000</v>
      </c>
      <c r="G101">
        <v>15235000000</v>
      </c>
      <c r="H101">
        <v>13796000000</v>
      </c>
      <c r="I101" s="161"/>
      <c r="L101" s="162"/>
      <c r="DL101" s="160"/>
      <c r="DM101" s="160"/>
    </row>
    <row r="102" spans="1:117" x14ac:dyDescent="0.25">
      <c r="A102" s="160" t="s">
        <v>100</v>
      </c>
      <c r="B102" s="160">
        <v>30556000000</v>
      </c>
      <c r="C102" s="160">
        <v>32021000000</v>
      </c>
      <c r="D102">
        <v>36199000000</v>
      </c>
      <c r="E102">
        <v>36788000000</v>
      </c>
      <c r="F102">
        <v>36265000000</v>
      </c>
      <c r="G102">
        <v>58222000000</v>
      </c>
      <c r="H102">
        <v>59617000000</v>
      </c>
      <c r="I102" s="161"/>
      <c r="L102" s="162"/>
      <c r="DL102" s="160"/>
      <c r="DM102" s="160"/>
    </row>
    <row r="103" spans="1:117" x14ac:dyDescent="0.25">
      <c r="A103" s="160" t="s">
        <v>101</v>
      </c>
      <c r="B103" s="160">
        <v>0</v>
      </c>
      <c r="C103" s="160">
        <v>0</v>
      </c>
      <c r="D103">
        <v>0</v>
      </c>
      <c r="E103">
        <v>0</v>
      </c>
      <c r="F103">
        <v>0</v>
      </c>
      <c r="G103">
        <v>0</v>
      </c>
      <c r="H103">
        <v>0</v>
      </c>
      <c r="I103" s="161"/>
      <c r="L103" s="162"/>
      <c r="DL103" s="160"/>
      <c r="DM103" s="160"/>
    </row>
    <row r="104" spans="1:117" x14ac:dyDescent="0.25">
      <c r="A104" s="160" t="s">
        <v>102</v>
      </c>
      <c r="B104" s="160">
        <v>12024000000</v>
      </c>
      <c r="C104" s="160">
        <v>13191000000</v>
      </c>
      <c r="D104">
        <v>11874000000</v>
      </c>
      <c r="E104">
        <v>5752000000</v>
      </c>
      <c r="F104">
        <v>8727000000</v>
      </c>
      <c r="G104">
        <v>9432000000</v>
      </c>
      <c r="H104">
        <v>5590000000</v>
      </c>
      <c r="I104" s="161"/>
      <c r="L104" s="162"/>
      <c r="DL104" s="160"/>
      <c r="DM104" s="160"/>
    </row>
    <row r="105" spans="1:117" x14ac:dyDescent="0.25">
      <c r="A105" s="160" t="s">
        <v>103</v>
      </c>
      <c r="B105" s="160">
        <v>0.12957873977563</v>
      </c>
      <c r="C105" s="160">
        <v>0.161373590076093</v>
      </c>
      <c r="D105">
        <v>0.14857357357357401</v>
      </c>
      <c r="E105">
        <v>7.2682242636374003E-2</v>
      </c>
      <c r="F105">
        <v>0.109649453448926</v>
      </c>
      <c r="G105">
        <v>0.122260100846436</v>
      </c>
      <c r="H105">
        <v>7.5929422311568698E-2</v>
      </c>
      <c r="I105" s="161"/>
      <c r="L105" s="162"/>
      <c r="DL105" s="160"/>
      <c r="DM105" s="160"/>
    </row>
    <row r="106" spans="1:117" x14ac:dyDescent="0.25">
      <c r="A106" s="160" t="s">
        <v>104</v>
      </c>
      <c r="B106" s="160">
        <v>11.97</v>
      </c>
      <c r="C106" s="160">
        <v>13.48</v>
      </c>
      <c r="D106">
        <v>12.38</v>
      </c>
      <c r="E106">
        <v>6.14</v>
      </c>
      <c r="F106">
        <v>9.57</v>
      </c>
      <c r="G106">
        <v>10.63</v>
      </c>
      <c r="H106">
        <v>6.28</v>
      </c>
      <c r="I106" s="161"/>
      <c r="L106" s="162"/>
      <c r="DL106" s="160"/>
      <c r="DM106" s="160"/>
    </row>
    <row r="107" spans="1:117" x14ac:dyDescent="0.25">
      <c r="A107" s="160" t="s">
        <v>105</v>
      </c>
      <c r="B107" s="160">
        <v>11.972845013958899</v>
      </c>
      <c r="C107" s="160">
        <v>13.4774700547673</v>
      </c>
      <c r="D107">
        <v>12.428009207612</v>
      </c>
      <c r="E107">
        <v>6.1661937473712696</v>
      </c>
      <c r="F107">
        <v>9.56857458276607</v>
      </c>
      <c r="G107">
        <v>10.630778636740301</v>
      </c>
      <c r="H107">
        <v>6.2784391461988101</v>
      </c>
      <c r="I107" s="161"/>
      <c r="L107" s="162"/>
      <c r="DL107" s="160"/>
      <c r="DM107" s="160"/>
    </row>
    <row r="108" spans="1:117" x14ac:dyDescent="0.25">
      <c r="A108" s="160" t="s">
        <v>106</v>
      </c>
      <c r="B108" s="160">
        <v>-0.20504013106368699</v>
      </c>
      <c r="C108" s="160">
        <v>0.12566980020656801</v>
      </c>
      <c r="D108">
        <v>-7.7867792908508607E-2</v>
      </c>
      <c r="E108">
        <v>-0.50384702454239205</v>
      </c>
      <c r="F108">
        <v>0.55177974854346501</v>
      </c>
      <c r="G108">
        <v>0.111009643577145</v>
      </c>
      <c r="H108">
        <v>-0.40940928592940901</v>
      </c>
      <c r="I108" s="161"/>
      <c r="L108" s="162"/>
      <c r="DL108" s="160"/>
      <c r="DM108" s="160"/>
    </row>
    <row r="109" spans="1:117" x14ac:dyDescent="0.25">
      <c r="A109" s="160" t="s">
        <v>107</v>
      </c>
      <c r="B109" s="160">
        <v>11.9</v>
      </c>
      <c r="C109" s="160">
        <v>13.42</v>
      </c>
      <c r="D109">
        <v>12.43</v>
      </c>
      <c r="E109">
        <v>6.17</v>
      </c>
      <c r="F109">
        <v>9.52</v>
      </c>
      <c r="G109">
        <v>10.56</v>
      </c>
      <c r="H109">
        <v>6.23</v>
      </c>
      <c r="I109" s="161"/>
      <c r="L109" s="162"/>
      <c r="DL109" s="160"/>
      <c r="DM109" s="160"/>
    </row>
    <row r="110" spans="1:117" x14ac:dyDescent="0.25">
      <c r="A110" s="160" t="s">
        <v>108</v>
      </c>
      <c r="B110" s="160">
        <v>11.9049448372539</v>
      </c>
      <c r="C110" s="160">
        <v>13.4232180889394</v>
      </c>
      <c r="D110">
        <v>12.3853399435306</v>
      </c>
      <c r="E110">
        <v>6.1362152849314304</v>
      </c>
      <c r="F110">
        <v>9.5240099745795703</v>
      </c>
      <c r="G110">
        <v>10.5643578529899</v>
      </c>
      <c r="H110">
        <v>6.2349148313032101</v>
      </c>
      <c r="I110" s="161"/>
      <c r="L110" s="162"/>
      <c r="DL110" s="160"/>
      <c r="DM110" s="160"/>
    </row>
    <row r="111" spans="1:117" x14ac:dyDescent="0.25">
      <c r="A111" s="160" t="s">
        <v>109</v>
      </c>
      <c r="B111" s="160">
        <v>-0.20336956925833199</v>
      </c>
      <c r="C111" s="160">
        <v>0.12753299342760299</v>
      </c>
      <c r="D111">
        <v>-7.7319621757765397E-2</v>
      </c>
      <c r="E111">
        <v>-0.50455818629858196</v>
      </c>
      <c r="F111">
        <v>0.55209840794984399</v>
      </c>
      <c r="G111">
        <v>0.10923422814414201</v>
      </c>
      <c r="H111">
        <v>-0.40981601361235298</v>
      </c>
      <c r="I111" s="161"/>
      <c r="L111" s="162"/>
      <c r="DL111" s="160"/>
      <c r="DM111" s="160"/>
    </row>
    <row r="112" spans="1:117" x14ac:dyDescent="0.25">
      <c r="A112" s="160" t="s">
        <v>110</v>
      </c>
      <c r="B112" s="160">
        <v>19987000000</v>
      </c>
      <c r="C112" s="160">
        <v>15946000000</v>
      </c>
      <c r="D112">
        <v>12332000000</v>
      </c>
      <c r="E112">
        <v>11399000000</v>
      </c>
      <c r="F112">
        <v>11341000000</v>
      </c>
      <c r="G112">
        <v>10167000000</v>
      </c>
      <c r="H112">
        <v>4637000000</v>
      </c>
      <c r="I112" s="161"/>
      <c r="L112" s="162"/>
      <c r="DL112" s="160"/>
      <c r="DM112" s="160"/>
    </row>
    <row r="113" spans="1:117" x14ac:dyDescent="0.25">
      <c r="A113" s="160" t="s">
        <v>111</v>
      </c>
      <c r="B113" s="160">
        <v>-4460000000</v>
      </c>
      <c r="C113" s="160">
        <v>1167000000</v>
      </c>
      <c r="D113">
        <v>-1317000000</v>
      </c>
      <c r="E113">
        <v>-6122000000</v>
      </c>
      <c r="F113">
        <v>2975000000</v>
      </c>
      <c r="G113">
        <v>705000000</v>
      </c>
      <c r="H113">
        <v>-3842000000</v>
      </c>
      <c r="I113" s="161"/>
      <c r="L113" s="162"/>
      <c r="DL113" s="160"/>
      <c r="DM113" s="160"/>
    </row>
    <row r="114" spans="1:117" x14ac:dyDescent="0.25">
      <c r="A114" s="160" t="s">
        <v>112</v>
      </c>
      <c r="B114" s="160">
        <v>742000000</v>
      </c>
      <c r="C114" s="160">
        <v>682000000</v>
      </c>
      <c r="D114">
        <v>1631000000</v>
      </c>
      <c r="E114">
        <v>1466000000</v>
      </c>
      <c r="F114">
        <v>1026000000</v>
      </c>
      <c r="G114">
        <v>648000000</v>
      </c>
      <c r="H114">
        <v>626000000</v>
      </c>
      <c r="I114" s="161"/>
      <c r="L114" s="162"/>
      <c r="DL114" s="160"/>
      <c r="DM114" s="160"/>
    </row>
    <row r="115" spans="1:117" x14ac:dyDescent="0.25">
      <c r="A115" s="160" t="s">
        <v>113</v>
      </c>
      <c r="B115" s="160">
        <v>0</v>
      </c>
      <c r="C115" s="160">
        <v>0</v>
      </c>
      <c r="D115">
        <v>0</v>
      </c>
      <c r="E115">
        <v>0</v>
      </c>
      <c r="F115">
        <v>0</v>
      </c>
      <c r="G115">
        <v>0</v>
      </c>
      <c r="H115">
        <v>0</v>
      </c>
      <c r="I115" s="161"/>
      <c r="L115" s="162"/>
      <c r="DL115" s="160"/>
      <c r="DM115" s="160"/>
    </row>
    <row r="116" spans="1:117" x14ac:dyDescent="0.25">
      <c r="A116" s="160" t="s">
        <v>114</v>
      </c>
      <c r="B116" s="160">
        <v>742000000</v>
      </c>
      <c r="C116" s="160">
        <v>682000000</v>
      </c>
      <c r="D116">
        <v>1631000000</v>
      </c>
      <c r="E116">
        <v>1466000000</v>
      </c>
      <c r="F116">
        <v>1026000000</v>
      </c>
      <c r="G116">
        <v>648000000</v>
      </c>
      <c r="H116">
        <v>626000000</v>
      </c>
      <c r="I116" s="161"/>
      <c r="L116" s="162"/>
      <c r="DL116" s="160"/>
      <c r="DM116" s="160"/>
    </row>
    <row r="117" spans="1:117" x14ac:dyDescent="0.25">
      <c r="A117" s="160" t="s">
        <v>115</v>
      </c>
      <c r="B117" s="160">
        <v>0</v>
      </c>
      <c r="C117" s="160">
        <v>0</v>
      </c>
      <c r="D117">
        <v>0</v>
      </c>
      <c r="E117">
        <v>0</v>
      </c>
      <c r="F117">
        <v>0</v>
      </c>
      <c r="G117">
        <v>0</v>
      </c>
      <c r="H117">
        <v>0</v>
      </c>
      <c r="I117" s="161"/>
      <c r="L117" s="162"/>
      <c r="DL117" s="160"/>
      <c r="DM117" s="160"/>
    </row>
    <row r="118" spans="1:117" x14ac:dyDescent="0.25">
      <c r="A118" s="160" t="s">
        <v>116</v>
      </c>
      <c r="B118" s="160">
        <v>0</v>
      </c>
      <c r="C118" s="160">
        <v>0</v>
      </c>
      <c r="D118">
        <v>0</v>
      </c>
      <c r="E118">
        <v>0</v>
      </c>
      <c r="F118">
        <v>0</v>
      </c>
      <c r="G118">
        <v>0</v>
      </c>
      <c r="H118">
        <v>0</v>
      </c>
      <c r="I118" s="161"/>
      <c r="L118" s="162"/>
      <c r="DL118" s="160"/>
      <c r="DM118" s="160"/>
    </row>
    <row r="119" spans="1:117" x14ac:dyDescent="0.25">
      <c r="A119" s="160" t="s">
        <v>117</v>
      </c>
      <c r="B119" s="160">
        <v>4234000000</v>
      </c>
      <c r="C119" s="160">
        <v>2581000000</v>
      </c>
      <c r="D119">
        <v>449000000</v>
      </c>
      <c r="E119">
        <v>5642000000</v>
      </c>
      <c r="F119">
        <v>2619000000</v>
      </c>
      <c r="G119">
        <v>731000000</v>
      </c>
      <c r="H119">
        <v>-864000000</v>
      </c>
      <c r="I119" s="161"/>
      <c r="L119" s="162"/>
      <c r="DL119" s="160"/>
      <c r="DM119" s="160"/>
    </row>
    <row r="120" spans="1:117" x14ac:dyDescent="0.25">
      <c r="A120" s="160" t="s">
        <v>118</v>
      </c>
      <c r="B120" s="160">
        <v>4500000000</v>
      </c>
      <c r="C120" s="160">
        <v>1908000000</v>
      </c>
      <c r="D120">
        <v>1418000000</v>
      </c>
      <c r="E120">
        <v>6334000000</v>
      </c>
      <c r="F120">
        <v>1920000000</v>
      </c>
      <c r="G120">
        <v>2075000000</v>
      </c>
      <c r="H120">
        <v>2458000000</v>
      </c>
      <c r="I120" s="161"/>
      <c r="L120" s="162"/>
      <c r="DL120" s="160"/>
      <c r="DM120" s="160"/>
    </row>
    <row r="121" spans="1:117" x14ac:dyDescent="0.25">
      <c r="A121" s="160" t="s">
        <v>119</v>
      </c>
      <c r="B121" s="160">
        <v>-266000000</v>
      </c>
      <c r="C121" s="160">
        <v>673000000</v>
      </c>
      <c r="D121">
        <v>-969000000</v>
      </c>
      <c r="E121">
        <v>-692000000</v>
      </c>
      <c r="F121">
        <v>699000000</v>
      </c>
      <c r="G121">
        <v>-1344000000</v>
      </c>
      <c r="H121">
        <v>-3322000000</v>
      </c>
      <c r="I121" s="161"/>
      <c r="L121" s="162"/>
      <c r="DL121" s="160"/>
      <c r="DM121" s="160"/>
    </row>
    <row r="122" spans="1:117" x14ac:dyDescent="0.25">
      <c r="A122" s="160" t="s">
        <v>120</v>
      </c>
      <c r="B122" s="160">
        <v>0</v>
      </c>
      <c r="C122" s="160">
        <v>0</v>
      </c>
      <c r="D122">
        <v>0</v>
      </c>
      <c r="E122">
        <v>0</v>
      </c>
      <c r="F122">
        <v>0</v>
      </c>
      <c r="G122">
        <v>0</v>
      </c>
      <c r="H122">
        <v>0</v>
      </c>
      <c r="I122" s="161"/>
      <c r="L122" s="162"/>
      <c r="DL122" s="160"/>
      <c r="DM122" s="160"/>
    </row>
    <row r="123" spans="1:117" x14ac:dyDescent="0.25">
      <c r="A123" s="160" t="s">
        <v>121</v>
      </c>
      <c r="B123" s="160">
        <v>0</v>
      </c>
      <c r="C123" s="160">
        <v>0</v>
      </c>
      <c r="D123">
        <v>0</v>
      </c>
      <c r="E123">
        <v>0</v>
      </c>
      <c r="F123">
        <v>0</v>
      </c>
      <c r="G123">
        <v>0</v>
      </c>
      <c r="H123">
        <v>0</v>
      </c>
      <c r="I123" s="161"/>
      <c r="L123" s="162"/>
      <c r="DL123" s="160"/>
      <c r="DM123" s="160"/>
    </row>
    <row r="124" spans="1:117" x14ac:dyDescent="0.25">
      <c r="A124" s="160" t="s">
        <v>122</v>
      </c>
      <c r="B124" s="160">
        <v>0.211837694501426</v>
      </c>
      <c r="C124" s="160">
        <v>0.16185877336009</v>
      </c>
      <c r="D124">
        <v>3.6409341550437901E-2</v>
      </c>
      <c r="E124">
        <v>0.49495569786823401</v>
      </c>
      <c r="F124">
        <v>0.230932016577021</v>
      </c>
      <c r="G124">
        <v>7.1899281990754405E-2</v>
      </c>
      <c r="H124">
        <v>-0.18632736683200299</v>
      </c>
      <c r="I124" s="161"/>
      <c r="L124" s="162"/>
      <c r="DL124" s="160"/>
      <c r="DM124" s="160"/>
    </row>
    <row r="125" spans="1:117" x14ac:dyDescent="0.25">
      <c r="A125" s="160" t="s">
        <v>123</v>
      </c>
      <c r="B125" s="160">
        <v>146000000</v>
      </c>
      <c r="C125" s="160">
        <v>162000000</v>
      </c>
      <c r="D125">
        <v>146000000</v>
      </c>
      <c r="E125">
        <v>131000000</v>
      </c>
      <c r="F125">
        <v>134000000</v>
      </c>
      <c r="G125">
        <v>144000000</v>
      </c>
      <c r="H125">
        <v>129000000</v>
      </c>
      <c r="I125" s="161"/>
      <c r="L125" s="162"/>
      <c r="DL125" s="160"/>
      <c r="DM125" s="160"/>
    </row>
    <row r="126" spans="1:117" x14ac:dyDescent="0.25">
      <c r="A126" s="160" t="s">
        <v>124</v>
      </c>
      <c r="B126" s="160">
        <v>2104000000</v>
      </c>
      <c r="C126" s="160">
        <v>1551000000</v>
      </c>
      <c r="D126">
        <v>1553000000</v>
      </c>
      <c r="E126">
        <v>1583000000</v>
      </c>
      <c r="F126">
        <v>1682000000</v>
      </c>
      <c r="G126">
        <v>1619000000</v>
      </c>
      <c r="H126">
        <v>1839000000</v>
      </c>
      <c r="I126" s="161"/>
      <c r="L126" s="162"/>
      <c r="DL126" s="160"/>
      <c r="DM126" s="160"/>
    </row>
    <row r="127" spans="1:117" x14ac:dyDescent="0.25">
      <c r="A127" s="160" t="s">
        <v>125</v>
      </c>
      <c r="B127" s="160">
        <v>44.103136882129299</v>
      </c>
      <c r="C127" s="160">
        <v>52.702772404900102</v>
      </c>
      <c r="D127">
        <v>51.461687057308403</v>
      </c>
      <c r="E127">
        <v>49.993051168667101</v>
      </c>
      <c r="F127">
        <v>47.318668252080897</v>
      </c>
      <c r="G127">
        <v>47.651019147622002</v>
      </c>
      <c r="H127">
        <v>40.033170201196299</v>
      </c>
      <c r="I127" s="161"/>
      <c r="L127" s="162"/>
      <c r="DL127" s="160"/>
      <c r="DM127" s="160"/>
    </row>
    <row r="128" spans="1:117" x14ac:dyDescent="0.25">
      <c r="A128" s="160" t="s">
        <v>126</v>
      </c>
      <c r="B128" s="160">
        <v>117533000000</v>
      </c>
      <c r="C128" s="160">
        <v>110496000000</v>
      </c>
      <c r="D128">
        <v>117467000000</v>
      </c>
      <c r="E128">
        <v>125356000000</v>
      </c>
      <c r="F128">
        <v>123383000000</v>
      </c>
      <c r="G128">
        <v>152184000000</v>
      </c>
      <c r="H128">
        <v>155970000000</v>
      </c>
      <c r="I128" s="161"/>
      <c r="L128" s="162"/>
      <c r="DL128" s="160"/>
      <c r="DM128" s="160"/>
    </row>
    <row r="129" spans="1:117" x14ac:dyDescent="0.25">
      <c r="A129" s="160" t="s">
        <v>127</v>
      </c>
      <c r="B129" s="160">
        <v>39600000000</v>
      </c>
      <c r="C129" s="160">
        <v>34270000000</v>
      </c>
      <c r="D129">
        <v>36274000000</v>
      </c>
      <c r="E129">
        <v>37363000000</v>
      </c>
      <c r="F129">
        <v>38227000000</v>
      </c>
      <c r="G129">
        <v>37701000000</v>
      </c>
      <c r="H129">
        <v>39869000000</v>
      </c>
      <c r="I129" s="161"/>
      <c r="L129" s="162"/>
      <c r="DL129" s="160"/>
      <c r="DM129" s="160"/>
    </row>
    <row r="130" spans="1:117" x14ac:dyDescent="0.25">
      <c r="A130" s="160" t="s">
        <v>128</v>
      </c>
      <c r="B130" s="160">
        <v>66063000000</v>
      </c>
      <c r="C130" s="160">
        <v>61964000000</v>
      </c>
      <c r="D130">
        <v>62947000000</v>
      </c>
      <c r="E130">
        <v>70400000000</v>
      </c>
      <c r="F130">
        <v>68359000000</v>
      </c>
      <c r="G130">
        <v>93644000000</v>
      </c>
      <c r="H130">
        <v>95504000000</v>
      </c>
      <c r="I130" s="161"/>
      <c r="L130" s="162"/>
      <c r="DL130" s="160"/>
      <c r="DM130" s="160"/>
    </row>
    <row r="131" spans="1:117" x14ac:dyDescent="0.25">
      <c r="A131" s="160" t="s">
        <v>129</v>
      </c>
      <c r="B131" s="160">
        <v>35073000000</v>
      </c>
      <c r="C131" s="160">
        <v>33428000000</v>
      </c>
      <c r="D131">
        <v>34655000000</v>
      </c>
      <c r="E131">
        <v>39837000000</v>
      </c>
      <c r="F131">
        <v>35605000000</v>
      </c>
      <c r="G131">
        <v>54102000000</v>
      </c>
      <c r="H131">
        <v>54355000000</v>
      </c>
      <c r="I131" s="161"/>
      <c r="L131" s="162"/>
      <c r="DL131" s="160"/>
      <c r="DM131" s="160"/>
    </row>
    <row r="132" spans="1:117" x14ac:dyDescent="0.25">
      <c r="A132" s="160" t="s">
        <v>130</v>
      </c>
      <c r="B132" s="160">
        <v>0</v>
      </c>
      <c r="C132" s="160">
        <v>0</v>
      </c>
      <c r="D132">
        <v>0</v>
      </c>
      <c r="E132">
        <v>0</v>
      </c>
      <c r="F132">
        <v>0</v>
      </c>
      <c r="G132">
        <v>0</v>
      </c>
      <c r="H132">
        <v>0</v>
      </c>
      <c r="I132" s="161"/>
      <c r="L132" s="162"/>
      <c r="DL132" s="160"/>
      <c r="DM132" s="160"/>
    </row>
    <row r="133" spans="1:117" x14ac:dyDescent="0.25">
      <c r="A133" s="160" t="s">
        <v>131</v>
      </c>
      <c r="B133" s="160">
        <v>288000000</v>
      </c>
      <c r="C133" s="160">
        <v>253000000</v>
      </c>
      <c r="D133">
        <v>424000000</v>
      </c>
      <c r="E133">
        <v>545000000</v>
      </c>
      <c r="F133">
        <v>3696000000</v>
      </c>
      <c r="G133">
        <v>5230000000</v>
      </c>
      <c r="H133">
        <v>5472000000</v>
      </c>
      <c r="I133" s="161"/>
      <c r="L133" s="162"/>
      <c r="DL133" s="160"/>
      <c r="DM133" s="160"/>
    </row>
    <row r="134" spans="1:117" x14ac:dyDescent="0.25">
      <c r="A134" s="160" t="s">
        <v>132</v>
      </c>
      <c r="B134" s="160">
        <v>0</v>
      </c>
      <c r="C134" s="160">
        <v>0</v>
      </c>
      <c r="D134">
        <v>0</v>
      </c>
      <c r="E134">
        <v>0</v>
      </c>
      <c r="F134">
        <v>0</v>
      </c>
      <c r="G134">
        <v>0</v>
      </c>
      <c r="H134">
        <v>0</v>
      </c>
      <c r="I134" s="161"/>
      <c r="L134" s="162"/>
      <c r="DL134" s="160"/>
      <c r="DM134" s="160"/>
    </row>
    <row r="135" spans="1:117" x14ac:dyDescent="0.25">
      <c r="A135" s="160" t="s">
        <v>133</v>
      </c>
      <c r="B135" s="160">
        <v>0</v>
      </c>
      <c r="C135" s="160">
        <v>0</v>
      </c>
      <c r="D135">
        <v>0</v>
      </c>
      <c r="E135">
        <v>0</v>
      </c>
      <c r="F135">
        <v>0</v>
      </c>
      <c r="G135">
        <v>3879000000</v>
      </c>
      <c r="H135">
        <v>3574000000</v>
      </c>
      <c r="I135" s="161"/>
      <c r="L135" s="162"/>
      <c r="DL135" s="160"/>
      <c r="DM135" s="160"/>
    </row>
    <row r="136" spans="1:117" x14ac:dyDescent="0.25">
      <c r="A136" s="160" t="s">
        <v>134</v>
      </c>
      <c r="B136" s="160">
        <v>30702000000</v>
      </c>
      <c r="C136" s="160">
        <v>28283000000</v>
      </c>
      <c r="D136">
        <v>27868000000</v>
      </c>
      <c r="E136">
        <v>30018000000</v>
      </c>
      <c r="F136">
        <v>29058000000</v>
      </c>
      <c r="G136">
        <v>30433000000</v>
      </c>
      <c r="H136">
        <v>32103000000</v>
      </c>
      <c r="I136" s="161"/>
      <c r="L136" s="162"/>
      <c r="DL136" s="160"/>
      <c r="DM136" s="160"/>
    </row>
    <row r="137" spans="1:117" x14ac:dyDescent="0.25">
      <c r="A137" s="160" t="s">
        <v>135</v>
      </c>
      <c r="B137" s="160">
        <v>0</v>
      </c>
      <c r="C137" s="160">
        <v>0</v>
      </c>
      <c r="D137">
        <v>0</v>
      </c>
      <c r="E137">
        <v>0</v>
      </c>
      <c r="F137">
        <v>0</v>
      </c>
      <c r="G137">
        <v>0</v>
      </c>
      <c r="H137">
        <v>0</v>
      </c>
      <c r="I137" s="161"/>
      <c r="L137" s="162"/>
      <c r="DL137" s="160"/>
      <c r="DM137" s="160"/>
    </row>
    <row r="138" spans="1:117" x14ac:dyDescent="0.25">
      <c r="A138" s="160" t="s">
        <v>136</v>
      </c>
      <c r="B138" s="160">
        <v>30556000000</v>
      </c>
      <c r="C138" s="160">
        <v>28121000000</v>
      </c>
      <c r="D138">
        <v>27722000000</v>
      </c>
      <c r="E138">
        <v>29887000000</v>
      </c>
      <c r="F138">
        <v>28924000000</v>
      </c>
      <c r="G138">
        <v>30289000000</v>
      </c>
      <c r="H138">
        <v>31974000000</v>
      </c>
      <c r="I138" s="161"/>
      <c r="L138" s="162"/>
      <c r="DL138" s="160"/>
      <c r="DM138" s="160"/>
    </row>
    <row r="139" spans="1:117" x14ac:dyDescent="0.25">
      <c r="A139" s="160" t="s">
        <v>137</v>
      </c>
      <c r="B139" s="160">
        <v>0</v>
      </c>
      <c r="C139" s="160">
        <v>0</v>
      </c>
      <c r="D139">
        <v>0</v>
      </c>
      <c r="E139">
        <v>0</v>
      </c>
      <c r="F139">
        <v>0</v>
      </c>
      <c r="G139">
        <v>0</v>
      </c>
      <c r="H139">
        <v>0</v>
      </c>
      <c r="I139" s="161"/>
      <c r="L139" s="162"/>
      <c r="DL139" s="160"/>
      <c r="DM139" s="160"/>
    </row>
    <row r="140" spans="1:117" x14ac:dyDescent="0.25">
      <c r="A140" s="160" t="s">
        <v>138</v>
      </c>
      <c r="B140" s="160">
        <v>0</v>
      </c>
      <c r="C140" s="160">
        <v>0</v>
      </c>
      <c r="D140">
        <v>0</v>
      </c>
      <c r="E140">
        <v>0</v>
      </c>
      <c r="F140">
        <v>0</v>
      </c>
      <c r="G140">
        <v>0</v>
      </c>
      <c r="H140">
        <v>0</v>
      </c>
      <c r="I140" s="161"/>
      <c r="L140" s="162"/>
      <c r="DL140" s="160"/>
      <c r="DM140" s="160"/>
    </row>
    <row r="141" spans="1:117" x14ac:dyDescent="0.25">
      <c r="A141" s="160" t="s">
        <v>139</v>
      </c>
      <c r="B141" s="160">
        <v>0</v>
      </c>
      <c r="C141" s="160">
        <v>0</v>
      </c>
      <c r="D141">
        <v>0</v>
      </c>
      <c r="E141">
        <v>0</v>
      </c>
      <c r="F141">
        <v>0</v>
      </c>
      <c r="G141">
        <v>0</v>
      </c>
      <c r="H141">
        <v>0</v>
      </c>
      <c r="I141" s="161"/>
      <c r="L141" s="162"/>
      <c r="DL141" s="160"/>
      <c r="DM141" s="160"/>
    </row>
    <row r="142" spans="1:117" x14ac:dyDescent="0.25">
      <c r="A142" s="160" t="s">
        <v>140</v>
      </c>
      <c r="B142" s="160">
        <v>0</v>
      </c>
      <c r="C142" s="160">
        <v>0</v>
      </c>
      <c r="D142">
        <v>0</v>
      </c>
      <c r="E142">
        <v>0</v>
      </c>
      <c r="F142">
        <v>0</v>
      </c>
      <c r="G142">
        <v>1380000000</v>
      </c>
      <c r="H142">
        <v>1357000000</v>
      </c>
      <c r="I142" s="161"/>
      <c r="L142" s="162"/>
      <c r="DL142" s="160"/>
      <c r="DM142" s="160"/>
    </row>
    <row r="143" spans="1:117" x14ac:dyDescent="0.25">
      <c r="A143" s="160" t="s">
        <v>141</v>
      </c>
      <c r="B143" s="160">
        <v>15128000000</v>
      </c>
      <c r="C143" s="160">
        <v>10760000000</v>
      </c>
      <c r="D143">
        <v>11517000000</v>
      </c>
      <c r="E143">
        <v>12373000000</v>
      </c>
      <c r="F143">
        <v>10297000000</v>
      </c>
      <c r="G143">
        <v>10602000000</v>
      </c>
      <c r="H143">
        <v>13588000000</v>
      </c>
      <c r="I143" s="161"/>
      <c r="L143" s="162"/>
      <c r="DL143" s="160"/>
      <c r="DM143" s="160"/>
    </row>
    <row r="144" spans="1:117" x14ac:dyDescent="0.25">
      <c r="A144" s="160" t="s">
        <v>142</v>
      </c>
      <c r="B144" s="160">
        <v>0</v>
      </c>
      <c r="C144" s="160">
        <v>0</v>
      </c>
      <c r="D144">
        <v>0</v>
      </c>
      <c r="E144">
        <v>0</v>
      </c>
      <c r="F144">
        <v>0</v>
      </c>
      <c r="G144">
        <v>0</v>
      </c>
      <c r="H144">
        <v>0</v>
      </c>
      <c r="I144" s="161"/>
      <c r="L144" s="162"/>
      <c r="DL144" s="160"/>
      <c r="DM144" s="160"/>
    </row>
    <row r="145" spans="1:117" x14ac:dyDescent="0.25">
      <c r="A145" s="160" t="s">
        <v>143</v>
      </c>
      <c r="B145" s="160">
        <v>11877000000</v>
      </c>
      <c r="C145" s="160">
        <v>11021000000</v>
      </c>
      <c r="D145">
        <v>11035000000</v>
      </c>
      <c r="E145">
        <v>11552000000</v>
      </c>
      <c r="F145">
        <v>11165000000</v>
      </c>
      <c r="G145">
        <v>12026000000</v>
      </c>
      <c r="H145">
        <v>12833000000</v>
      </c>
      <c r="I145" s="161"/>
      <c r="L145" s="162"/>
      <c r="DL145" s="160"/>
      <c r="DM145" s="160"/>
    </row>
    <row r="146" spans="1:117" x14ac:dyDescent="0.25">
      <c r="A146" s="160" t="s">
        <v>144</v>
      </c>
      <c r="B146" s="160">
        <v>7.8128315231118997</v>
      </c>
      <c r="C146" s="160">
        <v>7.4169313129480097</v>
      </c>
      <c r="D146">
        <v>7.2424105120072504</v>
      </c>
      <c r="E146">
        <v>6.8506752077562298</v>
      </c>
      <c r="F146">
        <v>7.1285266457680203</v>
      </c>
      <c r="G146">
        <v>6.4150174621653102</v>
      </c>
      <c r="H146">
        <v>5.7368503078002</v>
      </c>
      <c r="I146" s="161"/>
      <c r="L146" s="162"/>
      <c r="DL146" s="160"/>
      <c r="DM146" s="160"/>
    </row>
    <row r="147" spans="1:117" x14ac:dyDescent="0.25">
      <c r="A147" s="160" t="s">
        <v>145</v>
      </c>
      <c r="B147" s="160">
        <v>0</v>
      </c>
      <c r="C147" s="160">
        <v>0</v>
      </c>
      <c r="D147">
        <v>0</v>
      </c>
      <c r="E147">
        <v>0</v>
      </c>
      <c r="F147">
        <v>0</v>
      </c>
      <c r="G147">
        <v>0</v>
      </c>
      <c r="H147">
        <v>0</v>
      </c>
      <c r="I147" s="161"/>
      <c r="L147" s="162"/>
      <c r="DL147" s="160"/>
      <c r="DM147" s="160"/>
    </row>
    <row r="148" spans="1:117" x14ac:dyDescent="0.25">
      <c r="A148" s="160" t="s">
        <v>146</v>
      </c>
      <c r="B148" s="160">
        <v>-27874000000</v>
      </c>
      <c r="C148" s="160">
        <v>-29606000000</v>
      </c>
      <c r="D148">
        <v>-29398000000</v>
      </c>
      <c r="E148">
        <v>-26592000000</v>
      </c>
      <c r="F148">
        <v>-29489000000</v>
      </c>
      <c r="G148">
        <v>-28597000000</v>
      </c>
      <c r="H148">
        <v>-29337000000</v>
      </c>
      <c r="I148" s="161"/>
      <c r="L148" s="162"/>
      <c r="DL148" s="160"/>
      <c r="DM148" s="160"/>
    </row>
    <row r="149" spans="1:117" x14ac:dyDescent="0.25">
      <c r="A149" s="160" t="s">
        <v>147</v>
      </c>
      <c r="B149" s="160" t="s">
        <v>863</v>
      </c>
      <c r="C149" s="160" t="s">
        <v>864</v>
      </c>
      <c r="D149" t="s">
        <v>865</v>
      </c>
      <c r="E149" t="s">
        <v>866</v>
      </c>
      <c r="F149" t="s">
        <v>851</v>
      </c>
      <c r="G149" t="s">
        <v>849</v>
      </c>
      <c r="H149" t="s">
        <v>850</v>
      </c>
      <c r="I149" s="161"/>
      <c r="L149" s="162"/>
      <c r="DL149" s="160"/>
      <c r="DM149" s="160"/>
    </row>
    <row r="150" spans="1:117" x14ac:dyDescent="0.25">
      <c r="A150" s="160" t="s">
        <v>148</v>
      </c>
      <c r="B150" s="160">
        <v>10771000000</v>
      </c>
      <c r="C150" s="160">
        <v>10727000000</v>
      </c>
      <c r="D150">
        <v>10830000000</v>
      </c>
      <c r="E150">
        <v>11116000000</v>
      </c>
      <c r="F150">
        <v>10792000000</v>
      </c>
      <c r="G150">
        <v>10010000000</v>
      </c>
      <c r="H150">
        <v>10040000000</v>
      </c>
      <c r="I150" s="161"/>
      <c r="L150" s="162"/>
      <c r="DL150" s="160"/>
      <c r="DM150" s="160"/>
    </row>
    <row r="151" spans="1:117" x14ac:dyDescent="0.25">
      <c r="A151" s="160" t="s">
        <v>149</v>
      </c>
      <c r="B151" s="160">
        <v>13.4767529117764</v>
      </c>
      <c r="C151" s="160">
        <v>10.2523850158851</v>
      </c>
      <c r="D151">
        <v>13.402135165995499</v>
      </c>
      <c r="E151">
        <v>25.0023822300939</v>
      </c>
      <c r="F151">
        <v>11.9350987980268</v>
      </c>
      <c r="G151">
        <v>12.6879458141476</v>
      </c>
      <c r="H151">
        <v>19.761296398373901</v>
      </c>
      <c r="I151" s="161"/>
      <c r="L151" s="162"/>
      <c r="DL151" s="160"/>
      <c r="DM151" s="160"/>
    </row>
    <row r="152" spans="1:117" x14ac:dyDescent="0.25">
      <c r="A152" s="160" t="s">
        <v>150</v>
      </c>
      <c r="B152" s="160">
        <v>-1.9320488354449701</v>
      </c>
      <c r="C152" s="160">
        <v>-0.86087192360784004</v>
      </c>
      <c r="D152">
        <v>-6.0127186209593901</v>
      </c>
      <c r="E152">
        <v>-25.585024171947499</v>
      </c>
      <c r="F152">
        <v>20.9430550726617</v>
      </c>
      <c r="G152">
        <v>-4.1335800546377603</v>
      </c>
      <c r="H152">
        <v>-4.3236662882738202</v>
      </c>
      <c r="I152" s="161"/>
      <c r="L152" s="162"/>
      <c r="DL152" s="160"/>
      <c r="DM152" s="160"/>
    </row>
    <row r="153" spans="1:117" x14ac:dyDescent="0.25">
      <c r="A153" s="160" t="s">
        <v>151</v>
      </c>
      <c r="B153" s="160">
        <v>46407000000</v>
      </c>
      <c r="C153" s="160">
        <v>40685000000</v>
      </c>
      <c r="D153">
        <v>38296000000</v>
      </c>
      <c r="E153">
        <v>36226000000</v>
      </c>
      <c r="F153">
        <v>36935000000</v>
      </c>
      <c r="G153">
        <v>36489000000</v>
      </c>
      <c r="H153">
        <v>35575000000</v>
      </c>
      <c r="I153" s="161"/>
      <c r="L153" s="162"/>
      <c r="DL153" s="160"/>
      <c r="DM153" s="160"/>
    </row>
    <row r="154" spans="1:117" x14ac:dyDescent="0.25">
      <c r="A154" s="160" t="s">
        <v>152</v>
      </c>
      <c r="B154" s="160">
        <v>0.50011315508712895</v>
      </c>
      <c r="C154" s="160">
        <v>0.49772454796799698</v>
      </c>
      <c r="D154">
        <v>0.47917917917917902</v>
      </c>
      <c r="E154">
        <v>0.45775155106837301</v>
      </c>
      <c r="F154">
        <v>0.464065837416761</v>
      </c>
      <c r="G154">
        <v>0.47298015476946598</v>
      </c>
      <c r="H154">
        <v>0.48321810353024303</v>
      </c>
      <c r="I154" s="161"/>
      <c r="L154" s="162"/>
      <c r="DL154" s="160"/>
      <c r="DM154" s="160"/>
    </row>
    <row r="155" spans="1:117" x14ac:dyDescent="0.25">
      <c r="A155" s="160" t="s">
        <v>712</v>
      </c>
      <c r="B155" s="160" t="s">
        <v>859</v>
      </c>
      <c r="C155" s="160" t="s">
        <v>860</v>
      </c>
      <c r="D155" t="s">
        <v>861</v>
      </c>
      <c r="E155" t="s">
        <v>862</v>
      </c>
      <c r="F155" t="s">
        <v>856</v>
      </c>
      <c r="G155" t="s">
        <v>857</v>
      </c>
      <c r="H155" t="s">
        <v>858</v>
      </c>
      <c r="I155" s="161"/>
      <c r="L155" s="162"/>
      <c r="DL155" s="160"/>
      <c r="DM155" s="160"/>
    </row>
    <row r="156" spans="1:117" x14ac:dyDescent="0.25">
      <c r="A156" s="160" t="s">
        <v>153</v>
      </c>
      <c r="B156" s="160">
        <v>5437000000</v>
      </c>
      <c r="C156" s="160">
        <v>5247000000</v>
      </c>
      <c r="D156">
        <v>5751000000</v>
      </c>
      <c r="E156">
        <v>5787000000</v>
      </c>
      <c r="F156">
        <v>5379000000</v>
      </c>
      <c r="G156">
        <v>5989000000</v>
      </c>
      <c r="H156">
        <v>6333000000</v>
      </c>
      <c r="I156" s="161"/>
      <c r="L156" s="162"/>
      <c r="DL156" s="160"/>
      <c r="DM156" s="160"/>
    </row>
    <row r="157" spans="1:117" x14ac:dyDescent="0.25">
      <c r="A157" s="160" t="s">
        <v>154</v>
      </c>
      <c r="B157" s="160">
        <v>564000000</v>
      </c>
      <c r="C157" s="160">
        <v>483000000</v>
      </c>
      <c r="D157">
        <v>525000000</v>
      </c>
      <c r="E157">
        <v>574000000</v>
      </c>
      <c r="F157">
        <v>530000000</v>
      </c>
      <c r="G157">
        <v>490000000</v>
      </c>
      <c r="H157">
        <v>514000000</v>
      </c>
      <c r="I157" s="161"/>
      <c r="L157" s="162"/>
      <c r="DL157" s="160"/>
      <c r="DM157" s="160"/>
    </row>
    <row r="158" spans="1:117" x14ac:dyDescent="0.25">
      <c r="A158" s="160" t="s">
        <v>155</v>
      </c>
      <c r="B158" s="160">
        <v>564000000</v>
      </c>
      <c r="C158" s="160">
        <v>483000000</v>
      </c>
      <c r="D158">
        <v>525000000</v>
      </c>
      <c r="E158">
        <v>574000000</v>
      </c>
      <c r="F158">
        <v>530000000</v>
      </c>
      <c r="G158">
        <v>490000000</v>
      </c>
      <c r="H158">
        <v>514000000</v>
      </c>
      <c r="I158" s="161"/>
      <c r="L158" s="162"/>
      <c r="DL158" s="160"/>
      <c r="DM158" s="160"/>
    </row>
    <row r="159" spans="1:117" x14ac:dyDescent="0.25">
      <c r="A159" s="160" t="s">
        <v>156</v>
      </c>
      <c r="B159" s="160">
        <v>0</v>
      </c>
      <c r="C159" s="160">
        <v>0</v>
      </c>
      <c r="D159">
        <v>0</v>
      </c>
      <c r="E159">
        <v>0</v>
      </c>
      <c r="F159">
        <v>0</v>
      </c>
      <c r="G159">
        <v>0</v>
      </c>
      <c r="H159">
        <v>0</v>
      </c>
      <c r="I159" s="161"/>
      <c r="L159" s="162"/>
      <c r="DL159" s="160"/>
      <c r="DM159" s="160"/>
    </row>
    <row r="160" spans="1:117" x14ac:dyDescent="0.25">
      <c r="A160" s="160" t="s">
        <v>157</v>
      </c>
      <c r="B160" s="160">
        <v>0</v>
      </c>
      <c r="C160" s="160">
        <v>0</v>
      </c>
      <c r="D160">
        <v>0</v>
      </c>
      <c r="E160">
        <v>0</v>
      </c>
      <c r="F160">
        <v>0</v>
      </c>
      <c r="G160">
        <v>0</v>
      </c>
      <c r="H160">
        <v>0</v>
      </c>
      <c r="I160" s="161"/>
      <c r="L160" s="162"/>
      <c r="DL160" s="160"/>
      <c r="DM160" s="160"/>
    </row>
    <row r="161" spans="1:117" x14ac:dyDescent="0.25">
      <c r="A161" s="160" t="s">
        <v>158</v>
      </c>
      <c r="B161" s="160">
        <v>92793000000</v>
      </c>
      <c r="C161" s="160">
        <v>81742000000</v>
      </c>
      <c r="D161">
        <v>79920000000</v>
      </c>
      <c r="E161">
        <v>79139000000</v>
      </c>
      <c r="F161">
        <v>79590000000</v>
      </c>
      <c r="G161">
        <v>77147000000</v>
      </c>
      <c r="H161">
        <v>73621000000</v>
      </c>
      <c r="I161" s="161"/>
      <c r="L161" s="162"/>
      <c r="DL161" s="160"/>
      <c r="DM161" s="160"/>
    </row>
    <row r="162" spans="1:117" x14ac:dyDescent="0.25">
      <c r="A162" s="160" t="s">
        <v>159</v>
      </c>
      <c r="B162" s="160">
        <v>46386000000</v>
      </c>
      <c r="C162" s="160">
        <v>41057000000</v>
      </c>
      <c r="D162">
        <v>41624000000</v>
      </c>
      <c r="E162">
        <v>42913000000</v>
      </c>
      <c r="F162">
        <v>42655000000</v>
      </c>
      <c r="G162">
        <v>40658000000</v>
      </c>
      <c r="H162">
        <v>38046000000</v>
      </c>
      <c r="I162" s="161"/>
      <c r="L162" s="162"/>
      <c r="DL162" s="160"/>
      <c r="DM162" s="160"/>
    </row>
    <row r="163" spans="1:117" x14ac:dyDescent="0.25">
      <c r="A163" s="160" t="s">
        <v>160</v>
      </c>
      <c r="B163" s="160">
        <v>0</v>
      </c>
      <c r="C163" s="160">
        <v>0</v>
      </c>
      <c r="D163">
        <v>0</v>
      </c>
      <c r="E163">
        <v>0</v>
      </c>
      <c r="F163">
        <v>0</v>
      </c>
      <c r="G163">
        <v>0</v>
      </c>
      <c r="H163">
        <v>0</v>
      </c>
      <c r="I163" s="161"/>
      <c r="L163" s="162"/>
      <c r="DL163" s="160"/>
      <c r="DM163" s="160"/>
    </row>
    <row r="164" spans="1:117" x14ac:dyDescent="0.25">
      <c r="A164" s="160" t="s">
        <v>161</v>
      </c>
      <c r="B164" s="160">
        <v>92793000000</v>
      </c>
      <c r="C164" s="160">
        <v>81742000000</v>
      </c>
      <c r="D164">
        <v>79920000000</v>
      </c>
      <c r="E164">
        <v>79139000000</v>
      </c>
      <c r="F164">
        <v>79590000000</v>
      </c>
      <c r="G164">
        <v>77147000000</v>
      </c>
      <c r="H164">
        <v>73621000000</v>
      </c>
      <c r="I164" s="161"/>
      <c r="L164" s="162"/>
      <c r="DL164" s="160"/>
      <c r="DM164" s="160"/>
    </row>
    <row r="165" spans="1:117" x14ac:dyDescent="0.25">
      <c r="A165" s="160" t="s">
        <v>162</v>
      </c>
      <c r="B165" s="160">
        <v>0</v>
      </c>
      <c r="C165" s="160">
        <v>0</v>
      </c>
      <c r="D165">
        <v>0</v>
      </c>
      <c r="E165">
        <v>0</v>
      </c>
      <c r="F165">
        <v>0</v>
      </c>
      <c r="G165">
        <v>0</v>
      </c>
      <c r="H165">
        <v>0</v>
      </c>
      <c r="I165" s="161"/>
      <c r="L165" s="162"/>
      <c r="DL165" s="160"/>
      <c r="DM165" s="160"/>
    </row>
    <row r="166" spans="1:117" x14ac:dyDescent="0.25">
      <c r="A166" s="160" t="s">
        <v>163</v>
      </c>
      <c r="B166" s="160">
        <v>46386000000</v>
      </c>
      <c r="C166" s="160">
        <v>41057000000</v>
      </c>
      <c r="D166">
        <v>41624000000</v>
      </c>
      <c r="E166">
        <v>42913000000</v>
      </c>
      <c r="F166">
        <v>42655000000</v>
      </c>
      <c r="G166">
        <v>40658000000</v>
      </c>
      <c r="H166">
        <v>38046000000</v>
      </c>
      <c r="I166" s="161"/>
      <c r="L166" s="162"/>
      <c r="DL166" s="160"/>
      <c r="DM166" s="160"/>
    </row>
    <row r="167" spans="1:117" x14ac:dyDescent="0.25">
      <c r="A167" s="160" t="s">
        <v>164</v>
      </c>
      <c r="B167" s="160">
        <v>2215209574</v>
      </c>
      <c r="C167" s="160">
        <v>2221223449</v>
      </c>
      <c r="D167">
        <v>2225116815</v>
      </c>
      <c r="E167">
        <v>2229428813</v>
      </c>
      <c r="F167">
        <v>2233427058</v>
      </c>
      <c r="G167">
        <v>2237996975</v>
      </c>
      <c r="H167">
        <v>2242969004</v>
      </c>
      <c r="I167" s="161"/>
      <c r="L167" s="162"/>
      <c r="DL167" s="160"/>
      <c r="DM167" s="160"/>
    </row>
    <row r="168" spans="1:117" x14ac:dyDescent="0.25">
      <c r="A168" s="160" t="s">
        <v>165</v>
      </c>
      <c r="B168" s="160">
        <v>0</v>
      </c>
      <c r="C168" s="160">
        <v>0</v>
      </c>
      <c r="D168">
        <v>0</v>
      </c>
      <c r="E168">
        <v>0</v>
      </c>
      <c r="F168">
        <v>0</v>
      </c>
      <c r="G168">
        <v>0</v>
      </c>
      <c r="H168">
        <v>0</v>
      </c>
      <c r="I168" s="161"/>
      <c r="L168" s="162"/>
      <c r="DL168" s="160"/>
      <c r="DM168" s="160"/>
    </row>
    <row r="169" spans="1:117" x14ac:dyDescent="0.25">
      <c r="A169" s="160" t="s">
        <v>166</v>
      </c>
      <c r="B169" s="160">
        <v>1224685815</v>
      </c>
      <c r="C169" s="160">
        <v>1255494724</v>
      </c>
      <c r="D169">
        <v>1279249412</v>
      </c>
      <c r="E169">
        <v>1307249588</v>
      </c>
      <c r="F169">
        <v>1340947648</v>
      </c>
      <c r="G169">
        <v>1350886521</v>
      </c>
      <c r="H169">
        <v>1350315580</v>
      </c>
      <c r="I169" s="161"/>
      <c r="L169" s="162"/>
      <c r="DL169" s="160"/>
      <c r="DM169" s="160"/>
    </row>
    <row r="170" spans="1:117" x14ac:dyDescent="0.25">
      <c r="A170" s="160" t="s">
        <v>167</v>
      </c>
      <c r="B170" s="160">
        <v>190459000000</v>
      </c>
      <c r="C170" s="160">
        <v>53262000000</v>
      </c>
      <c r="D170">
        <v>53935000000</v>
      </c>
      <c r="E170">
        <v>54566000000</v>
      </c>
      <c r="F170">
        <v>55151000000</v>
      </c>
      <c r="G170">
        <v>55895000000</v>
      </c>
      <c r="H170">
        <v>56556000000</v>
      </c>
      <c r="I170" s="161"/>
      <c r="L170" s="162"/>
      <c r="DL170" s="160"/>
      <c r="DM170" s="160"/>
    </row>
    <row r="171" spans="1:117" x14ac:dyDescent="0.25">
      <c r="A171" s="160" t="s">
        <v>168</v>
      </c>
      <c r="B171" s="160">
        <v>0</v>
      </c>
      <c r="C171" s="160">
        <v>0</v>
      </c>
      <c r="D171">
        <v>0</v>
      </c>
      <c r="E171">
        <v>0</v>
      </c>
      <c r="F171">
        <v>0</v>
      </c>
      <c r="G171">
        <v>0</v>
      </c>
      <c r="H171">
        <v>0</v>
      </c>
      <c r="I171" s="161"/>
      <c r="L171" s="162"/>
      <c r="DL171" s="160"/>
      <c r="DM171" s="160"/>
    </row>
    <row r="172" spans="1:117" x14ac:dyDescent="0.25">
      <c r="A172" s="160" t="s">
        <v>169</v>
      </c>
      <c r="B172" s="160">
        <v>0</v>
      </c>
      <c r="C172" s="160">
        <v>0</v>
      </c>
      <c r="D172">
        <v>0</v>
      </c>
      <c r="E172">
        <v>0</v>
      </c>
      <c r="F172">
        <v>0</v>
      </c>
      <c r="G172">
        <v>0</v>
      </c>
      <c r="H172">
        <v>0</v>
      </c>
      <c r="I172" s="161"/>
      <c r="L172" s="162"/>
      <c r="DL172" s="160"/>
      <c r="DM172" s="160"/>
    </row>
    <row r="173" spans="1:117" x14ac:dyDescent="0.25">
      <c r="A173" s="160" t="s">
        <v>170</v>
      </c>
      <c r="B173" s="160">
        <v>0</v>
      </c>
      <c r="C173" s="160">
        <v>0</v>
      </c>
      <c r="D173">
        <v>0</v>
      </c>
      <c r="E173">
        <v>0</v>
      </c>
      <c r="F173">
        <v>0</v>
      </c>
      <c r="G173">
        <v>0</v>
      </c>
      <c r="H173">
        <v>0</v>
      </c>
      <c r="I173" s="161"/>
      <c r="L173" s="162"/>
      <c r="DL173" s="160"/>
      <c r="DM173" s="160"/>
    </row>
    <row r="174" spans="1:117" x14ac:dyDescent="0.25">
      <c r="A174" s="160" t="s">
        <v>171</v>
      </c>
      <c r="B174" s="160">
        <v>-150715000000</v>
      </c>
      <c r="C174" s="160">
        <v>-155518000000</v>
      </c>
      <c r="D174">
        <v>-159050000000</v>
      </c>
      <c r="E174">
        <v>-163507000000</v>
      </c>
      <c r="F174">
        <v>-168071000000</v>
      </c>
      <c r="G174">
        <v>-169413000000</v>
      </c>
      <c r="H174">
        <v>-169339000000</v>
      </c>
      <c r="I174" s="161"/>
      <c r="L174" s="162"/>
      <c r="DL174" s="160"/>
      <c r="DM174" s="160"/>
    </row>
    <row r="175" spans="1:117" x14ac:dyDescent="0.25">
      <c r="A175" s="160" t="s">
        <v>172</v>
      </c>
      <c r="B175" s="160" t="s">
        <v>852</v>
      </c>
      <c r="C175" s="160" t="s">
        <v>852</v>
      </c>
      <c r="D175" t="s">
        <v>852</v>
      </c>
      <c r="E175" t="s">
        <v>852</v>
      </c>
      <c r="F175" t="s">
        <v>852</v>
      </c>
      <c r="G175" t="s">
        <v>852</v>
      </c>
      <c r="H175" t="s">
        <v>852</v>
      </c>
      <c r="I175" s="161"/>
      <c r="L175" s="162"/>
      <c r="DL175" s="160"/>
      <c r="DM175" s="160"/>
    </row>
    <row r="176" spans="1:117" x14ac:dyDescent="0.25">
      <c r="A176" s="160" t="s">
        <v>173</v>
      </c>
      <c r="B176" s="160">
        <v>1004272584</v>
      </c>
      <c r="C176" s="160">
        <v>978744523</v>
      </c>
      <c r="D176">
        <v>955422530</v>
      </c>
      <c r="E176">
        <v>932828295</v>
      </c>
      <c r="F176">
        <v>912048072</v>
      </c>
      <c r="G176">
        <v>887235105</v>
      </c>
      <c r="H176">
        <v>890348679</v>
      </c>
      <c r="I176" s="161"/>
      <c r="L176" s="162"/>
      <c r="DL176" s="160"/>
      <c r="DM176" s="160"/>
    </row>
    <row r="177" spans="1:117" x14ac:dyDescent="0.25">
      <c r="A177" s="160" t="s">
        <v>174</v>
      </c>
      <c r="B177" s="160">
        <v>1004272584</v>
      </c>
      <c r="C177" s="160">
        <v>978744523</v>
      </c>
      <c r="D177">
        <v>955422530</v>
      </c>
      <c r="E177">
        <v>932828295</v>
      </c>
      <c r="F177">
        <v>912048072</v>
      </c>
      <c r="G177">
        <v>887235105</v>
      </c>
      <c r="H177">
        <v>890348679</v>
      </c>
      <c r="I177" s="161"/>
      <c r="L177" s="162"/>
      <c r="DL177" s="160"/>
      <c r="DM177" s="160"/>
    </row>
    <row r="178" spans="1:117" x14ac:dyDescent="0.25">
      <c r="A178" s="160" t="s">
        <v>175</v>
      </c>
      <c r="B178" s="160">
        <v>1010000480</v>
      </c>
      <c r="C178" s="160">
        <v>982700267</v>
      </c>
      <c r="D178">
        <v>958714097</v>
      </c>
      <c r="E178">
        <v>937385625</v>
      </c>
      <c r="F178">
        <v>916315714</v>
      </c>
      <c r="G178">
        <v>892813376</v>
      </c>
      <c r="H178">
        <v>896563971</v>
      </c>
      <c r="I178" s="161"/>
      <c r="L178" s="162"/>
      <c r="DL178" s="160"/>
      <c r="DM178" s="160"/>
    </row>
    <row r="179" spans="1:117" x14ac:dyDescent="0.25">
      <c r="A179" s="160" t="s">
        <v>176</v>
      </c>
      <c r="B179" s="160">
        <v>1010000480</v>
      </c>
      <c r="C179" s="160">
        <v>982700267</v>
      </c>
      <c r="D179">
        <v>958714097</v>
      </c>
      <c r="E179">
        <v>937385625</v>
      </c>
      <c r="F179">
        <v>916315714</v>
      </c>
      <c r="G179">
        <v>892813376</v>
      </c>
      <c r="H179">
        <v>896563971</v>
      </c>
      <c r="I179" s="161"/>
      <c r="L179" s="162"/>
      <c r="DL179" s="160"/>
      <c r="DM179" s="160"/>
    </row>
    <row r="180" spans="1:117" x14ac:dyDescent="0.25">
      <c r="A180" s="160" t="s">
        <v>177</v>
      </c>
      <c r="B180" s="160" t="s">
        <v>178</v>
      </c>
      <c r="C180" s="160" t="s">
        <v>178</v>
      </c>
      <c r="D180" t="s">
        <v>178</v>
      </c>
      <c r="E180" t="s">
        <v>178</v>
      </c>
      <c r="F180" t="s">
        <v>178</v>
      </c>
      <c r="G180" t="s">
        <v>178</v>
      </c>
      <c r="H180" t="s">
        <v>178</v>
      </c>
      <c r="I180" s="161"/>
      <c r="L180" s="162"/>
      <c r="DL180" s="160"/>
      <c r="DM180" s="160"/>
    </row>
    <row r="181" spans="1:117" x14ac:dyDescent="0.25">
      <c r="A181" s="160" t="s">
        <v>179</v>
      </c>
      <c r="B181" s="160" t="s">
        <v>852</v>
      </c>
      <c r="C181" s="160" t="s">
        <v>852</v>
      </c>
      <c r="D181" t="s">
        <v>852</v>
      </c>
      <c r="E181" t="s">
        <v>852</v>
      </c>
      <c r="F181" t="s">
        <v>852</v>
      </c>
      <c r="G181" t="s">
        <v>852</v>
      </c>
      <c r="H181" t="s">
        <v>852</v>
      </c>
      <c r="I181" s="161"/>
      <c r="L181" s="162"/>
      <c r="DL181" s="160"/>
      <c r="DM181" s="160"/>
    </row>
    <row r="182" spans="1:117" x14ac:dyDescent="0.25">
      <c r="A182" s="160" t="s">
        <v>180</v>
      </c>
      <c r="B182" s="160" t="s">
        <v>181</v>
      </c>
      <c r="C182" s="160" t="s">
        <v>181</v>
      </c>
      <c r="D182" t="s">
        <v>181</v>
      </c>
      <c r="E182" t="s">
        <v>181</v>
      </c>
      <c r="F182" t="s">
        <v>181</v>
      </c>
      <c r="G182" t="s">
        <v>181</v>
      </c>
      <c r="H182" t="s">
        <v>181</v>
      </c>
      <c r="I182" s="161"/>
      <c r="L182" s="162"/>
      <c r="DL182" s="160"/>
      <c r="DM182" s="160"/>
    </row>
    <row r="183" spans="1:117" x14ac:dyDescent="0.25">
      <c r="A183" s="160" t="s">
        <v>182</v>
      </c>
      <c r="B183" s="160">
        <v>1419984000000</v>
      </c>
      <c r="C183" s="160">
        <v>1451520000000</v>
      </c>
      <c r="D183">
        <v>1483142400000</v>
      </c>
      <c r="E183">
        <v>1514678400000</v>
      </c>
      <c r="F183">
        <v>1546214400000</v>
      </c>
      <c r="G183">
        <v>1577750400000</v>
      </c>
      <c r="H183">
        <v>1609372800000</v>
      </c>
      <c r="I183" s="161"/>
      <c r="L183" s="162"/>
      <c r="DL183" s="160"/>
      <c r="DM183" s="160"/>
    </row>
    <row r="184" spans="1:117" x14ac:dyDescent="0.25">
      <c r="A184" s="160" t="s">
        <v>183</v>
      </c>
      <c r="B184" s="160">
        <v>1614255824000</v>
      </c>
      <c r="C184" s="160">
        <v>1614255823000</v>
      </c>
      <c r="D184">
        <v>1614255823000</v>
      </c>
      <c r="E184">
        <v>1614255823000</v>
      </c>
      <c r="F184">
        <v>1614255823000</v>
      </c>
      <c r="G184">
        <v>1614255823000</v>
      </c>
      <c r="H184">
        <v>1614255823000</v>
      </c>
      <c r="I184" s="161"/>
      <c r="DL184" s="160"/>
      <c r="DM184" s="160"/>
    </row>
  </sheetData>
  <phoneticPr fontId="5"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35432-A7F1-4406-9B56-61A520E9C770}">
  <sheetPr codeName="Sheet10">
    <tabColor theme="0"/>
  </sheetPr>
  <dimension ref="A1:Q22"/>
  <sheetViews>
    <sheetView workbookViewId="0">
      <selection sqref="A1:H184"/>
    </sheetView>
  </sheetViews>
  <sheetFormatPr defaultColWidth="8.85546875" defaultRowHeight="15" x14ac:dyDescent="0.25"/>
  <cols>
    <col min="1" max="1" width="15.42578125" bestFit="1" customWidth="1"/>
    <col min="2" max="2" width="10.140625" bestFit="1" customWidth="1"/>
    <col min="3" max="3" width="10.85546875" bestFit="1" customWidth="1"/>
    <col min="4" max="4" width="15.140625" bestFit="1" customWidth="1"/>
    <col min="5" max="5" width="6.5703125" bestFit="1" customWidth="1"/>
    <col min="6" max="6" width="12.28515625" bestFit="1" customWidth="1"/>
    <col min="7" max="8" width="9.7109375" bestFit="1" customWidth="1"/>
    <col min="9" max="9" width="15.140625" bestFit="1" customWidth="1"/>
    <col min="10" max="10" width="9.7109375" bestFit="1" customWidth="1"/>
    <col min="11" max="11" width="13.140625" bestFit="1" customWidth="1"/>
    <col min="12" max="12" width="7.28515625" bestFit="1" customWidth="1"/>
    <col min="13" max="13" width="10.140625" bestFit="1" customWidth="1"/>
    <col min="14" max="14" width="14" bestFit="1" customWidth="1"/>
    <col min="15" max="15" width="9.28515625" bestFit="1" customWidth="1"/>
    <col min="16" max="16" width="14.140625" bestFit="1" customWidth="1"/>
    <col min="17" max="17" width="13.140625" bestFit="1" customWidth="1"/>
    <col min="18" max="20" width="11.140625" bestFit="1" customWidth="1"/>
    <col min="21" max="21" width="12.85546875" bestFit="1" customWidth="1"/>
    <col min="22" max="22" width="15.140625" bestFit="1" customWidth="1"/>
    <col min="23" max="23" width="12.140625" bestFit="1" customWidth="1"/>
    <col min="24" max="26" width="11.140625" bestFit="1" customWidth="1"/>
    <col min="27" max="32" width="12.140625" bestFit="1" customWidth="1"/>
  </cols>
  <sheetData>
    <row r="1" spans="1:16" x14ac:dyDescent="0.25">
      <c r="A1" t="s">
        <v>688</v>
      </c>
      <c r="B1" t="s">
        <v>681</v>
      </c>
      <c r="C1" t="s">
        <v>682</v>
      </c>
      <c r="D1" t="s">
        <v>684</v>
      </c>
      <c r="E1" t="s">
        <v>685</v>
      </c>
      <c r="F1" t="s">
        <v>686</v>
      </c>
      <c r="G1" t="s">
        <v>182</v>
      </c>
      <c r="H1" t="s">
        <v>172</v>
      </c>
      <c r="I1" t="s">
        <v>725</v>
      </c>
      <c r="J1" t="s">
        <v>726</v>
      </c>
      <c r="K1" t="s">
        <v>727</v>
      </c>
      <c r="L1" t="s">
        <v>728</v>
      </c>
      <c r="M1" t="s">
        <v>752</v>
      </c>
      <c r="N1" t="s">
        <v>755</v>
      </c>
      <c r="O1" t="s">
        <v>756</v>
      </c>
      <c r="P1" t="s">
        <v>764</v>
      </c>
    </row>
    <row r="2" spans="1:16" x14ac:dyDescent="0.25">
      <c r="A2" s="143">
        <v>42439</v>
      </c>
      <c r="B2">
        <v>1.3</v>
      </c>
      <c r="C2" t="s">
        <v>683</v>
      </c>
      <c r="D2" t="s">
        <v>778</v>
      </c>
      <c r="E2" t="s">
        <v>437</v>
      </c>
      <c r="F2" t="s">
        <v>687</v>
      </c>
      <c r="G2" s="143">
        <v>42408</v>
      </c>
      <c r="H2" t="s">
        <v>852</v>
      </c>
      <c r="I2" s="143">
        <v>42395</v>
      </c>
      <c r="J2" s="143">
        <v>42408</v>
      </c>
      <c r="K2" s="143">
        <v>42410</v>
      </c>
      <c r="L2">
        <v>2016</v>
      </c>
      <c r="M2">
        <v>1</v>
      </c>
      <c r="N2">
        <v>4</v>
      </c>
      <c r="O2">
        <v>3</v>
      </c>
      <c r="P2" t="s">
        <v>829</v>
      </c>
    </row>
    <row r="3" spans="1:16" x14ac:dyDescent="0.25">
      <c r="A3" s="143">
        <v>42531</v>
      </c>
      <c r="B3">
        <v>1.4</v>
      </c>
      <c r="C3" t="s">
        <v>683</v>
      </c>
      <c r="D3" t="s">
        <v>778</v>
      </c>
      <c r="E3" t="s">
        <v>437</v>
      </c>
      <c r="F3" t="s">
        <v>687</v>
      </c>
      <c r="G3" s="143">
        <v>42496</v>
      </c>
      <c r="H3" t="s">
        <v>852</v>
      </c>
      <c r="I3" s="143">
        <v>42486</v>
      </c>
      <c r="J3" s="143">
        <v>42496</v>
      </c>
      <c r="K3" s="143">
        <v>42500</v>
      </c>
      <c r="L3">
        <v>2016</v>
      </c>
      <c r="M3">
        <v>2</v>
      </c>
      <c r="N3">
        <v>5</v>
      </c>
      <c r="O3">
        <v>6</v>
      </c>
      <c r="P3" t="s">
        <v>830</v>
      </c>
    </row>
    <row r="4" spans="1:16" x14ac:dyDescent="0.25">
      <c r="A4" s="143">
        <v>42623</v>
      </c>
      <c r="B4">
        <v>1.4</v>
      </c>
      <c r="C4" t="s">
        <v>683</v>
      </c>
      <c r="D4" t="s">
        <v>778</v>
      </c>
      <c r="E4" t="s">
        <v>437</v>
      </c>
      <c r="F4" t="s">
        <v>687</v>
      </c>
      <c r="G4" s="143">
        <v>42590</v>
      </c>
      <c r="H4" t="s">
        <v>852</v>
      </c>
      <c r="I4" s="143">
        <v>42577</v>
      </c>
      <c r="J4" s="143">
        <v>42590</v>
      </c>
      <c r="K4" s="143">
        <v>42592</v>
      </c>
      <c r="L4">
        <v>2016</v>
      </c>
      <c r="M4">
        <v>3</v>
      </c>
      <c r="N4">
        <v>6</v>
      </c>
      <c r="O4">
        <v>9</v>
      </c>
      <c r="P4" t="s">
        <v>831</v>
      </c>
    </row>
    <row r="5" spans="1:16" x14ac:dyDescent="0.25">
      <c r="A5" s="143">
        <v>42714</v>
      </c>
      <c r="B5">
        <v>1.4</v>
      </c>
      <c r="C5" t="s">
        <v>683</v>
      </c>
      <c r="D5" t="s">
        <v>778</v>
      </c>
      <c r="E5" t="s">
        <v>437</v>
      </c>
      <c r="F5" t="s">
        <v>687</v>
      </c>
      <c r="G5" s="143">
        <v>42682</v>
      </c>
      <c r="H5" t="s">
        <v>852</v>
      </c>
      <c r="I5" s="143">
        <v>42668</v>
      </c>
      <c r="J5" s="143">
        <v>42682</v>
      </c>
      <c r="K5" s="143">
        <v>42684</v>
      </c>
      <c r="L5">
        <v>2016</v>
      </c>
      <c r="M5">
        <v>4</v>
      </c>
      <c r="N5">
        <v>6</v>
      </c>
      <c r="O5">
        <v>12</v>
      </c>
      <c r="P5" t="s">
        <v>832</v>
      </c>
    </row>
    <row r="6" spans="1:16" x14ac:dyDescent="0.25">
      <c r="A6" s="143">
        <v>42804</v>
      </c>
      <c r="B6">
        <v>1.4</v>
      </c>
      <c r="C6" t="s">
        <v>683</v>
      </c>
      <c r="D6" t="s">
        <v>778</v>
      </c>
      <c r="E6" t="s">
        <v>437</v>
      </c>
      <c r="F6" t="s">
        <v>687</v>
      </c>
      <c r="G6" s="143">
        <v>42774</v>
      </c>
      <c r="H6" t="s">
        <v>852</v>
      </c>
      <c r="I6" s="143">
        <v>42766</v>
      </c>
      <c r="J6" s="143">
        <v>42774</v>
      </c>
      <c r="K6" s="143">
        <v>42776</v>
      </c>
      <c r="L6">
        <v>2017</v>
      </c>
      <c r="M6">
        <v>1</v>
      </c>
      <c r="N6">
        <v>5</v>
      </c>
      <c r="O6">
        <v>3</v>
      </c>
      <c r="P6" t="s">
        <v>833</v>
      </c>
    </row>
    <row r="7" spans="1:16" x14ac:dyDescent="0.25">
      <c r="A7" s="143">
        <v>42896</v>
      </c>
      <c r="B7">
        <v>1.5</v>
      </c>
      <c r="C7" t="s">
        <v>683</v>
      </c>
      <c r="D7" t="s">
        <v>778</v>
      </c>
      <c r="E7" t="s">
        <v>437</v>
      </c>
      <c r="F7" t="s">
        <v>687</v>
      </c>
      <c r="G7" s="143">
        <v>42863</v>
      </c>
      <c r="H7" t="s">
        <v>852</v>
      </c>
      <c r="I7" s="143">
        <v>42850</v>
      </c>
      <c r="J7" s="143">
        <v>42863</v>
      </c>
      <c r="K7" s="143">
        <v>42865</v>
      </c>
      <c r="L7">
        <v>2017</v>
      </c>
      <c r="M7">
        <v>2</v>
      </c>
      <c r="N7">
        <v>6</v>
      </c>
      <c r="O7">
        <v>6</v>
      </c>
      <c r="P7" t="s">
        <v>834</v>
      </c>
    </row>
    <row r="8" spans="1:16" x14ac:dyDescent="0.25">
      <c r="A8" s="143">
        <v>42987</v>
      </c>
      <c r="B8">
        <v>1.5</v>
      </c>
      <c r="C8" t="s">
        <v>683</v>
      </c>
      <c r="D8" t="s">
        <v>778</v>
      </c>
      <c r="E8" t="s">
        <v>437</v>
      </c>
      <c r="F8" t="s">
        <v>687</v>
      </c>
      <c r="G8" s="143">
        <v>42955</v>
      </c>
      <c r="H8" t="s">
        <v>852</v>
      </c>
      <c r="I8" s="143">
        <v>42941</v>
      </c>
      <c r="J8" s="143">
        <v>42955</v>
      </c>
      <c r="K8" s="143">
        <v>42957</v>
      </c>
      <c r="L8">
        <v>2017</v>
      </c>
      <c r="M8">
        <v>3</v>
      </c>
      <c r="N8">
        <v>6</v>
      </c>
      <c r="O8">
        <v>9</v>
      </c>
      <c r="P8" t="s">
        <v>835</v>
      </c>
    </row>
    <row r="9" spans="1:16" x14ac:dyDescent="0.25">
      <c r="A9" s="143">
        <v>43078</v>
      </c>
      <c r="B9">
        <v>1.5</v>
      </c>
      <c r="C9" t="s">
        <v>683</v>
      </c>
      <c r="D9" t="s">
        <v>778</v>
      </c>
      <c r="E9" t="s">
        <v>437</v>
      </c>
      <c r="F9" t="s">
        <v>687</v>
      </c>
      <c r="G9" s="143">
        <v>43048</v>
      </c>
      <c r="H9" t="s">
        <v>852</v>
      </c>
      <c r="I9" s="143">
        <v>43039</v>
      </c>
      <c r="J9" s="143">
        <v>43048</v>
      </c>
      <c r="K9" s="143">
        <v>43049</v>
      </c>
      <c r="L9">
        <v>2017</v>
      </c>
      <c r="M9">
        <v>4</v>
      </c>
      <c r="N9">
        <v>6</v>
      </c>
      <c r="O9">
        <v>12</v>
      </c>
      <c r="P9" t="s">
        <v>836</v>
      </c>
    </row>
    <row r="10" spans="1:16" x14ac:dyDescent="0.25">
      <c r="A10" s="143">
        <v>43169</v>
      </c>
      <c r="B10">
        <v>1.5</v>
      </c>
      <c r="C10" t="s">
        <v>683</v>
      </c>
      <c r="D10" t="s">
        <v>778</v>
      </c>
      <c r="E10" t="s">
        <v>437</v>
      </c>
      <c r="F10" t="s">
        <v>687</v>
      </c>
      <c r="G10" s="143">
        <v>43139</v>
      </c>
      <c r="H10" t="s">
        <v>852</v>
      </c>
      <c r="I10" s="143">
        <v>43130</v>
      </c>
      <c r="J10" s="143">
        <v>43139</v>
      </c>
      <c r="K10" s="143">
        <v>43140</v>
      </c>
      <c r="L10">
        <v>2018</v>
      </c>
      <c r="M10">
        <v>1</v>
      </c>
      <c r="N10">
        <v>6</v>
      </c>
      <c r="O10">
        <v>3</v>
      </c>
      <c r="P10" t="s">
        <v>837</v>
      </c>
    </row>
    <row r="11" spans="1:16" x14ac:dyDescent="0.25">
      <c r="A11" s="143">
        <v>43260</v>
      </c>
      <c r="B11">
        <v>1.57</v>
      </c>
      <c r="C11" t="s">
        <v>683</v>
      </c>
      <c r="D11" t="s">
        <v>778</v>
      </c>
      <c r="E11" t="s">
        <v>437</v>
      </c>
      <c r="F11" t="s">
        <v>687</v>
      </c>
      <c r="G11" s="143">
        <v>43229</v>
      </c>
      <c r="H11" t="s">
        <v>852</v>
      </c>
      <c r="I11" s="143">
        <v>43214</v>
      </c>
      <c r="J11" s="143">
        <v>43229</v>
      </c>
      <c r="K11" s="143">
        <v>43230</v>
      </c>
      <c r="L11">
        <v>2018</v>
      </c>
      <c r="M11">
        <v>2</v>
      </c>
      <c r="N11">
        <v>6</v>
      </c>
      <c r="O11">
        <v>6</v>
      </c>
      <c r="P11" t="s">
        <v>838</v>
      </c>
    </row>
    <row r="12" spans="1:16" x14ac:dyDescent="0.25">
      <c r="A12" s="143">
        <v>43353</v>
      </c>
      <c r="B12">
        <v>1.57</v>
      </c>
      <c r="C12" t="s">
        <v>683</v>
      </c>
      <c r="D12" t="s">
        <v>778</v>
      </c>
      <c r="E12" t="s">
        <v>437</v>
      </c>
      <c r="F12" t="s">
        <v>687</v>
      </c>
      <c r="G12" s="143">
        <v>43321</v>
      </c>
      <c r="H12" t="s">
        <v>852</v>
      </c>
      <c r="I12" s="143">
        <v>43312</v>
      </c>
      <c r="J12" s="143">
        <v>43321</v>
      </c>
      <c r="K12" s="143">
        <v>43322</v>
      </c>
      <c r="L12">
        <v>2018</v>
      </c>
      <c r="M12">
        <v>3</v>
      </c>
      <c r="N12">
        <v>1</v>
      </c>
      <c r="O12">
        <v>9</v>
      </c>
      <c r="P12" t="s">
        <v>839</v>
      </c>
    </row>
    <row r="13" spans="1:16" x14ac:dyDescent="0.25">
      <c r="A13" s="143">
        <v>43444</v>
      </c>
      <c r="B13">
        <v>1.57</v>
      </c>
      <c r="C13" t="s">
        <v>683</v>
      </c>
      <c r="D13" t="s">
        <v>778</v>
      </c>
      <c r="E13" t="s">
        <v>437</v>
      </c>
      <c r="F13" t="s">
        <v>687</v>
      </c>
      <c r="G13" s="143">
        <v>43412</v>
      </c>
      <c r="H13" t="s">
        <v>852</v>
      </c>
      <c r="I13" s="143">
        <v>43403</v>
      </c>
      <c r="J13" s="143">
        <v>43412</v>
      </c>
      <c r="K13" s="143">
        <v>43413</v>
      </c>
      <c r="L13">
        <v>2018</v>
      </c>
      <c r="M13">
        <v>4</v>
      </c>
      <c r="N13">
        <v>1</v>
      </c>
      <c r="O13">
        <v>12</v>
      </c>
      <c r="P13" t="s">
        <v>840</v>
      </c>
    </row>
    <row r="14" spans="1:16" x14ac:dyDescent="0.25">
      <c r="A14" s="143">
        <v>43533</v>
      </c>
      <c r="B14">
        <v>1.57</v>
      </c>
      <c r="C14" t="s">
        <v>683</v>
      </c>
      <c r="D14" t="s">
        <v>778</v>
      </c>
      <c r="E14" t="s">
        <v>437</v>
      </c>
      <c r="F14" t="s">
        <v>687</v>
      </c>
      <c r="G14" s="143">
        <v>43503</v>
      </c>
      <c r="H14" t="s">
        <v>852</v>
      </c>
      <c r="I14" s="143">
        <v>43494</v>
      </c>
      <c r="J14" s="143">
        <v>43503</v>
      </c>
      <c r="K14" s="143">
        <v>43504</v>
      </c>
      <c r="L14">
        <v>2019</v>
      </c>
      <c r="M14">
        <v>1</v>
      </c>
      <c r="N14">
        <v>6</v>
      </c>
      <c r="O14">
        <v>3</v>
      </c>
      <c r="P14" t="s">
        <v>841</v>
      </c>
    </row>
    <row r="15" spans="1:16" x14ac:dyDescent="0.25">
      <c r="A15" s="143">
        <v>43626</v>
      </c>
      <c r="B15">
        <v>1.62</v>
      </c>
      <c r="C15" t="s">
        <v>683</v>
      </c>
      <c r="D15" t="s">
        <v>778</v>
      </c>
      <c r="E15" t="s">
        <v>437</v>
      </c>
      <c r="F15" t="s">
        <v>687</v>
      </c>
      <c r="G15" s="143">
        <v>43594</v>
      </c>
      <c r="H15" t="s">
        <v>852</v>
      </c>
      <c r="I15" s="143">
        <v>43585</v>
      </c>
      <c r="J15" s="143">
        <v>43594</v>
      </c>
      <c r="K15" s="143">
        <v>43595</v>
      </c>
      <c r="L15">
        <v>2019</v>
      </c>
      <c r="M15">
        <v>2</v>
      </c>
      <c r="N15">
        <v>1</v>
      </c>
      <c r="O15">
        <v>6</v>
      </c>
      <c r="P15" t="s">
        <v>842</v>
      </c>
    </row>
    <row r="16" spans="1:16" x14ac:dyDescent="0.25">
      <c r="A16" s="143">
        <v>43718</v>
      </c>
      <c r="B16">
        <v>1.62</v>
      </c>
      <c r="C16" t="s">
        <v>683</v>
      </c>
      <c r="D16" t="s">
        <v>778</v>
      </c>
      <c r="E16" t="s">
        <v>437</v>
      </c>
      <c r="F16" t="s">
        <v>687</v>
      </c>
      <c r="G16" s="143">
        <v>43685</v>
      </c>
      <c r="H16" t="s">
        <v>852</v>
      </c>
      <c r="I16" s="143">
        <v>43676</v>
      </c>
      <c r="J16" s="143">
        <v>43685</v>
      </c>
      <c r="K16" s="143">
        <v>43686</v>
      </c>
      <c r="L16">
        <v>2019</v>
      </c>
      <c r="M16">
        <v>3</v>
      </c>
      <c r="N16">
        <v>2</v>
      </c>
      <c r="O16">
        <v>9</v>
      </c>
      <c r="P16" t="s">
        <v>779</v>
      </c>
    </row>
    <row r="17" spans="1:17" x14ac:dyDescent="0.25">
      <c r="A17" s="143">
        <v>43809</v>
      </c>
      <c r="B17">
        <v>1.62</v>
      </c>
      <c r="C17" t="s">
        <v>683</v>
      </c>
      <c r="D17" t="s">
        <v>778</v>
      </c>
      <c r="E17" t="s">
        <v>437</v>
      </c>
      <c r="F17" t="s">
        <v>687</v>
      </c>
      <c r="G17" s="143">
        <v>43776</v>
      </c>
      <c r="H17" t="s">
        <v>852</v>
      </c>
      <c r="I17" s="143">
        <v>43767</v>
      </c>
      <c r="J17" s="143">
        <v>43776</v>
      </c>
      <c r="K17" s="143">
        <v>43777</v>
      </c>
      <c r="L17">
        <v>2019</v>
      </c>
      <c r="M17">
        <v>4</v>
      </c>
      <c r="N17">
        <v>2</v>
      </c>
      <c r="O17">
        <v>12</v>
      </c>
      <c r="P17" t="s">
        <v>843</v>
      </c>
    </row>
    <row r="18" spans="1:17" x14ac:dyDescent="0.25">
      <c r="A18" s="143">
        <v>43900</v>
      </c>
      <c r="B18">
        <v>1.62</v>
      </c>
      <c r="C18" t="s">
        <v>683</v>
      </c>
      <c r="D18" t="s">
        <v>778</v>
      </c>
      <c r="E18" t="s">
        <v>437</v>
      </c>
      <c r="F18" t="s">
        <v>687</v>
      </c>
      <c r="G18" s="143">
        <v>43868</v>
      </c>
      <c r="H18" t="s">
        <v>852</v>
      </c>
      <c r="I18" s="143">
        <v>43858</v>
      </c>
      <c r="J18" s="143">
        <v>43868</v>
      </c>
      <c r="K18" s="143">
        <v>43871</v>
      </c>
      <c r="L18">
        <v>2020</v>
      </c>
      <c r="M18">
        <v>1</v>
      </c>
      <c r="N18">
        <v>2</v>
      </c>
      <c r="O18">
        <v>3</v>
      </c>
      <c r="P18" t="s">
        <v>780</v>
      </c>
    </row>
    <row r="19" spans="1:17" x14ac:dyDescent="0.25">
      <c r="A19" s="143">
        <v>43992</v>
      </c>
      <c r="B19">
        <v>1.63</v>
      </c>
      <c r="C19" t="s">
        <v>683</v>
      </c>
      <c r="D19" t="s">
        <v>778</v>
      </c>
      <c r="E19" t="s">
        <v>437</v>
      </c>
      <c r="F19" t="s">
        <v>687</v>
      </c>
      <c r="G19" s="143">
        <v>43958</v>
      </c>
      <c r="H19" t="s">
        <v>852</v>
      </c>
      <c r="I19" s="143">
        <v>43949</v>
      </c>
      <c r="J19" s="143">
        <v>43958</v>
      </c>
      <c r="K19" s="143">
        <v>43959</v>
      </c>
      <c r="L19">
        <v>2020</v>
      </c>
      <c r="M19">
        <v>2</v>
      </c>
      <c r="N19">
        <v>3</v>
      </c>
      <c r="O19">
        <v>6</v>
      </c>
      <c r="P19" t="s">
        <v>844</v>
      </c>
    </row>
    <row r="20" spans="1:17" x14ac:dyDescent="0.25">
      <c r="A20" s="143">
        <v>44084</v>
      </c>
      <c r="B20">
        <v>1.63</v>
      </c>
      <c r="C20" t="s">
        <v>683</v>
      </c>
      <c r="D20" t="s">
        <v>778</v>
      </c>
      <c r="E20" t="s">
        <v>437</v>
      </c>
      <c r="F20" t="s">
        <v>687</v>
      </c>
      <c r="G20" s="143">
        <v>44050</v>
      </c>
      <c r="H20" t="s">
        <v>852</v>
      </c>
      <c r="I20" s="143">
        <v>44040</v>
      </c>
      <c r="J20" s="143">
        <v>44050</v>
      </c>
      <c r="K20" s="143">
        <v>44053</v>
      </c>
      <c r="L20">
        <v>2020</v>
      </c>
      <c r="M20">
        <v>3</v>
      </c>
      <c r="N20">
        <v>4</v>
      </c>
      <c r="O20">
        <v>9</v>
      </c>
      <c r="P20" t="s">
        <v>845</v>
      </c>
    </row>
    <row r="21" spans="1:17" x14ac:dyDescent="0.25">
      <c r="A21" s="143">
        <v>44175</v>
      </c>
      <c r="B21">
        <v>1.63</v>
      </c>
      <c r="C21" t="s">
        <v>683</v>
      </c>
      <c r="D21" t="s">
        <v>778</v>
      </c>
      <c r="E21" t="s">
        <v>437</v>
      </c>
      <c r="F21" t="s">
        <v>687</v>
      </c>
      <c r="G21" s="143">
        <v>44144</v>
      </c>
      <c r="H21" t="s">
        <v>852</v>
      </c>
      <c r="I21" s="143">
        <v>44131</v>
      </c>
      <c r="J21" s="143">
        <v>44144</v>
      </c>
      <c r="K21" s="143">
        <v>44145</v>
      </c>
      <c r="L21">
        <v>2020</v>
      </c>
      <c r="M21">
        <v>4</v>
      </c>
      <c r="N21">
        <v>4</v>
      </c>
      <c r="O21">
        <v>12</v>
      </c>
      <c r="P21" t="s">
        <v>846</v>
      </c>
    </row>
    <row r="22" spans="1:17" x14ac:dyDescent="0.25">
      <c r="A22" s="143">
        <v>44265</v>
      </c>
      <c r="B22">
        <v>1.63</v>
      </c>
      <c r="C22" t="s">
        <v>683</v>
      </c>
      <c r="D22" t="s">
        <v>778</v>
      </c>
      <c r="E22" t="s">
        <v>437</v>
      </c>
      <c r="F22" t="s">
        <v>687</v>
      </c>
      <c r="G22" s="143">
        <v>44236</v>
      </c>
      <c r="H22" t="s">
        <v>852</v>
      </c>
      <c r="I22" s="143">
        <v>44222</v>
      </c>
      <c r="J22" s="143">
        <v>44236</v>
      </c>
      <c r="K22" s="143">
        <v>44237</v>
      </c>
      <c r="L22">
        <v>2021</v>
      </c>
      <c r="M22">
        <v>1</v>
      </c>
      <c r="N22">
        <v>3</v>
      </c>
      <c r="O22">
        <v>3</v>
      </c>
      <c r="P22" t="s">
        <v>847</v>
      </c>
      <c r="Q22" s="154"/>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E68E-F303-4BFC-9CF2-9E3F4D6CAC3C}">
  <sheetPr codeName="Sheet12">
    <tabColor theme="0"/>
  </sheetPr>
  <dimension ref="A1:D1988"/>
  <sheetViews>
    <sheetView workbookViewId="0">
      <selection sqref="A1:H184"/>
    </sheetView>
  </sheetViews>
  <sheetFormatPr defaultColWidth="8.85546875" defaultRowHeight="15" x14ac:dyDescent="0.25"/>
  <cols>
    <col min="1" max="1" width="10.7109375" bestFit="1" customWidth="1"/>
    <col min="2" max="2" width="7.7109375" bestFit="1" customWidth="1"/>
    <col min="3" max="3" width="13.85546875" bestFit="1" customWidth="1"/>
    <col min="4" max="4" width="9.7109375" bestFit="1" customWidth="1"/>
    <col min="5" max="5" width="11" bestFit="1" customWidth="1"/>
    <col min="6" max="6" width="9.7109375" bestFit="1" customWidth="1"/>
  </cols>
  <sheetData>
    <row r="1" spans="1:4" x14ac:dyDescent="0.25">
      <c r="A1" t="s">
        <v>182</v>
      </c>
      <c r="B1" t="s">
        <v>717</v>
      </c>
      <c r="C1" t="s">
        <v>718</v>
      </c>
      <c r="D1" t="s">
        <v>172</v>
      </c>
    </row>
    <row r="2" spans="1:4" x14ac:dyDescent="0.25">
      <c r="A2" s="143">
        <v>41432</v>
      </c>
      <c r="B2">
        <v>206.35</v>
      </c>
      <c r="C2">
        <v>2.9535399999999998</v>
      </c>
      <c r="D2" t="s">
        <v>852</v>
      </c>
    </row>
    <row r="3" spans="1:4" x14ac:dyDescent="0.25">
      <c r="A3" s="143">
        <v>41435</v>
      </c>
      <c r="B3">
        <v>205.02</v>
      </c>
      <c r="C3">
        <v>2.6524200000000002</v>
      </c>
      <c r="D3" t="s">
        <v>852</v>
      </c>
    </row>
    <row r="4" spans="1:4" x14ac:dyDescent="0.25">
      <c r="A4" s="143">
        <v>41436</v>
      </c>
      <c r="B4">
        <v>203.98</v>
      </c>
      <c r="C4">
        <v>2.8145199999999999</v>
      </c>
      <c r="D4" t="s">
        <v>852</v>
      </c>
    </row>
    <row r="5" spans="1:4" x14ac:dyDescent="0.25">
      <c r="A5" s="143">
        <v>41437</v>
      </c>
      <c r="B5">
        <v>201.2</v>
      </c>
      <c r="C5">
        <v>3.4098549999999999</v>
      </c>
      <c r="D5" t="s">
        <v>852</v>
      </c>
    </row>
    <row r="6" spans="1:4" x14ac:dyDescent="0.25">
      <c r="A6" s="143">
        <v>41438</v>
      </c>
      <c r="B6">
        <v>203.77</v>
      </c>
      <c r="C6">
        <v>2.8996979999999999</v>
      </c>
      <c r="D6" t="s">
        <v>852</v>
      </c>
    </row>
    <row r="7" spans="1:4" x14ac:dyDescent="0.25">
      <c r="A7" s="143">
        <v>41439</v>
      </c>
      <c r="B7">
        <v>202.2</v>
      </c>
      <c r="C7">
        <v>2.804859</v>
      </c>
      <c r="D7" t="s">
        <v>852</v>
      </c>
    </row>
    <row r="8" spans="1:4" x14ac:dyDescent="0.25">
      <c r="A8" s="143">
        <v>41442</v>
      </c>
      <c r="B8">
        <v>203.04</v>
      </c>
      <c r="C8">
        <v>3.2200090000000001</v>
      </c>
      <c r="D8" t="s">
        <v>852</v>
      </c>
    </row>
    <row r="9" spans="1:4" x14ac:dyDescent="0.25">
      <c r="A9" s="143">
        <v>41443</v>
      </c>
      <c r="B9">
        <v>204.87</v>
      </c>
      <c r="C9">
        <v>3.2781509999999998</v>
      </c>
      <c r="D9" t="s">
        <v>852</v>
      </c>
    </row>
    <row r="10" spans="1:4" x14ac:dyDescent="0.25">
      <c r="A10" s="143">
        <v>41444</v>
      </c>
      <c r="B10">
        <v>201.94</v>
      </c>
      <c r="C10">
        <v>2.8462040000000002</v>
      </c>
      <c r="D10" t="s">
        <v>852</v>
      </c>
    </row>
    <row r="11" spans="1:4" x14ac:dyDescent="0.25">
      <c r="A11" s="143">
        <v>41445</v>
      </c>
      <c r="B11">
        <v>197.35</v>
      </c>
      <c r="C11">
        <v>4.5163289999999998</v>
      </c>
      <c r="D11" t="s">
        <v>852</v>
      </c>
    </row>
    <row r="12" spans="1:4" x14ac:dyDescent="0.25">
      <c r="A12" s="143">
        <v>41446</v>
      </c>
      <c r="B12">
        <v>195.46</v>
      </c>
      <c r="C12">
        <v>8.9192180000000008</v>
      </c>
      <c r="D12" t="s">
        <v>852</v>
      </c>
    </row>
    <row r="13" spans="1:4" x14ac:dyDescent="0.25">
      <c r="A13" s="143">
        <v>41449</v>
      </c>
      <c r="B13">
        <v>193.54</v>
      </c>
      <c r="C13">
        <v>4.3561529999999999</v>
      </c>
      <c r="D13" t="s">
        <v>852</v>
      </c>
    </row>
    <row r="14" spans="1:4" x14ac:dyDescent="0.25">
      <c r="A14" s="143">
        <v>41450</v>
      </c>
      <c r="B14">
        <v>194.98</v>
      </c>
      <c r="C14">
        <v>3.8480210000000001</v>
      </c>
      <c r="D14" t="s">
        <v>852</v>
      </c>
    </row>
    <row r="15" spans="1:4" x14ac:dyDescent="0.25">
      <c r="A15" s="143">
        <v>41451</v>
      </c>
      <c r="B15">
        <v>194.86</v>
      </c>
      <c r="C15">
        <v>3.3202020000000001</v>
      </c>
      <c r="D15" t="s">
        <v>852</v>
      </c>
    </row>
    <row r="16" spans="1:4" x14ac:dyDescent="0.25">
      <c r="A16" s="143">
        <v>41452</v>
      </c>
      <c r="B16">
        <v>195.65</v>
      </c>
      <c r="C16">
        <v>3.5193319999999999</v>
      </c>
      <c r="D16" t="s">
        <v>852</v>
      </c>
    </row>
    <row r="17" spans="1:4" x14ac:dyDescent="0.25">
      <c r="A17" s="143">
        <v>41453</v>
      </c>
      <c r="B17">
        <v>191.11</v>
      </c>
      <c r="C17">
        <v>10.056856</v>
      </c>
      <c r="D17" t="s">
        <v>852</v>
      </c>
    </row>
    <row r="18" spans="1:4" x14ac:dyDescent="0.25">
      <c r="A18" s="143">
        <v>41456</v>
      </c>
      <c r="B18">
        <v>191.28</v>
      </c>
      <c r="C18">
        <v>4.4424219999999996</v>
      </c>
      <c r="D18" t="s">
        <v>852</v>
      </c>
    </row>
    <row r="19" spans="1:4" x14ac:dyDescent="0.25">
      <c r="A19" s="143">
        <v>41457</v>
      </c>
      <c r="B19">
        <v>191.5</v>
      </c>
      <c r="C19">
        <v>3.6578550000000001</v>
      </c>
      <c r="D19" t="s">
        <v>852</v>
      </c>
    </row>
    <row r="20" spans="1:4" x14ac:dyDescent="0.25">
      <c r="A20" s="143">
        <v>41458</v>
      </c>
      <c r="B20">
        <v>193.25</v>
      </c>
      <c r="C20">
        <v>1.8783129999999999</v>
      </c>
      <c r="D20" t="s">
        <v>852</v>
      </c>
    </row>
    <row r="21" spans="1:4" x14ac:dyDescent="0.25">
      <c r="A21" s="143">
        <v>41459</v>
      </c>
      <c r="B21">
        <v>193.25</v>
      </c>
      <c r="C21">
        <v>1.8783129999999999</v>
      </c>
      <c r="D21" t="s">
        <v>852</v>
      </c>
    </row>
    <row r="22" spans="1:4" x14ac:dyDescent="0.25">
      <c r="A22" s="143">
        <v>41460</v>
      </c>
      <c r="B22">
        <v>194.93</v>
      </c>
      <c r="C22">
        <v>2.4079709999999999</v>
      </c>
      <c r="D22" t="s">
        <v>852</v>
      </c>
    </row>
    <row r="23" spans="1:4" x14ac:dyDescent="0.25">
      <c r="A23" s="143">
        <v>41463</v>
      </c>
      <c r="B23">
        <v>194.98</v>
      </c>
      <c r="C23">
        <v>2.948458</v>
      </c>
      <c r="D23" t="s">
        <v>852</v>
      </c>
    </row>
    <row r="24" spans="1:4" x14ac:dyDescent="0.25">
      <c r="A24" s="143">
        <v>41464</v>
      </c>
      <c r="B24">
        <v>191.3</v>
      </c>
      <c r="C24">
        <v>5.2046849999999996</v>
      </c>
      <c r="D24" t="s">
        <v>852</v>
      </c>
    </row>
    <row r="25" spans="1:4" x14ac:dyDescent="0.25">
      <c r="A25" s="143">
        <v>41465</v>
      </c>
      <c r="B25">
        <v>192.25</v>
      </c>
      <c r="C25">
        <v>3.8919600000000001</v>
      </c>
      <c r="D25" t="s">
        <v>852</v>
      </c>
    </row>
    <row r="26" spans="1:4" x14ac:dyDescent="0.25">
      <c r="A26" s="143">
        <v>41466</v>
      </c>
      <c r="B26">
        <v>192.8</v>
      </c>
      <c r="C26">
        <v>4.1791229999999997</v>
      </c>
      <c r="D26" t="s">
        <v>852</v>
      </c>
    </row>
    <row r="27" spans="1:4" x14ac:dyDescent="0.25">
      <c r="A27" s="143">
        <v>41467</v>
      </c>
      <c r="B27">
        <v>192.07</v>
      </c>
      <c r="C27">
        <v>4.4958920000000004</v>
      </c>
      <c r="D27" t="s">
        <v>852</v>
      </c>
    </row>
    <row r="28" spans="1:4" x14ac:dyDescent="0.25">
      <c r="A28" s="143">
        <v>41470</v>
      </c>
      <c r="B28">
        <v>194</v>
      </c>
      <c r="C28">
        <v>5.6782380000000003</v>
      </c>
      <c r="D28" t="s">
        <v>852</v>
      </c>
    </row>
    <row r="29" spans="1:4" x14ac:dyDescent="0.25">
      <c r="A29" s="143">
        <v>41471</v>
      </c>
      <c r="B29">
        <v>193.85</v>
      </c>
      <c r="C29">
        <v>3.7473939999999999</v>
      </c>
      <c r="D29" t="s">
        <v>852</v>
      </c>
    </row>
    <row r="30" spans="1:4" x14ac:dyDescent="0.25">
      <c r="A30" s="143">
        <v>41472</v>
      </c>
      <c r="B30">
        <v>194.55</v>
      </c>
      <c r="C30">
        <v>6.868411</v>
      </c>
      <c r="D30" t="s">
        <v>852</v>
      </c>
    </row>
    <row r="31" spans="1:4" x14ac:dyDescent="0.25">
      <c r="A31" s="143">
        <v>41473</v>
      </c>
      <c r="B31">
        <v>197.99</v>
      </c>
      <c r="C31">
        <v>8.3943100000000008</v>
      </c>
      <c r="D31" t="s">
        <v>852</v>
      </c>
    </row>
    <row r="32" spans="1:4" x14ac:dyDescent="0.25">
      <c r="A32" s="143">
        <v>41474</v>
      </c>
      <c r="B32">
        <v>193.54</v>
      </c>
      <c r="C32">
        <v>6.9985910000000002</v>
      </c>
      <c r="D32" t="s">
        <v>852</v>
      </c>
    </row>
    <row r="33" spans="1:4" x14ac:dyDescent="0.25">
      <c r="A33" s="143">
        <v>41477</v>
      </c>
      <c r="B33">
        <v>194.09</v>
      </c>
      <c r="C33">
        <v>3.3994610000000001</v>
      </c>
      <c r="D33" t="s">
        <v>852</v>
      </c>
    </row>
    <row r="34" spans="1:4" x14ac:dyDescent="0.25">
      <c r="A34" s="143">
        <v>41478</v>
      </c>
      <c r="B34">
        <v>194.98</v>
      </c>
      <c r="C34">
        <v>2.8641139999999998</v>
      </c>
      <c r="D34" t="s">
        <v>852</v>
      </c>
    </row>
    <row r="35" spans="1:4" x14ac:dyDescent="0.25">
      <c r="A35" s="143">
        <v>41479</v>
      </c>
      <c r="B35">
        <v>196.61</v>
      </c>
      <c r="C35">
        <v>2.9582389999999998</v>
      </c>
      <c r="D35" t="s">
        <v>852</v>
      </c>
    </row>
    <row r="36" spans="1:4" x14ac:dyDescent="0.25">
      <c r="A36" s="143">
        <v>41480</v>
      </c>
      <c r="B36">
        <v>197.22</v>
      </c>
      <c r="C36">
        <v>3.0142549999999999</v>
      </c>
      <c r="D36" t="s">
        <v>852</v>
      </c>
    </row>
    <row r="37" spans="1:4" x14ac:dyDescent="0.25">
      <c r="A37" s="143">
        <v>41481</v>
      </c>
      <c r="B37">
        <v>197.35</v>
      </c>
      <c r="C37">
        <v>2.4850059999999998</v>
      </c>
      <c r="D37" t="s">
        <v>852</v>
      </c>
    </row>
    <row r="38" spans="1:4" x14ac:dyDescent="0.25">
      <c r="A38" s="143">
        <v>41484</v>
      </c>
      <c r="B38">
        <v>196.21</v>
      </c>
      <c r="C38">
        <v>2.1137540000000001</v>
      </c>
      <c r="D38" t="s">
        <v>852</v>
      </c>
    </row>
    <row r="39" spans="1:4" x14ac:dyDescent="0.25">
      <c r="A39" s="143">
        <v>41485</v>
      </c>
      <c r="B39">
        <v>196.01</v>
      </c>
      <c r="C39">
        <v>2.6632159999999998</v>
      </c>
      <c r="D39" t="s">
        <v>852</v>
      </c>
    </row>
    <row r="40" spans="1:4" x14ac:dyDescent="0.25">
      <c r="A40" s="143">
        <v>41486</v>
      </c>
      <c r="B40">
        <v>195.04</v>
      </c>
      <c r="C40">
        <v>3.8099820000000002</v>
      </c>
      <c r="D40" t="s">
        <v>852</v>
      </c>
    </row>
    <row r="41" spans="1:4" x14ac:dyDescent="0.25">
      <c r="A41" s="143">
        <v>41487</v>
      </c>
      <c r="B41">
        <v>195.81</v>
      </c>
      <c r="C41">
        <v>2.8777699999999999</v>
      </c>
      <c r="D41" t="s">
        <v>852</v>
      </c>
    </row>
    <row r="42" spans="1:4" x14ac:dyDescent="0.25">
      <c r="A42" s="143">
        <v>41488</v>
      </c>
      <c r="B42">
        <v>195.16</v>
      </c>
      <c r="C42">
        <v>3.8739080000000001</v>
      </c>
      <c r="D42" t="s">
        <v>852</v>
      </c>
    </row>
    <row r="43" spans="1:4" x14ac:dyDescent="0.25">
      <c r="A43" s="143">
        <v>41491</v>
      </c>
      <c r="B43">
        <v>195.5</v>
      </c>
      <c r="C43">
        <v>2.4926629999999999</v>
      </c>
      <c r="D43" t="s">
        <v>852</v>
      </c>
    </row>
    <row r="44" spans="1:4" x14ac:dyDescent="0.25">
      <c r="A44" s="143">
        <v>41492</v>
      </c>
      <c r="B44">
        <v>190.99</v>
      </c>
      <c r="C44">
        <v>5.9395569999999998</v>
      </c>
      <c r="D44" t="s">
        <v>852</v>
      </c>
    </row>
    <row r="45" spans="1:4" x14ac:dyDescent="0.25">
      <c r="A45" s="143">
        <v>41493</v>
      </c>
      <c r="B45">
        <v>188.56</v>
      </c>
      <c r="C45">
        <v>3.901716</v>
      </c>
      <c r="D45" t="s">
        <v>852</v>
      </c>
    </row>
    <row r="46" spans="1:4" x14ac:dyDescent="0.25">
      <c r="A46" s="143">
        <v>41494</v>
      </c>
      <c r="B46">
        <v>187.93</v>
      </c>
      <c r="C46">
        <v>4.5477559999999997</v>
      </c>
      <c r="D46" t="s">
        <v>852</v>
      </c>
    </row>
    <row r="47" spans="1:4" x14ac:dyDescent="0.25">
      <c r="A47" s="143">
        <v>41495</v>
      </c>
      <c r="B47">
        <v>187.82</v>
      </c>
      <c r="C47">
        <v>3.25</v>
      </c>
      <c r="D47" t="s">
        <v>852</v>
      </c>
    </row>
    <row r="48" spans="1:4" x14ac:dyDescent="0.25">
      <c r="A48" s="143">
        <v>41498</v>
      </c>
      <c r="B48">
        <v>189.09</v>
      </c>
      <c r="C48">
        <v>3.0268389999999998</v>
      </c>
      <c r="D48" t="s">
        <v>852</v>
      </c>
    </row>
    <row r="49" spans="1:4" x14ac:dyDescent="0.25">
      <c r="A49" s="143">
        <v>41499</v>
      </c>
      <c r="B49">
        <v>188.42</v>
      </c>
      <c r="C49">
        <v>3.542932</v>
      </c>
      <c r="D49" t="s">
        <v>852</v>
      </c>
    </row>
    <row r="50" spans="1:4" x14ac:dyDescent="0.25">
      <c r="A50" s="143">
        <v>41500</v>
      </c>
      <c r="B50">
        <v>187.53</v>
      </c>
      <c r="C50">
        <v>2.8991150000000001</v>
      </c>
      <c r="D50" t="s">
        <v>852</v>
      </c>
    </row>
    <row r="51" spans="1:4" x14ac:dyDescent="0.25">
      <c r="A51" s="143">
        <v>41501</v>
      </c>
      <c r="B51">
        <v>185.79</v>
      </c>
      <c r="C51">
        <v>3.6923599999999999</v>
      </c>
      <c r="D51" t="s">
        <v>852</v>
      </c>
    </row>
    <row r="52" spans="1:4" x14ac:dyDescent="0.25">
      <c r="A52" s="143">
        <v>41502</v>
      </c>
      <c r="B52">
        <v>185.34</v>
      </c>
      <c r="C52">
        <v>3.4279639999999998</v>
      </c>
      <c r="D52" t="s">
        <v>852</v>
      </c>
    </row>
    <row r="53" spans="1:4" x14ac:dyDescent="0.25">
      <c r="A53" s="143">
        <v>41505</v>
      </c>
      <c r="B53">
        <v>184.23</v>
      </c>
      <c r="C53">
        <v>3.2511269999999999</v>
      </c>
      <c r="D53" t="s">
        <v>852</v>
      </c>
    </row>
    <row r="54" spans="1:4" x14ac:dyDescent="0.25">
      <c r="A54" s="143">
        <v>41506</v>
      </c>
      <c r="B54">
        <v>184.56</v>
      </c>
      <c r="C54">
        <v>3.1220979999999998</v>
      </c>
      <c r="D54" t="s">
        <v>852</v>
      </c>
    </row>
    <row r="55" spans="1:4" x14ac:dyDescent="0.25">
      <c r="A55" s="143">
        <v>41507</v>
      </c>
      <c r="B55">
        <v>184.86</v>
      </c>
      <c r="C55">
        <v>3.5512069999999998</v>
      </c>
      <c r="D55" t="s">
        <v>852</v>
      </c>
    </row>
    <row r="56" spans="1:4" x14ac:dyDescent="0.25">
      <c r="A56" s="143">
        <v>41508</v>
      </c>
      <c r="B56">
        <v>185.19</v>
      </c>
      <c r="C56">
        <v>2.3548360000000002</v>
      </c>
      <c r="D56" t="s">
        <v>852</v>
      </c>
    </row>
    <row r="57" spans="1:4" x14ac:dyDescent="0.25">
      <c r="A57" s="143">
        <v>41509</v>
      </c>
      <c r="B57">
        <v>185.42</v>
      </c>
      <c r="C57">
        <v>2.2950919999999999</v>
      </c>
      <c r="D57" t="s">
        <v>852</v>
      </c>
    </row>
    <row r="58" spans="1:4" x14ac:dyDescent="0.25">
      <c r="A58" s="143">
        <v>41512</v>
      </c>
      <c r="B58">
        <v>184.74</v>
      </c>
      <c r="C58">
        <v>2.1749079999999998</v>
      </c>
      <c r="D58" t="s">
        <v>852</v>
      </c>
    </row>
    <row r="59" spans="1:4" x14ac:dyDescent="0.25">
      <c r="A59" s="143">
        <v>41513</v>
      </c>
      <c r="B59">
        <v>182.74</v>
      </c>
      <c r="C59">
        <v>3.190642</v>
      </c>
      <c r="D59" t="s">
        <v>852</v>
      </c>
    </row>
    <row r="60" spans="1:4" x14ac:dyDescent="0.25">
      <c r="A60" s="143">
        <v>41514</v>
      </c>
      <c r="B60">
        <v>182.16</v>
      </c>
      <c r="C60">
        <v>3.979196</v>
      </c>
      <c r="D60" t="s">
        <v>852</v>
      </c>
    </row>
    <row r="61" spans="1:4" x14ac:dyDescent="0.25">
      <c r="A61" s="143">
        <v>41515</v>
      </c>
      <c r="B61">
        <v>182.64</v>
      </c>
      <c r="C61">
        <v>2.9811800000000002</v>
      </c>
      <c r="D61" t="s">
        <v>852</v>
      </c>
    </row>
    <row r="62" spans="1:4" x14ac:dyDescent="0.25">
      <c r="A62" s="143">
        <v>41516</v>
      </c>
      <c r="B62">
        <v>182.27</v>
      </c>
      <c r="C62">
        <v>2.731141</v>
      </c>
      <c r="D62" t="s">
        <v>852</v>
      </c>
    </row>
    <row r="63" spans="1:4" x14ac:dyDescent="0.25">
      <c r="A63" s="143">
        <v>41520</v>
      </c>
      <c r="B63">
        <v>183.96</v>
      </c>
      <c r="C63">
        <v>3.4874689999999999</v>
      </c>
      <c r="D63" t="s">
        <v>852</v>
      </c>
    </row>
    <row r="64" spans="1:4" x14ac:dyDescent="0.25">
      <c r="A64" s="143">
        <v>41521</v>
      </c>
      <c r="B64">
        <v>183.13</v>
      </c>
      <c r="C64">
        <v>2.601909</v>
      </c>
      <c r="D64" t="s">
        <v>852</v>
      </c>
    </row>
    <row r="65" spans="1:4" x14ac:dyDescent="0.25">
      <c r="A65" s="143">
        <v>41522</v>
      </c>
      <c r="B65">
        <v>184.15</v>
      </c>
      <c r="C65">
        <v>2.8698830000000002</v>
      </c>
      <c r="D65" t="s">
        <v>852</v>
      </c>
    </row>
    <row r="66" spans="1:4" x14ac:dyDescent="0.25">
      <c r="A66" s="143">
        <v>41523</v>
      </c>
      <c r="B66">
        <v>183.03</v>
      </c>
      <c r="C66">
        <v>2.9037169999999999</v>
      </c>
      <c r="D66" t="s">
        <v>852</v>
      </c>
    </row>
    <row r="67" spans="1:4" x14ac:dyDescent="0.25">
      <c r="A67" s="143">
        <v>41526</v>
      </c>
      <c r="B67">
        <v>184.98</v>
      </c>
      <c r="C67">
        <v>3.017439</v>
      </c>
      <c r="D67" t="s">
        <v>852</v>
      </c>
    </row>
    <row r="68" spans="1:4" x14ac:dyDescent="0.25">
      <c r="A68" s="143">
        <v>41527</v>
      </c>
      <c r="B68">
        <v>186.6</v>
      </c>
      <c r="C68">
        <v>3.1498300000000001</v>
      </c>
      <c r="D68" t="s">
        <v>852</v>
      </c>
    </row>
    <row r="69" spans="1:4" x14ac:dyDescent="0.25">
      <c r="A69" s="143">
        <v>41528</v>
      </c>
      <c r="B69">
        <v>190.7</v>
      </c>
      <c r="C69">
        <v>4.9630219999999996</v>
      </c>
      <c r="D69" t="s">
        <v>852</v>
      </c>
    </row>
    <row r="70" spans="1:4" x14ac:dyDescent="0.25">
      <c r="A70" s="143">
        <v>41529</v>
      </c>
      <c r="B70">
        <v>190.73</v>
      </c>
      <c r="C70">
        <v>3.3548450000000001</v>
      </c>
      <c r="D70" t="s">
        <v>852</v>
      </c>
    </row>
    <row r="71" spans="1:4" x14ac:dyDescent="0.25">
      <c r="A71" s="143">
        <v>41530</v>
      </c>
      <c r="B71">
        <v>192.17</v>
      </c>
      <c r="C71">
        <v>3.7103540000000002</v>
      </c>
      <c r="D71" t="s">
        <v>852</v>
      </c>
    </row>
    <row r="72" spans="1:4" x14ac:dyDescent="0.25">
      <c r="A72" s="143">
        <v>41533</v>
      </c>
      <c r="B72">
        <v>193.15</v>
      </c>
      <c r="C72">
        <v>3.9071859999999998</v>
      </c>
      <c r="D72" t="s">
        <v>852</v>
      </c>
    </row>
    <row r="73" spans="1:4" x14ac:dyDescent="0.25">
      <c r="A73" s="143">
        <v>41534</v>
      </c>
      <c r="B73">
        <v>192.16</v>
      </c>
      <c r="C73">
        <v>2.9317280000000001</v>
      </c>
      <c r="D73" t="s">
        <v>852</v>
      </c>
    </row>
    <row r="74" spans="1:4" x14ac:dyDescent="0.25">
      <c r="A74" s="143">
        <v>41535</v>
      </c>
      <c r="B74">
        <v>194.42</v>
      </c>
      <c r="C74">
        <v>3.841926</v>
      </c>
      <c r="D74" t="s">
        <v>852</v>
      </c>
    </row>
    <row r="75" spans="1:4" x14ac:dyDescent="0.25">
      <c r="A75" s="143">
        <v>41536</v>
      </c>
      <c r="B75">
        <v>193.39</v>
      </c>
      <c r="C75">
        <v>3.178067</v>
      </c>
      <c r="D75" t="s">
        <v>852</v>
      </c>
    </row>
    <row r="76" spans="1:4" x14ac:dyDescent="0.25">
      <c r="A76" s="143">
        <v>41537</v>
      </c>
      <c r="B76">
        <v>190.02</v>
      </c>
      <c r="C76">
        <v>8.531193</v>
      </c>
      <c r="D76" t="s">
        <v>852</v>
      </c>
    </row>
    <row r="77" spans="1:4" x14ac:dyDescent="0.25">
      <c r="A77" s="143">
        <v>41540</v>
      </c>
      <c r="B77">
        <v>190.99</v>
      </c>
      <c r="C77">
        <v>3.3408910000000001</v>
      </c>
      <c r="D77" t="s">
        <v>852</v>
      </c>
    </row>
    <row r="78" spans="1:4" x14ac:dyDescent="0.25">
      <c r="A78" s="143">
        <v>41541</v>
      </c>
      <c r="B78">
        <v>189.97</v>
      </c>
      <c r="C78">
        <v>3.085242</v>
      </c>
      <c r="D78" t="s">
        <v>852</v>
      </c>
    </row>
    <row r="79" spans="1:4" x14ac:dyDescent="0.25">
      <c r="A79" s="143">
        <v>41542</v>
      </c>
      <c r="B79">
        <v>189.47</v>
      </c>
      <c r="C79">
        <v>2.654833</v>
      </c>
      <c r="D79" t="s">
        <v>852</v>
      </c>
    </row>
    <row r="80" spans="1:4" x14ac:dyDescent="0.25">
      <c r="A80" s="143">
        <v>41543</v>
      </c>
      <c r="B80">
        <v>190.22</v>
      </c>
      <c r="C80">
        <v>2.0935839999999999</v>
      </c>
      <c r="D80" t="s">
        <v>852</v>
      </c>
    </row>
    <row r="81" spans="1:4" x14ac:dyDescent="0.25">
      <c r="A81" s="143">
        <v>41544</v>
      </c>
      <c r="B81">
        <v>186.92</v>
      </c>
      <c r="C81">
        <v>3.9079039999999998</v>
      </c>
      <c r="D81" t="s">
        <v>852</v>
      </c>
    </row>
    <row r="82" spans="1:4" x14ac:dyDescent="0.25">
      <c r="A82" s="143">
        <v>41547</v>
      </c>
      <c r="B82">
        <v>185.18</v>
      </c>
      <c r="C82">
        <v>3.978234</v>
      </c>
      <c r="D82" t="s">
        <v>852</v>
      </c>
    </row>
    <row r="83" spans="1:4" x14ac:dyDescent="0.25">
      <c r="A83" s="143">
        <v>41548</v>
      </c>
      <c r="B83">
        <v>186.38</v>
      </c>
      <c r="C83">
        <v>2.6821839999999999</v>
      </c>
      <c r="D83" t="s">
        <v>852</v>
      </c>
    </row>
    <row r="84" spans="1:4" x14ac:dyDescent="0.25">
      <c r="A84" s="143">
        <v>41549</v>
      </c>
      <c r="B84">
        <v>184.96</v>
      </c>
      <c r="C84">
        <v>3.6184590000000001</v>
      </c>
      <c r="D84" t="s">
        <v>852</v>
      </c>
    </row>
    <row r="85" spans="1:4" x14ac:dyDescent="0.25">
      <c r="A85" s="143">
        <v>41550</v>
      </c>
      <c r="B85">
        <v>183.86</v>
      </c>
      <c r="C85">
        <v>3.21224</v>
      </c>
      <c r="D85" t="s">
        <v>852</v>
      </c>
    </row>
    <row r="86" spans="1:4" x14ac:dyDescent="0.25">
      <c r="A86" s="143">
        <v>41551</v>
      </c>
      <c r="B86">
        <v>184.1</v>
      </c>
      <c r="C86">
        <v>2.864163</v>
      </c>
      <c r="D86" t="s">
        <v>852</v>
      </c>
    </row>
    <row r="87" spans="1:4" x14ac:dyDescent="0.25">
      <c r="A87" s="143">
        <v>41554</v>
      </c>
      <c r="B87">
        <v>182.01</v>
      </c>
      <c r="C87">
        <v>3.9683619999999999</v>
      </c>
      <c r="D87" t="s">
        <v>852</v>
      </c>
    </row>
    <row r="88" spans="1:4" x14ac:dyDescent="0.25">
      <c r="A88" s="143">
        <v>41555</v>
      </c>
      <c r="B88">
        <v>178.72</v>
      </c>
      <c r="C88">
        <v>5.5798329999999998</v>
      </c>
      <c r="D88" t="s">
        <v>852</v>
      </c>
    </row>
    <row r="89" spans="1:4" x14ac:dyDescent="0.25">
      <c r="A89" s="143">
        <v>41556</v>
      </c>
      <c r="B89">
        <v>181.32</v>
      </c>
      <c r="C89">
        <v>4.4243589999999999</v>
      </c>
      <c r="D89" t="s">
        <v>852</v>
      </c>
    </row>
    <row r="90" spans="1:4" x14ac:dyDescent="0.25">
      <c r="A90" s="143">
        <v>41557</v>
      </c>
      <c r="B90">
        <v>184.77</v>
      </c>
      <c r="C90">
        <v>3.6596060000000001</v>
      </c>
      <c r="D90" t="s">
        <v>852</v>
      </c>
    </row>
    <row r="91" spans="1:4" x14ac:dyDescent="0.25">
      <c r="A91" s="143">
        <v>41558</v>
      </c>
      <c r="B91">
        <v>186.16</v>
      </c>
      <c r="C91">
        <v>3.232828</v>
      </c>
      <c r="D91" t="s">
        <v>852</v>
      </c>
    </row>
    <row r="92" spans="1:4" x14ac:dyDescent="0.25">
      <c r="A92" s="143">
        <v>41561</v>
      </c>
      <c r="B92">
        <v>186.97</v>
      </c>
      <c r="C92">
        <v>2.6632069999999999</v>
      </c>
      <c r="D92" t="s">
        <v>852</v>
      </c>
    </row>
    <row r="93" spans="1:4" x14ac:dyDescent="0.25">
      <c r="A93" s="143">
        <v>41562</v>
      </c>
      <c r="B93">
        <v>184.66</v>
      </c>
      <c r="C93">
        <v>3.3672749999999998</v>
      </c>
      <c r="D93" t="s">
        <v>852</v>
      </c>
    </row>
    <row r="94" spans="1:4" x14ac:dyDescent="0.25">
      <c r="A94" s="143">
        <v>41563</v>
      </c>
      <c r="B94">
        <v>186.73</v>
      </c>
      <c r="C94">
        <v>6.7179789999999997</v>
      </c>
      <c r="D94" t="s">
        <v>852</v>
      </c>
    </row>
    <row r="95" spans="1:4" x14ac:dyDescent="0.25">
      <c r="A95" s="143">
        <v>41564</v>
      </c>
      <c r="B95">
        <v>174.83</v>
      </c>
      <c r="C95">
        <v>22.368939000000001</v>
      </c>
      <c r="D95" t="s">
        <v>852</v>
      </c>
    </row>
    <row r="96" spans="1:4" x14ac:dyDescent="0.25">
      <c r="A96" s="143">
        <v>41565</v>
      </c>
      <c r="B96">
        <v>173.78</v>
      </c>
      <c r="C96">
        <v>10.552466000000001</v>
      </c>
      <c r="D96" t="s">
        <v>852</v>
      </c>
    </row>
    <row r="97" spans="1:4" x14ac:dyDescent="0.25">
      <c r="A97" s="143">
        <v>41568</v>
      </c>
      <c r="B97">
        <v>172.86</v>
      </c>
      <c r="C97">
        <v>7.0986849999999997</v>
      </c>
      <c r="D97" t="s">
        <v>852</v>
      </c>
    </row>
    <row r="98" spans="1:4" x14ac:dyDescent="0.25">
      <c r="A98" s="143">
        <v>41569</v>
      </c>
      <c r="B98">
        <v>174.97</v>
      </c>
      <c r="C98">
        <v>6.9806229999999996</v>
      </c>
      <c r="D98" t="s">
        <v>852</v>
      </c>
    </row>
    <row r="99" spans="1:4" x14ac:dyDescent="0.25">
      <c r="A99" s="143">
        <v>41570</v>
      </c>
      <c r="B99">
        <v>175.77</v>
      </c>
      <c r="C99">
        <v>5.4163389999999998</v>
      </c>
      <c r="D99" t="s">
        <v>852</v>
      </c>
    </row>
    <row r="100" spans="1:4" x14ac:dyDescent="0.25">
      <c r="A100" s="143">
        <v>41571</v>
      </c>
      <c r="B100">
        <v>177.8</v>
      </c>
      <c r="C100">
        <v>5.5348850000000001</v>
      </c>
      <c r="D100" t="s">
        <v>852</v>
      </c>
    </row>
    <row r="101" spans="1:4" x14ac:dyDescent="0.25">
      <c r="A101" s="143">
        <v>41572</v>
      </c>
      <c r="B101">
        <v>176.85</v>
      </c>
      <c r="C101">
        <v>4.8443990000000001</v>
      </c>
      <c r="D101" t="s">
        <v>852</v>
      </c>
    </row>
    <row r="102" spans="1:4" x14ac:dyDescent="0.25">
      <c r="A102" s="143">
        <v>41575</v>
      </c>
      <c r="B102">
        <v>177.35</v>
      </c>
      <c r="C102">
        <v>3.7127330000000001</v>
      </c>
      <c r="D102" t="s">
        <v>852</v>
      </c>
    </row>
    <row r="103" spans="1:4" x14ac:dyDescent="0.25">
      <c r="A103" s="143">
        <v>41576</v>
      </c>
      <c r="B103">
        <v>182.12</v>
      </c>
      <c r="C103">
        <v>8.9093300000000006</v>
      </c>
      <c r="D103" t="s">
        <v>852</v>
      </c>
    </row>
    <row r="104" spans="1:4" x14ac:dyDescent="0.25">
      <c r="A104" s="143">
        <v>41577</v>
      </c>
      <c r="B104">
        <v>180.15</v>
      </c>
      <c r="C104">
        <v>5.2759219999999996</v>
      </c>
      <c r="D104" t="s">
        <v>852</v>
      </c>
    </row>
    <row r="105" spans="1:4" x14ac:dyDescent="0.25">
      <c r="A105" s="143">
        <v>41578</v>
      </c>
      <c r="B105">
        <v>179.21</v>
      </c>
      <c r="C105">
        <v>4.3181849999999997</v>
      </c>
      <c r="D105" t="s">
        <v>852</v>
      </c>
    </row>
    <row r="106" spans="1:4" x14ac:dyDescent="0.25">
      <c r="A106" s="143">
        <v>41579</v>
      </c>
      <c r="B106">
        <v>179.23</v>
      </c>
      <c r="C106">
        <v>3.644628</v>
      </c>
      <c r="D106" t="s">
        <v>852</v>
      </c>
    </row>
    <row r="107" spans="1:4" x14ac:dyDescent="0.25">
      <c r="A107" s="143">
        <v>41582</v>
      </c>
      <c r="B107">
        <v>180.27</v>
      </c>
      <c r="C107">
        <v>3.4843449999999998</v>
      </c>
      <c r="D107" t="s">
        <v>852</v>
      </c>
    </row>
    <row r="108" spans="1:4" x14ac:dyDescent="0.25">
      <c r="A108" s="143">
        <v>41583</v>
      </c>
      <c r="B108">
        <v>177.85</v>
      </c>
      <c r="C108">
        <v>6.1033860000000004</v>
      </c>
      <c r="D108" t="s">
        <v>852</v>
      </c>
    </row>
    <row r="109" spans="1:4" x14ac:dyDescent="0.25">
      <c r="A109" s="143">
        <v>41584</v>
      </c>
      <c r="B109">
        <v>179.19</v>
      </c>
      <c r="C109">
        <v>4.5606590000000002</v>
      </c>
      <c r="D109" t="s">
        <v>852</v>
      </c>
    </row>
    <row r="110" spans="1:4" x14ac:dyDescent="0.25">
      <c r="A110" s="143">
        <v>41585</v>
      </c>
      <c r="B110">
        <v>180</v>
      </c>
      <c r="C110">
        <v>5.2212810000000003</v>
      </c>
      <c r="D110" t="s">
        <v>852</v>
      </c>
    </row>
    <row r="111" spans="1:4" x14ac:dyDescent="0.25">
      <c r="A111" s="143">
        <v>41586</v>
      </c>
      <c r="B111">
        <v>179.99</v>
      </c>
      <c r="C111">
        <v>6.2750349999999999</v>
      </c>
      <c r="D111" t="s">
        <v>852</v>
      </c>
    </row>
    <row r="112" spans="1:4" x14ac:dyDescent="0.25">
      <c r="A112" s="143">
        <v>41589</v>
      </c>
      <c r="B112">
        <v>182.88</v>
      </c>
      <c r="C112">
        <v>5.2222989999999996</v>
      </c>
      <c r="D112" t="s">
        <v>852</v>
      </c>
    </row>
    <row r="113" spans="1:4" x14ac:dyDescent="0.25">
      <c r="A113" s="143">
        <v>41590</v>
      </c>
      <c r="B113">
        <v>183.07</v>
      </c>
      <c r="C113">
        <v>4.258623</v>
      </c>
      <c r="D113" t="s">
        <v>852</v>
      </c>
    </row>
    <row r="114" spans="1:4" x14ac:dyDescent="0.25">
      <c r="A114" s="143">
        <v>41591</v>
      </c>
      <c r="B114">
        <v>183.55</v>
      </c>
      <c r="C114">
        <v>4.7112759999999998</v>
      </c>
      <c r="D114" t="s">
        <v>852</v>
      </c>
    </row>
    <row r="115" spans="1:4" x14ac:dyDescent="0.25">
      <c r="A115" s="143">
        <v>41592</v>
      </c>
      <c r="B115">
        <v>182.21</v>
      </c>
      <c r="C115">
        <v>6.3226760000000004</v>
      </c>
      <c r="D115" t="s">
        <v>852</v>
      </c>
    </row>
    <row r="116" spans="1:4" x14ac:dyDescent="0.25">
      <c r="A116" s="143">
        <v>41593</v>
      </c>
      <c r="B116">
        <v>183.19</v>
      </c>
      <c r="C116">
        <v>5.1795109999999998</v>
      </c>
      <c r="D116" t="s">
        <v>852</v>
      </c>
    </row>
    <row r="117" spans="1:4" x14ac:dyDescent="0.25">
      <c r="A117" s="143">
        <v>41596</v>
      </c>
      <c r="B117">
        <v>184.47</v>
      </c>
      <c r="C117">
        <v>5.3448640000000003</v>
      </c>
      <c r="D117" t="s">
        <v>852</v>
      </c>
    </row>
    <row r="118" spans="1:4" x14ac:dyDescent="0.25">
      <c r="A118" s="143">
        <v>41597</v>
      </c>
      <c r="B118">
        <v>185.25</v>
      </c>
      <c r="C118">
        <v>4.5770369999999998</v>
      </c>
      <c r="D118" t="s">
        <v>852</v>
      </c>
    </row>
    <row r="119" spans="1:4" x14ac:dyDescent="0.25">
      <c r="A119" s="143">
        <v>41598</v>
      </c>
      <c r="B119">
        <v>185.19</v>
      </c>
      <c r="C119">
        <v>3.6461169999999998</v>
      </c>
      <c r="D119" t="s">
        <v>852</v>
      </c>
    </row>
    <row r="120" spans="1:4" x14ac:dyDescent="0.25">
      <c r="A120" s="143">
        <v>41599</v>
      </c>
      <c r="B120">
        <v>184.13</v>
      </c>
      <c r="C120">
        <v>4.4594509999999996</v>
      </c>
      <c r="D120" t="s">
        <v>852</v>
      </c>
    </row>
    <row r="121" spans="1:4" x14ac:dyDescent="0.25">
      <c r="A121" s="143">
        <v>41600</v>
      </c>
      <c r="B121">
        <v>181.3</v>
      </c>
      <c r="C121">
        <v>7.6105179999999999</v>
      </c>
      <c r="D121" t="s">
        <v>852</v>
      </c>
    </row>
    <row r="122" spans="1:4" x14ac:dyDescent="0.25">
      <c r="A122" s="143">
        <v>41603</v>
      </c>
      <c r="B122">
        <v>178.94</v>
      </c>
      <c r="C122">
        <v>7.1623739999999998</v>
      </c>
      <c r="D122" t="s">
        <v>852</v>
      </c>
    </row>
    <row r="123" spans="1:4" x14ac:dyDescent="0.25">
      <c r="A123" s="143">
        <v>41604</v>
      </c>
      <c r="B123">
        <v>177.31</v>
      </c>
      <c r="C123">
        <v>5.7561739999999997</v>
      </c>
      <c r="D123" t="s">
        <v>852</v>
      </c>
    </row>
    <row r="124" spans="1:4" x14ac:dyDescent="0.25">
      <c r="A124" s="143">
        <v>41605</v>
      </c>
      <c r="B124">
        <v>178.97</v>
      </c>
      <c r="C124">
        <v>4.5964739999999997</v>
      </c>
      <c r="D124" t="s">
        <v>852</v>
      </c>
    </row>
    <row r="125" spans="1:4" x14ac:dyDescent="0.25">
      <c r="A125" s="143">
        <v>41607</v>
      </c>
      <c r="B125">
        <v>178.97</v>
      </c>
      <c r="C125">
        <v>4.5964739999999997</v>
      </c>
      <c r="D125" t="s">
        <v>852</v>
      </c>
    </row>
    <row r="126" spans="1:4" x14ac:dyDescent="0.25">
      <c r="A126" s="143">
        <v>41610</v>
      </c>
      <c r="B126">
        <v>177.48</v>
      </c>
      <c r="C126">
        <v>4.5615769999999998</v>
      </c>
      <c r="D126" t="s">
        <v>852</v>
      </c>
    </row>
    <row r="127" spans="1:4" x14ac:dyDescent="0.25">
      <c r="A127" s="143">
        <v>41611</v>
      </c>
      <c r="B127">
        <v>176.08</v>
      </c>
      <c r="C127">
        <v>5.864045</v>
      </c>
      <c r="D127" t="s">
        <v>852</v>
      </c>
    </row>
    <row r="128" spans="1:4" x14ac:dyDescent="0.25">
      <c r="A128" s="143">
        <v>41612</v>
      </c>
      <c r="B128">
        <v>175.74</v>
      </c>
      <c r="C128">
        <v>5.2673639999999997</v>
      </c>
      <c r="D128" t="s">
        <v>852</v>
      </c>
    </row>
    <row r="129" spans="1:4" x14ac:dyDescent="0.25">
      <c r="A129" s="143">
        <v>41613</v>
      </c>
      <c r="B129">
        <v>176.08</v>
      </c>
      <c r="C129">
        <v>4.3850410000000002</v>
      </c>
      <c r="D129" t="s">
        <v>852</v>
      </c>
    </row>
    <row r="130" spans="1:4" x14ac:dyDescent="0.25">
      <c r="A130" s="143">
        <v>41614</v>
      </c>
      <c r="B130">
        <v>177.67</v>
      </c>
      <c r="C130">
        <v>4.7411190000000003</v>
      </c>
      <c r="D130" t="s">
        <v>852</v>
      </c>
    </row>
    <row r="131" spans="1:4" x14ac:dyDescent="0.25">
      <c r="A131" s="143">
        <v>41617</v>
      </c>
      <c r="B131">
        <v>177.46</v>
      </c>
      <c r="C131">
        <v>3.7966199999999999</v>
      </c>
      <c r="D131" t="s">
        <v>852</v>
      </c>
    </row>
    <row r="132" spans="1:4" x14ac:dyDescent="0.25">
      <c r="A132" s="143">
        <v>41618</v>
      </c>
      <c r="B132">
        <v>177.12</v>
      </c>
      <c r="C132">
        <v>4.1283859999999999</v>
      </c>
      <c r="D132" t="s">
        <v>852</v>
      </c>
    </row>
    <row r="133" spans="1:4" x14ac:dyDescent="0.25">
      <c r="A133" s="143">
        <v>41619</v>
      </c>
      <c r="B133">
        <v>175.2</v>
      </c>
      <c r="C133">
        <v>4.0904379999999998</v>
      </c>
      <c r="D133" t="s">
        <v>852</v>
      </c>
    </row>
    <row r="134" spans="1:4" x14ac:dyDescent="0.25">
      <c r="A134" s="143">
        <v>41620</v>
      </c>
      <c r="B134">
        <v>173.37</v>
      </c>
      <c r="C134">
        <v>5.6716490000000004</v>
      </c>
      <c r="D134" t="s">
        <v>852</v>
      </c>
    </row>
    <row r="135" spans="1:4" x14ac:dyDescent="0.25">
      <c r="A135" s="143">
        <v>41621</v>
      </c>
      <c r="B135">
        <v>172.8</v>
      </c>
      <c r="C135">
        <v>4.1848359999999998</v>
      </c>
      <c r="D135" t="s">
        <v>852</v>
      </c>
    </row>
    <row r="136" spans="1:4" x14ac:dyDescent="0.25">
      <c r="A136" s="143">
        <v>41624</v>
      </c>
      <c r="B136">
        <v>177.85</v>
      </c>
      <c r="C136">
        <v>7.521001</v>
      </c>
      <c r="D136" t="s">
        <v>852</v>
      </c>
    </row>
    <row r="137" spans="1:4" x14ac:dyDescent="0.25">
      <c r="A137" s="143">
        <v>41625</v>
      </c>
      <c r="B137">
        <v>175.76</v>
      </c>
      <c r="C137">
        <v>5.4764049999999997</v>
      </c>
      <c r="D137" t="s">
        <v>852</v>
      </c>
    </row>
    <row r="138" spans="1:4" x14ac:dyDescent="0.25">
      <c r="A138" s="143">
        <v>41626</v>
      </c>
      <c r="B138">
        <v>178.7</v>
      </c>
      <c r="C138">
        <v>5.6984370000000002</v>
      </c>
      <c r="D138" t="s">
        <v>852</v>
      </c>
    </row>
    <row r="139" spans="1:4" x14ac:dyDescent="0.25">
      <c r="A139" s="143">
        <v>41627</v>
      </c>
      <c r="B139">
        <v>180.22</v>
      </c>
      <c r="C139">
        <v>5.9295840000000002</v>
      </c>
      <c r="D139" t="s">
        <v>852</v>
      </c>
    </row>
    <row r="140" spans="1:4" x14ac:dyDescent="0.25">
      <c r="A140" s="143">
        <v>41628</v>
      </c>
      <c r="B140">
        <v>180.02</v>
      </c>
      <c r="C140">
        <v>7.6559980000000003</v>
      </c>
      <c r="D140" t="s">
        <v>852</v>
      </c>
    </row>
    <row r="141" spans="1:4" x14ac:dyDescent="0.25">
      <c r="A141" s="143">
        <v>41631</v>
      </c>
      <c r="B141">
        <v>182.23</v>
      </c>
      <c r="C141">
        <v>4.082821</v>
      </c>
      <c r="D141" t="s">
        <v>852</v>
      </c>
    </row>
    <row r="142" spans="1:4" x14ac:dyDescent="0.25">
      <c r="A142" s="143">
        <v>41632</v>
      </c>
      <c r="B142">
        <v>183.22</v>
      </c>
      <c r="C142">
        <v>1.6136140000000001</v>
      </c>
      <c r="D142" t="s">
        <v>852</v>
      </c>
    </row>
    <row r="143" spans="1:4" x14ac:dyDescent="0.25">
      <c r="A143" s="143">
        <v>41634</v>
      </c>
      <c r="B143">
        <v>185.35</v>
      </c>
      <c r="C143">
        <v>3.325841</v>
      </c>
      <c r="D143" t="s">
        <v>852</v>
      </c>
    </row>
    <row r="144" spans="1:4" x14ac:dyDescent="0.25">
      <c r="A144" s="143">
        <v>41635</v>
      </c>
      <c r="B144">
        <v>185.08</v>
      </c>
      <c r="C144">
        <v>3.382117</v>
      </c>
      <c r="D144" t="s">
        <v>852</v>
      </c>
    </row>
    <row r="145" spans="1:4" x14ac:dyDescent="0.25">
      <c r="A145" s="143">
        <v>41638</v>
      </c>
      <c r="B145">
        <v>186.41</v>
      </c>
      <c r="C145">
        <v>3.0185940000000002</v>
      </c>
      <c r="D145" t="s">
        <v>852</v>
      </c>
    </row>
    <row r="146" spans="1:4" x14ac:dyDescent="0.25">
      <c r="A146" s="143">
        <v>41639</v>
      </c>
      <c r="B146">
        <v>187.57</v>
      </c>
      <c r="C146">
        <v>3.6204130000000001</v>
      </c>
      <c r="D146" t="s">
        <v>852</v>
      </c>
    </row>
    <row r="147" spans="1:4" x14ac:dyDescent="0.25">
      <c r="A147" s="143">
        <v>41641</v>
      </c>
      <c r="B147">
        <v>185.53</v>
      </c>
      <c r="C147">
        <v>4.5468089999999997</v>
      </c>
      <c r="D147" t="s">
        <v>852</v>
      </c>
    </row>
    <row r="148" spans="1:4" x14ac:dyDescent="0.25">
      <c r="A148" s="143">
        <v>41642</v>
      </c>
      <c r="B148">
        <v>186.64</v>
      </c>
      <c r="C148">
        <v>4.064095</v>
      </c>
      <c r="D148" t="s">
        <v>852</v>
      </c>
    </row>
    <row r="149" spans="1:4" x14ac:dyDescent="0.25">
      <c r="A149" s="143">
        <v>41645</v>
      </c>
      <c r="B149">
        <v>186</v>
      </c>
      <c r="C149">
        <v>4.0681050000000001</v>
      </c>
      <c r="D149" t="s">
        <v>852</v>
      </c>
    </row>
    <row r="150" spans="1:4" x14ac:dyDescent="0.25">
      <c r="A150" s="143">
        <v>41646</v>
      </c>
      <c r="B150">
        <v>189.71</v>
      </c>
      <c r="C150">
        <v>5.9343219999999999</v>
      </c>
      <c r="D150" t="s">
        <v>852</v>
      </c>
    </row>
    <row r="151" spans="1:4" x14ac:dyDescent="0.25">
      <c r="A151" s="143">
        <v>41647</v>
      </c>
      <c r="B151">
        <v>187.97</v>
      </c>
      <c r="C151">
        <v>4.6041049999999997</v>
      </c>
      <c r="D151" t="s">
        <v>852</v>
      </c>
    </row>
    <row r="152" spans="1:4" x14ac:dyDescent="0.25">
      <c r="A152" s="143">
        <v>41648</v>
      </c>
      <c r="B152">
        <v>187.38</v>
      </c>
      <c r="C152">
        <v>4.3222839999999998</v>
      </c>
      <c r="D152" t="s">
        <v>852</v>
      </c>
    </row>
    <row r="153" spans="1:4" x14ac:dyDescent="0.25">
      <c r="A153" s="143">
        <v>41649</v>
      </c>
      <c r="B153">
        <v>187.26</v>
      </c>
      <c r="C153">
        <v>4.0230889999999997</v>
      </c>
      <c r="D153" t="s">
        <v>852</v>
      </c>
    </row>
    <row r="154" spans="1:4" x14ac:dyDescent="0.25">
      <c r="A154" s="143">
        <v>41652</v>
      </c>
      <c r="B154">
        <v>184.16</v>
      </c>
      <c r="C154">
        <v>5.7891069999999996</v>
      </c>
      <c r="D154" t="s">
        <v>852</v>
      </c>
    </row>
    <row r="155" spans="1:4" x14ac:dyDescent="0.25">
      <c r="A155" s="143">
        <v>41653</v>
      </c>
      <c r="B155">
        <v>185.92</v>
      </c>
      <c r="C155">
        <v>4.6195089999999999</v>
      </c>
      <c r="D155" t="s">
        <v>852</v>
      </c>
    </row>
    <row r="156" spans="1:4" x14ac:dyDescent="0.25">
      <c r="A156" s="143">
        <v>41654</v>
      </c>
      <c r="B156">
        <v>187.74</v>
      </c>
      <c r="C156">
        <v>4.8292909999999996</v>
      </c>
      <c r="D156" t="s">
        <v>852</v>
      </c>
    </row>
    <row r="157" spans="1:4" x14ac:dyDescent="0.25">
      <c r="A157" s="143">
        <v>41655</v>
      </c>
      <c r="B157">
        <v>188.76</v>
      </c>
      <c r="C157">
        <v>4.7751669999999997</v>
      </c>
      <c r="D157" t="s">
        <v>852</v>
      </c>
    </row>
    <row r="158" spans="1:4" x14ac:dyDescent="0.25">
      <c r="A158" s="143">
        <v>41656</v>
      </c>
      <c r="B158">
        <v>190.09</v>
      </c>
      <c r="C158">
        <v>7.6711460000000002</v>
      </c>
      <c r="D158" t="s">
        <v>852</v>
      </c>
    </row>
    <row r="159" spans="1:4" x14ac:dyDescent="0.25">
      <c r="A159" s="143">
        <v>41660</v>
      </c>
      <c r="B159">
        <v>188.43</v>
      </c>
      <c r="C159">
        <v>11.121409999999999</v>
      </c>
      <c r="D159" t="s">
        <v>852</v>
      </c>
    </row>
    <row r="160" spans="1:4" x14ac:dyDescent="0.25">
      <c r="A160" s="143">
        <v>41661</v>
      </c>
      <c r="B160">
        <v>182.25</v>
      </c>
      <c r="C160">
        <v>13.800585999999999</v>
      </c>
      <c r="D160" t="s">
        <v>852</v>
      </c>
    </row>
    <row r="161" spans="1:4" x14ac:dyDescent="0.25">
      <c r="A161" s="143">
        <v>41662</v>
      </c>
      <c r="B161">
        <v>182.73</v>
      </c>
      <c r="C161">
        <v>6.9743339999999998</v>
      </c>
      <c r="D161" t="s">
        <v>852</v>
      </c>
    </row>
    <row r="162" spans="1:4" x14ac:dyDescent="0.25">
      <c r="A162" s="143">
        <v>41663</v>
      </c>
      <c r="B162">
        <v>179.64</v>
      </c>
      <c r="C162">
        <v>6.9387679999999996</v>
      </c>
      <c r="D162" t="s">
        <v>852</v>
      </c>
    </row>
    <row r="163" spans="1:4" x14ac:dyDescent="0.25">
      <c r="A163" s="143">
        <v>41666</v>
      </c>
      <c r="B163">
        <v>177.9</v>
      </c>
      <c r="C163">
        <v>5.209244</v>
      </c>
      <c r="D163" t="s">
        <v>852</v>
      </c>
    </row>
    <row r="164" spans="1:4" x14ac:dyDescent="0.25">
      <c r="A164" s="143">
        <v>41667</v>
      </c>
      <c r="B164">
        <v>176.85</v>
      </c>
      <c r="C164">
        <v>5.336989</v>
      </c>
      <c r="D164" t="s">
        <v>852</v>
      </c>
    </row>
    <row r="165" spans="1:4" x14ac:dyDescent="0.25">
      <c r="A165" s="143">
        <v>41668</v>
      </c>
      <c r="B165">
        <v>176.4</v>
      </c>
      <c r="C165">
        <v>4.9711420000000004</v>
      </c>
      <c r="D165" t="s">
        <v>852</v>
      </c>
    </row>
    <row r="166" spans="1:4" x14ac:dyDescent="0.25">
      <c r="A166" s="143">
        <v>41669</v>
      </c>
      <c r="B166">
        <v>177.36</v>
      </c>
      <c r="C166">
        <v>4.8543969999999996</v>
      </c>
      <c r="D166" t="s">
        <v>852</v>
      </c>
    </row>
    <row r="167" spans="1:4" x14ac:dyDescent="0.25">
      <c r="A167" s="143">
        <v>41670</v>
      </c>
      <c r="B167">
        <v>176.68</v>
      </c>
      <c r="C167">
        <v>5.1953810000000002</v>
      </c>
      <c r="D167" t="s">
        <v>852</v>
      </c>
    </row>
    <row r="168" spans="1:4" x14ac:dyDescent="0.25">
      <c r="A168" s="143">
        <v>41673</v>
      </c>
      <c r="B168">
        <v>172.9</v>
      </c>
      <c r="C168">
        <v>7.187767</v>
      </c>
      <c r="D168" t="s">
        <v>852</v>
      </c>
    </row>
    <row r="169" spans="1:4" x14ac:dyDescent="0.25">
      <c r="A169" s="143">
        <v>41674</v>
      </c>
      <c r="B169">
        <v>172.84</v>
      </c>
      <c r="C169">
        <v>4.3511800000000003</v>
      </c>
      <c r="D169" t="s">
        <v>852</v>
      </c>
    </row>
    <row r="170" spans="1:4" x14ac:dyDescent="0.25">
      <c r="A170" s="143">
        <v>41675</v>
      </c>
      <c r="B170">
        <v>174.24</v>
      </c>
      <c r="C170">
        <v>4.7143750000000004</v>
      </c>
      <c r="D170" t="s">
        <v>852</v>
      </c>
    </row>
    <row r="171" spans="1:4" x14ac:dyDescent="0.25">
      <c r="A171" s="143">
        <v>41676</v>
      </c>
      <c r="B171">
        <v>174.67</v>
      </c>
      <c r="C171">
        <v>4.292478</v>
      </c>
      <c r="D171" t="s">
        <v>852</v>
      </c>
    </row>
    <row r="172" spans="1:4" x14ac:dyDescent="0.25">
      <c r="A172" s="143">
        <v>41677</v>
      </c>
      <c r="B172">
        <v>177.25</v>
      </c>
      <c r="C172">
        <v>4.7256470000000004</v>
      </c>
      <c r="D172" t="s">
        <v>852</v>
      </c>
    </row>
    <row r="173" spans="1:4" x14ac:dyDescent="0.25">
      <c r="A173" s="143">
        <v>41680</v>
      </c>
      <c r="B173">
        <v>177.14</v>
      </c>
      <c r="C173">
        <v>3.544486</v>
      </c>
      <c r="D173" t="s">
        <v>852</v>
      </c>
    </row>
    <row r="174" spans="1:4" x14ac:dyDescent="0.25">
      <c r="A174" s="143">
        <v>41681</v>
      </c>
      <c r="B174">
        <v>179.7</v>
      </c>
      <c r="C174">
        <v>4.6542070000000004</v>
      </c>
      <c r="D174" t="s">
        <v>852</v>
      </c>
    </row>
    <row r="175" spans="1:4" x14ac:dyDescent="0.25">
      <c r="A175" s="143">
        <v>41682</v>
      </c>
      <c r="B175">
        <v>180.24</v>
      </c>
      <c r="C175">
        <v>3.9841479999999998</v>
      </c>
      <c r="D175" t="s">
        <v>852</v>
      </c>
    </row>
    <row r="176" spans="1:4" x14ac:dyDescent="0.25">
      <c r="A176" s="143">
        <v>41683</v>
      </c>
      <c r="B176">
        <v>181.84</v>
      </c>
      <c r="C176">
        <v>4.482761</v>
      </c>
      <c r="D176" t="s">
        <v>852</v>
      </c>
    </row>
    <row r="177" spans="1:4" x14ac:dyDescent="0.25">
      <c r="A177" s="143">
        <v>41684</v>
      </c>
      <c r="B177">
        <v>183.69</v>
      </c>
      <c r="C177">
        <v>4.6658730000000004</v>
      </c>
      <c r="D177" t="s">
        <v>852</v>
      </c>
    </row>
    <row r="178" spans="1:4" x14ac:dyDescent="0.25">
      <c r="A178" s="143">
        <v>41688</v>
      </c>
      <c r="B178">
        <v>183.19</v>
      </c>
      <c r="C178">
        <v>4.4354839999999998</v>
      </c>
      <c r="D178" t="s">
        <v>852</v>
      </c>
    </row>
    <row r="179" spans="1:4" x14ac:dyDescent="0.25">
      <c r="A179" s="143">
        <v>41689</v>
      </c>
      <c r="B179">
        <v>182.95</v>
      </c>
      <c r="C179">
        <v>4.6717050000000002</v>
      </c>
      <c r="D179" t="s">
        <v>852</v>
      </c>
    </row>
    <row r="180" spans="1:4" x14ac:dyDescent="0.25">
      <c r="A180" s="143">
        <v>41690</v>
      </c>
      <c r="B180">
        <v>184.26</v>
      </c>
      <c r="C180">
        <v>4.968267</v>
      </c>
      <c r="D180" t="s">
        <v>852</v>
      </c>
    </row>
    <row r="181" spans="1:4" x14ac:dyDescent="0.25">
      <c r="A181" s="143">
        <v>41691</v>
      </c>
      <c r="B181">
        <v>182.79</v>
      </c>
      <c r="C181">
        <v>5.6993309999999999</v>
      </c>
      <c r="D181" t="s">
        <v>852</v>
      </c>
    </row>
    <row r="182" spans="1:4" x14ac:dyDescent="0.25">
      <c r="A182" s="143">
        <v>41694</v>
      </c>
      <c r="B182">
        <v>183.45</v>
      </c>
      <c r="C182">
        <v>4.5953119999999998</v>
      </c>
      <c r="D182" t="s">
        <v>852</v>
      </c>
    </row>
    <row r="183" spans="1:4" x14ac:dyDescent="0.25">
      <c r="A183" s="143">
        <v>41695</v>
      </c>
      <c r="B183">
        <v>183.23</v>
      </c>
      <c r="C183">
        <v>3.9023319999999999</v>
      </c>
      <c r="D183" t="s">
        <v>852</v>
      </c>
    </row>
    <row r="184" spans="1:4" x14ac:dyDescent="0.25">
      <c r="A184" s="143">
        <v>41696</v>
      </c>
      <c r="B184">
        <v>184.06</v>
      </c>
      <c r="C184">
        <v>3.7408839999999999</v>
      </c>
      <c r="D184" t="s">
        <v>852</v>
      </c>
    </row>
    <row r="185" spans="1:4" x14ac:dyDescent="0.25">
      <c r="A185" s="143">
        <v>41697</v>
      </c>
      <c r="B185">
        <v>185.27</v>
      </c>
      <c r="C185">
        <v>3.8279649999999998</v>
      </c>
      <c r="D185" t="s">
        <v>852</v>
      </c>
    </row>
    <row r="186" spans="1:4" x14ac:dyDescent="0.25">
      <c r="A186" s="143">
        <v>41698</v>
      </c>
      <c r="B186">
        <v>185.17</v>
      </c>
      <c r="C186">
        <v>4.6684520000000003</v>
      </c>
      <c r="D186" t="s">
        <v>852</v>
      </c>
    </row>
    <row r="187" spans="1:4" x14ac:dyDescent="0.25">
      <c r="A187" s="143">
        <v>41701</v>
      </c>
      <c r="B187">
        <v>184.26</v>
      </c>
      <c r="C187">
        <v>3.9527040000000002</v>
      </c>
      <c r="D187" t="s">
        <v>852</v>
      </c>
    </row>
    <row r="188" spans="1:4" x14ac:dyDescent="0.25">
      <c r="A188" s="143">
        <v>41702</v>
      </c>
      <c r="B188">
        <v>186.44</v>
      </c>
      <c r="C188">
        <v>4.734235</v>
      </c>
      <c r="D188" t="s">
        <v>852</v>
      </c>
    </row>
    <row r="189" spans="1:4" x14ac:dyDescent="0.25">
      <c r="A189" s="143">
        <v>41703</v>
      </c>
      <c r="B189">
        <v>187.14</v>
      </c>
      <c r="C189">
        <v>3.4873590000000001</v>
      </c>
      <c r="D189" t="s">
        <v>852</v>
      </c>
    </row>
    <row r="190" spans="1:4" x14ac:dyDescent="0.25">
      <c r="A190" s="143">
        <v>41704</v>
      </c>
      <c r="B190">
        <v>187.64</v>
      </c>
      <c r="C190">
        <v>3.817529</v>
      </c>
      <c r="D190" t="s">
        <v>852</v>
      </c>
    </row>
    <row r="191" spans="1:4" x14ac:dyDescent="0.25">
      <c r="A191" s="143">
        <v>41705</v>
      </c>
      <c r="B191">
        <v>187.68</v>
      </c>
      <c r="C191">
        <v>4.117826</v>
      </c>
      <c r="D191" t="s">
        <v>852</v>
      </c>
    </row>
    <row r="192" spans="1:4" x14ac:dyDescent="0.25">
      <c r="A192" s="143">
        <v>41708</v>
      </c>
      <c r="B192">
        <v>186.39</v>
      </c>
      <c r="C192">
        <v>4.5940539999999999</v>
      </c>
      <c r="D192" t="s">
        <v>852</v>
      </c>
    </row>
    <row r="193" spans="1:4" x14ac:dyDescent="0.25">
      <c r="A193" s="143">
        <v>41709</v>
      </c>
      <c r="B193">
        <v>186.76</v>
      </c>
      <c r="C193">
        <v>4.229679</v>
      </c>
      <c r="D193" t="s">
        <v>852</v>
      </c>
    </row>
    <row r="194" spans="1:4" x14ac:dyDescent="0.25">
      <c r="A194" s="143">
        <v>41710</v>
      </c>
      <c r="B194">
        <v>186.22</v>
      </c>
      <c r="C194">
        <v>4.8331580000000001</v>
      </c>
      <c r="D194" t="s">
        <v>852</v>
      </c>
    </row>
    <row r="195" spans="1:4" x14ac:dyDescent="0.25">
      <c r="A195" s="143">
        <v>41711</v>
      </c>
      <c r="B195">
        <v>183.9</v>
      </c>
      <c r="C195">
        <v>4.913208</v>
      </c>
      <c r="D195" t="s">
        <v>852</v>
      </c>
    </row>
    <row r="196" spans="1:4" x14ac:dyDescent="0.25">
      <c r="A196" s="143">
        <v>41712</v>
      </c>
      <c r="B196">
        <v>182.21</v>
      </c>
      <c r="C196">
        <v>5.4903259999999996</v>
      </c>
      <c r="D196" t="s">
        <v>852</v>
      </c>
    </row>
    <row r="197" spans="1:4" x14ac:dyDescent="0.25">
      <c r="A197" s="143">
        <v>41715</v>
      </c>
      <c r="B197">
        <v>185.81</v>
      </c>
      <c r="C197">
        <v>4.9387540000000003</v>
      </c>
      <c r="D197" t="s">
        <v>852</v>
      </c>
    </row>
    <row r="198" spans="1:4" x14ac:dyDescent="0.25">
      <c r="A198" s="143">
        <v>41716</v>
      </c>
      <c r="B198">
        <v>186.81</v>
      </c>
      <c r="C198">
        <v>3.961319</v>
      </c>
      <c r="D198" t="s">
        <v>852</v>
      </c>
    </row>
    <row r="199" spans="1:4" x14ac:dyDescent="0.25">
      <c r="A199" s="143">
        <v>41717</v>
      </c>
      <c r="B199">
        <v>184.71</v>
      </c>
      <c r="C199">
        <v>4.3239299999999998</v>
      </c>
      <c r="D199" t="s">
        <v>852</v>
      </c>
    </row>
    <row r="200" spans="1:4" x14ac:dyDescent="0.25">
      <c r="A200" s="143">
        <v>41718</v>
      </c>
      <c r="B200">
        <v>187.9</v>
      </c>
      <c r="C200">
        <v>5.0626290000000003</v>
      </c>
      <c r="D200" t="s">
        <v>852</v>
      </c>
    </row>
    <row r="201" spans="1:4" x14ac:dyDescent="0.25">
      <c r="A201" s="143">
        <v>41719</v>
      </c>
      <c r="B201">
        <v>186.67</v>
      </c>
      <c r="C201">
        <v>12.535280999999999</v>
      </c>
      <c r="D201" t="s">
        <v>852</v>
      </c>
    </row>
    <row r="202" spans="1:4" x14ac:dyDescent="0.25">
      <c r="A202" s="143">
        <v>41722</v>
      </c>
      <c r="B202">
        <v>188.25</v>
      </c>
      <c r="C202">
        <v>5.7384919999999999</v>
      </c>
      <c r="D202" t="s">
        <v>852</v>
      </c>
    </row>
    <row r="203" spans="1:4" x14ac:dyDescent="0.25">
      <c r="A203" s="143">
        <v>41723</v>
      </c>
      <c r="B203">
        <v>195.04</v>
      </c>
      <c r="C203">
        <v>10.912699</v>
      </c>
      <c r="D203" t="s">
        <v>852</v>
      </c>
    </row>
    <row r="204" spans="1:4" x14ac:dyDescent="0.25">
      <c r="A204" s="143">
        <v>41724</v>
      </c>
      <c r="B204">
        <v>192.62</v>
      </c>
      <c r="C204">
        <v>6.8517720000000004</v>
      </c>
      <c r="D204" t="s">
        <v>852</v>
      </c>
    </row>
    <row r="205" spans="1:4" x14ac:dyDescent="0.25">
      <c r="A205" s="143">
        <v>41725</v>
      </c>
      <c r="B205">
        <v>189.83</v>
      </c>
      <c r="C205">
        <v>6.7676530000000001</v>
      </c>
      <c r="D205" t="s">
        <v>852</v>
      </c>
    </row>
    <row r="206" spans="1:4" x14ac:dyDescent="0.25">
      <c r="A206" s="143">
        <v>41726</v>
      </c>
      <c r="B206">
        <v>190.45</v>
      </c>
      <c r="C206">
        <v>5.1944429999999997</v>
      </c>
      <c r="D206" t="s">
        <v>852</v>
      </c>
    </row>
    <row r="207" spans="1:4" x14ac:dyDescent="0.25">
      <c r="A207" s="143">
        <v>41729</v>
      </c>
      <c r="B207">
        <v>192.49</v>
      </c>
      <c r="C207">
        <v>8.5377460000000003</v>
      </c>
      <c r="D207" t="s">
        <v>852</v>
      </c>
    </row>
    <row r="208" spans="1:4" x14ac:dyDescent="0.25">
      <c r="A208" s="143">
        <v>41730</v>
      </c>
      <c r="B208">
        <v>194.5</v>
      </c>
      <c r="C208">
        <v>5.395346</v>
      </c>
      <c r="D208" t="s">
        <v>852</v>
      </c>
    </row>
    <row r="209" spans="1:4" x14ac:dyDescent="0.25">
      <c r="A209" s="143">
        <v>41731</v>
      </c>
      <c r="B209">
        <v>193.55</v>
      </c>
      <c r="C209">
        <v>4.9241330000000003</v>
      </c>
      <c r="D209" t="s">
        <v>852</v>
      </c>
    </row>
    <row r="210" spans="1:4" x14ac:dyDescent="0.25">
      <c r="A210" s="143">
        <v>41732</v>
      </c>
      <c r="B210">
        <v>192.69</v>
      </c>
      <c r="C210">
        <v>4.0910599999999997</v>
      </c>
      <c r="D210" t="s">
        <v>852</v>
      </c>
    </row>
    <row r="211" spans="1:4" x14ac:dyDescent="0.25">
      <c r="A211" s="143">
        <v>41733</v>
      </c>
      <c r="B211">
        <v>191.77</v>
      </c>
      <c r="C211">
        <v>6.0894560000000002</v>
      </c>
      <c r="D211" t="s">
        <v>852</v>
      </c>
    </row>
    <row r="212" spans="1:4" x14ac:dyDescent="0.25">
      <c r="A212" s="143">
        <v>41736</v>
      </c>
      <c r="B212">
        <v>194.52</v>
      </c>
      <c r="C212">
        <v>6.7470800000000004</v>
      </c>
      <c r="D212" t="s">
        <v>852</v>
      </c>
    </row>
    <row r="213" spans="1:4" x14ac:dyDescent="0.25">
      <c r="A213" s="143">
        <v>41737</v>
      </c>
      <c r="B213">
        <v>193.29</v>
      </c>
      <c r="C213">
        <v>5.1250010000000001</v>
      </c>
      <c r="D213" t="s">
        <v>852</v>
      </c>
    </row>
    <row r="214" spans="1:4" x14ac:dyDescent="0.25">
      <c r="A214" s="143">
        <v>41738</v>
      </c>
      <c r="B214">
        <v>196.64</v>
      </c>
      <c r="C214">
        <v>5.4851239999999999</v>
      </c>
      <c r="D214" t="s">
        <v>852</v>
      </c>
    </row>
    <row r="215" spans="1:4" x14ac:dyDescent="0.25">
      <c r="A215" s="143">
        <v>41739</v>
      </c>
      <c r="B215">
        <v>195.68</v>
      </c>
      <c r="C215">
        <v>8.4256010000000003</v>
      </c>
      <c r="D215" t="s">
        <v>852</v>
      </c>
    </row>
    <row r="216" spans="1:4" x14ac:dyDescent="0.25">
      <c r="A216" s="143">
        <v>41740</v>
      </c>
      <c r="B216">
        <v>195.19</v>
      </c>
      <c r="C216">
        <v>4.8352139999999997</v>
      </c>
      <c r="D216" t="s">
        <v>852</v>
      </c>
    </row>
    <row r="217" spans="1:4" x14ac:dyDescent="0.25">
      <c r="A217" s="143">
        <v>41743</v>
      </c>
      <c r="B217">
        <v>197.77</v>
      </c>
      <c r="C217">
        <v>5.4336209999999996</v>
      </c>
      <c r="D217" t="s">
        <v>852</v>
      </c>
    </row>
    <row r="218" spans="1:4" x14ac:dyDescent="0.25">
      <c r="A218" s="143">
        <v>41744</v>
      </c>
      <c r="B218">
        <v>197.02</v>
      </c>
      <c r="C218">
        <v>5.3531769999999996</v>
      </c>
      <c r="D218" t="s">
        <v>852</v>
      </c>
    </row>
    <row r="219" spans="1:4" x14ac:dyDescent="0.25">
      <c r="A219" s="143">
        <v>41745</v>
      </c>
      <c r="B219">
        <v>196.4</v>
      </c>
      <c r="C219">
        <v>8.5272950000000005</v>
      </c>
      <c r="D219" t="s">
        <v>852</v>
      </c>
    </row>
    <row r="220" spans="1:4" x14ac:dyDescent="0.25">
      <c r="A220" s="143">
        <v>41746</v>
      </c>
      <c r="B220">
        <v>190.01</v>
      </c>
      <c r="C220">
        <v>11.255493</v>
      </c>
      <c r="D220" t="s">
        <v>852</v>
      </c>
    </row>
    <row r="221" spans="1:4" x14ac:dyDescent="0.25">
      <c r="A221" s="143">
        <v>41750</v>
      </c>
      <c r="B221">
        <v>192.27</v>
      </c>
      <c r="C221">
        <v>5.4252830000000003</v>
      </c>
      <c r="D221" t="s">
        <v>852</v>
      </c>
    </row>
    <row r="222" spans="1:4" x14ac:dyDescent="0.25">
      <c r="A222" s="143">
        <v>41751</v>
      </c>
      <c r="B222">
        <v>192.15</v>
      </c>
      <c r="C222">
        <v>3.878619</v>
      </c>
      <c r="D222" t="s">
        <v>852</v>
      </c>
    </row>
    <row r="223" spans="1:4" x14ac:dyDescent="0.25">
      <c r="A223" s="143">
        <v>41752</v>
      </c>
      <c r="B223">
        <v>191.73</v>
      </c>
      <c r="C223">
        <v>4.7369190000000003</v>
      </c>
      <c r="D223" t="s">
        <v>852</v>
      </c>
    </row>
    <row r="224" spans="1:4" x14ac:dyDescent="0.25">
      <c r="A224" s="143">
        <v>41753</v>
      </c>
      <c r="B224">
        <v>190.22</v>
      </c>
      <c r="C224">
        <v>4.4073520000000004</v>
      </c>
      <c r="D224" t="s">
        <v>852</v>
      </c>
    </row>
    <row r="225" spans="1:4" x14ac:dyDescent="0.25">
      <c r="A225" s="143">
        <v>41754</v>
      </c>
      <c r="B225">
        <v>189.63</v>
      </c>
      <c r="C225">
        <v>3.871407</v>
      </c>
      <c r="D225" t="s">
        <v>852</v>
      </c>
    </row>
    <row r="226" spans="1:4" x14ac:dyDescent="0.25">
      <c r="A226" s="143">
        <v>41757</v>
      </c>
      <c r="B226">
        <v>193.14</v>
      </c>
      <c r="C226">
        <v>5.6383340000000004</v>
      </c>
      <c r="D226" t="s">
        <v>852</v>
      </c>
    </row>
    <row r="227" spans="1:4" x14ac:dyDescent="0.25">
      <c r="A227" s="143">
        <v>41758</v>
      </c>
      <c r="B227">
        <v>195.11</v>
      </c>
      <c r="C227">
        <v>4.6263519999999998</v>
      </c>
      <c r="D227" t="s">
        <v>852</v>
      </c>
    </row>
    <row r="228" spans="1:4" x14ac:dyDescent="0.25">
      <c r="A228" s="143">
        <v>41759</v>
      </c>
      <c r="B228">
        <v>196.47</v>
      </c>
      <c r="C228">
        <v>4.211284</v>
      </c>
      <c r="D228" t="s">
        <v>852</v>
      </c>
    </row>
    <row r="229" spans="1:4" x14ac:dyDescent="0.25">
      <c r="A229" s="143">
        <v>41760</v>
      </c>
      <c r="B229">
        <v>193.53</v>
      </c>
      <c r="C229">
        <v>3.6758229999999998</v>
      </c>
      <c r="D229" t="s">
        <v>852</v>
      </c>
    </row>
    <row r="230" spans="1:4" x14ac:dyDescent="0.25">
      <c r="A230" s="143">
        <v>41761</v>
      </c>
      <c r="B230">
        <v>191.44</v>
      </c>
      <c r="C230">
        <v>3.052953</v>
      </c>
      <c r="D230" t="s">
        <v>852</v>
      </c>
    </row>
    <row r="231" spans="1:4" x14ac:dyDescent="0.25">
      <c r="A231" s="143">
        <v>41764</v>
      </c>
      <c r="B231">
        <v>191.26</v>
      </c>
      <c r="C231">
        <v>2.2221679999999999</v>
      </c>
      <c r="D231" t="s">
        <v>852</v>
      </c>
    </row>
    <row r="232" spans="1:4" x14ac:dyDescent="0.25">
      <c r="A232" s="143">
        <v>41765</v>
      </c>
      <c r="B232">
        <v>190.03</v>
      </c>
      <c r="C232">
        <v>3.1887059999999998</v>
      </c>
      <c r="D232" t="s">
        <v>852</v>
      </c>
    </row>
    <row r="233" spans="1:4" x14ac:dyDescent="0.25">
      <c r="A233" s="143">
        <v>41766</v>
      </c>
      <c r="B233">
        <v>189.3</v>
      </c>
      <c r="C233">
        <v>3.8210229999999998</v>
      </c>
      <c r="D233" t="s">
        <v>852</v>
      </c>
    </row>
    <row r="234" spans="1:4" x14ac:dyDescent="0.25">
      <c r="A234" s="143">
        <v>41767</v>
      </c>
      <c r="B234">
        <v>188.91</v>
      </c>
      <c r="C234">
        <v>2.4319449999999998</v>
      </c>
      <c r="D234" t="s">
        <v>852</v>
      </c>
    </row>
    <row r="235" spans="1:4" x14ac:dyDescent="0.25">
      <c r="A235" s="143">
        <v>41768</v>
      </c>
      <c r="B235">
        <v>190.08</v>
      </c>
      <c r="C235">
        <v>2.2617389999999999</v>
      </c>
      <c r="D235" t="s">
        <v>852</v>
      </c>
    </row>
    <row r="236" spans="1:4" x14ac:dyDescent="0.25">
      <c r="A236" s="143">
        <v>41771</v>
      </c>
      <c r="B236">
        <v>192.57</v>
      </c>
      <c r="C236">
        <v>3.7786110000000002</v>
      </c>
      <c r="D236" t="s">
        <v>852</v>
      </c>
    </row>
    <row r="237" spans="1:4" x14ac:dyDescent="0.25">
      <c r="A237" s="143">
        <v>41772</v>
      </c>
      <c r="B237">
        <v>192.19</v>
      </c>
      <c r="C237">
        <v>2.2269969999999999</v>
      </c>
      <c r="D237" t="s">
        <v>852</v>
      </c>
    </row>
    <row r="238" spans="1:4" x14ac:dyDescent="0.25">
      <c r="A238" s="143">
        <v>41773</v>
      </c>
      <c r="B238">
        <v>188.72</v>
      </c>
      <c r="C238">
        <v>5.2559699999999996</v>
      </c>
      <c r="D238" t="s">
        <v>852</v>
      </c>
    </row>
    <row r="239" spans="1:4" x14ac:dyDescent="0.25">
      <c r="A239" s="143">
        <v>41774</v>
      </c>
      <c r="B239">
        <v>186.46</v>
      </c>
      <c r="C239">
        <v>4.2025560000000004</v>
      </c>
      <c r="D239" t="s">
        <v>852</v>
      </c>
    </row>
    <row r="240" spans="1:4" x14ac:dyDescent="0.25">
      <c r="A240" s="143">
        <v>41775</v>
      </c>
      <c r="B240">
        <v>187.06</v>
      </c>
      <c r="C240">
        <v>3.9496440000000002</v>
      </c>
      <c r="D240" t="s">
        <v>852</v>
      </c>
    </row>
    <row r="241" spans="1:4" x14ac:dyDescent="0.25">
      <c r="A241" s="143">
        <v>41778</v>
      </c>
      <c r="B241">
        <v>187</v>
      </c>
      <c r="C241">
        <v>3.27067</v>
      </c>
      <c r="D241" t="s">
        <v>852</v>
      </c>
    </row>
    <row r="242" spans="1:4" x14ac:dyDescent="0.25">
      <c r="A242" s="143">
        <v>41779</v>
      </c>
      <c r="B242">
        <v>184.89</v>
      </c>
      <c r="C242">
        <v>3.032896</v>
      </c>
      <c r="D242" t="s">
        <v>852</v>
      </c>
    </row>
    <row r="243" spans="1:4" x14ac:dyDescent="0.25">
      <c r="A243" s="143">
        <v>41780</v>
      </c>
      <c r="B243">
        <v>186.39</v>
      </c>
      <c r="C243">
        <v>2.9883479999999998</v>
      </c>
      <c r="D243" t="s">
        <v>852</v>
      </c>
    </row>
    <row r="244" spans="1:4" x14ac:dyDescent="0.25">
      <c r="A244" s="143">
        <v>41781</v>
      </c>
      <c r="B244">
        <v>185.68</v>
      </c>
      <c r="C244">
        <v>2.2181489999999999</v>
      </c>
      <c r="D244" t="s">
        <v>852</v>
      </c>
    </row>
    <row r="245" spans="1:4" x14ac:dyDescent="0.25">
      <c r="A245" s="143">
        <v>41782</v>
      </c>
      <c r="B245">
        <v>185.94</v>
      </c>
      <c r="C245">
        <v>2.5634239999999999</v>
      </c>
      <c r="D245" t="s">
        <v>852</v>
      </c>
    </row>
    <row r="246" spans="1:4" x14ac:dyDescent="0.25">
      <c r="A246" s="143">
        <v>41786</v>
      </c>
      <c r="B246">
        <v>184.78</v>
      </c>
      <c r="C246">
        <v>4.7945010000000003</v>
      </c>
      <c r="D246" t="s">
        <v>852</v>
      </c>
    </row>
    <row r="247" spans="1:4" x14ac:dyDescent="0.25">
      <c r="A247" s="143">
        <v>41787</v>
      </c>
      <c r="B247">
        <v>183.08</v>
      </c>
      <c r="C247">
        <v>3.7241240000000002</v>
      </c>
      <c r="D247" t="s">
        <v>852</v>
      </c>
    </row>
    <row r="248" spans="1:4" x14ac:dyDescent="0.25">
      <c r="A248" s="143">
        <v>41788</v>
      </c>
      <c r="B248">
        <v>183.76</v>
      </c>
      <c r="C248">
        <v>2.7599779999999998</v>
      </c>
      <c r="D248" t="s">
        <v>852</v>
      </c>
    </row>
    <row r="249" spans="1:4" x14ac:dyDescent="0.25">
      <c r="A249" s="143">
        <v>41789</v>
      </c>
      <c r="B249">
        <v>184.36</v>
      </c>
      <c r="C249">
        <v>4.6202069999999997</v>
      </c>
      <c r="D249" t="s">
        <v>852</v>
      </c>
    </row>
    <row r="250" spans="1:4" x14ac:dyDescent="0.25">
      <c r="A250" s="143">
        <v>41792</v>
      </c>
      <c r="B250">
        <v>185.69</v>
      </c>
      <c r="C250">
        <v>3.204034</v>
      </c>
      <c r="D250" t="s">
        <v>852</v>
      </c>
    </row>
    <row r="251" spans="1:4" x14ac:dyDescent="0.25">
      <c r="A251" s="143">
        <v>41793</v>
      </c>
      <c r="B251">
        <v>184.37</v>
      </c>
      <c r="C251">
        <v>2.5171230000000002</v>
      </c>
      <c r="D251" t="s">
        <v>852</v>
      </c>
    </row>
    <row r="252" spans="1:4" x14ac:dyDescent="0.25">
      <c r="A252" s="143">
        <v>41794</v>
      </c>
      <c r="B252">
        <v>184.51</v>
      </c>
      <c r="C252">
        <v>2.3769809999999998</v>
      </c>
      <c r="D252" t="s">
        <v>852</v>
      </c>
    </row>
    <row r="253" spans="1:4" x14ac:dyDescent="0.25">
      <c r="A253" s="143">
        <v>41795</v>
      </c>
      <c r="B253">
        <v>185.98</v>
      </c>
      <c r="C253">
        <v>2.861974</v>
      </c>
      <c r="D253" t="s">
        <v>852</v>
      </c>
    </row>
    <row r="254" spans="1:4" x14ac:dyDescent="0.25">
      <c r="A254" s="143">
        <v>41796</v>
      </c>
      <c r="B254">
        <v>186.37</v>
      </c>
      <c r="C254">
        <v>3.2968999999999999</v>
      </c>
      <c r="D254" t="s">
        <v>852</v>
      </c>
    </row>
    <row r="255" spans="1:4" x14ac:dyDescent="0.25">
      <c r="A255" s="143">
        <v>41799</v>
      </c>
      <c r="B255">
        <v>186.22</v>
      </c>
      <c r="C255">
        <v>2.7284030000000001</v>
      </c>
      <c r="D255" t="s">
        <v>852</v>
      </c>
    </row>
    <row r="256" spans="1:4" x14ac:dyDescent="0.25">
      <c r="A256" s="143">
        <v>41800</v>
      </c>
      <c r="B256">
        <v>184.29</v>
      </c>
      <c r="C256">
        <v>4.1570619999999998</v>
      </c>
      <c r="D256" t="s">
        <v>852</v>
      </c>
    </row>
    <row r="257" spans="1:4" x14ac:dyDescent="0.25">
      <c r="A257" s="143">
        <v>41801</v>
      </c>
      <c r="B257">
        <v>182.25</v>
      </c>
      <c r="C257">
        <v>4.0653100000000002</v>
      </c>
      <c r="D257" t="s">
        <v>852</v>
      </c>
    </row>
    <row r="258" spans="1:4" x14ac:dyDescent="0.25">
      <c r="A258" s="143">
        <v>41802</v>
      </c>
      <c r="B258">
        <v>181.22</v>
      </c>
      <c r="C258">
        <v>4.4254910000000001</v>
      </c>
      <c r="D258" t="s">
        <v>852</v>
      </c>
    </row>
    <row r="259" spans="1:4" x14ac:dyDescent="0.25">
      <c r="A259" s="143">
        <v>41803</v>
      </c>
      <c r="B259">
        <v>182.56</v>
      </c>
      <c r="C259">
        <v>2.7789839999999999</v>
      </c>
      <c r="D259" t="s">
        <v>852</v>
      </c>
    </row>
    <row r="260" spans="1:4" x14ac:dyDescent="0.25">
      <c r="A260" s="143">
        <v>41806</v>
      </c>
      <c r="B260">
        <v>182.35</v>
      </c>
      <c r="C260">
        <v>3.5562179999999999</v>
      </c>
      <c r="D260" t="s">
        <v>852</v>
      </c>
    </row>
    <row r="261" spans="1:4" x14ac:dyDescent="0.25">
      <c r="A261" s="143">
        <v>41807</v>
      </c>
      <c r="B261">
        <v>182.26</v>
      </c>
      <c r="C261">
        <v>2.4608569999999999</v>
      </c>
      <c r="D261" t="s">
        <v>852</v>
      </c>
    </row>
    <row r="262" spans="1:4" x14ac:dyDescent="0.25">
      <c r="A262" s="143">
        <v>41808</v>
      </c>
      <c r="B262">
        <v>183.6</v>
      </c>
      <c r="C262">
        <v>3.9356529999999998</v>
      </c>
      <c r="D262" t="s">
        <v>852</v>
      </c>
    </row>
    <row r="263" spans="1:4" x14ac:dyDescent="0.25">
      <c r="A263" s="143">
        <v>41809</v>
      </c>
      <c r="B263">
        <v>182.82</v>
      </c>
      <c r="C263">
        <v>3.5512760000000001</v>
      </c>
      <c r="D263" t="s">
        <v>852</v>
      </c>
    </row>
    <row r="264" spans="1:4" x14ac:dyDescent="0.25">
      <c r="A264" s="143">
        <v>41810</v>
      </c>
      <c r="B264">
        <v>181.55</v>
      </c>
      <c r="C264">
        <v>10.686833999999999</v>
      </c>
      <c r="D264" t="s">
        <v>852</v>
      </c>
    </row>
    <row r="265" spans="1:4" x14ac:dyDescent="0.25">
      <c r="A265" s="143">
        <v>41813</v>
      </c>
      <c r="B265">
        <v>182.14</v>
      </c>
      <c r="C265">
        <v>3.2316989999999999</v>
      </c>
      <c r="D265" t="s">
        <v>852</v>
      </c>
    </row>
    <row r="266" spans="1:4" x14ac:dyDescent="0.25">
      <c r="A266" s="143">
        <v>41814</v>
      </c>
      <c r="B266">
        <v>180.88</v>
      </c>
      <c r="C266">
        <v>3.8754529999999998</v>
      </c>
      <c r="D266" t="s">
        <v>852</v>
      </c>
    </row>
    <row r="267" spans="1:4" x14ac:dyDescent="0.25">
      <c r="A267" s="143">
        <v>41815</v>
      </c>
      <c r="B267">
        <v>180.72</v>
      </c>
      <c r="C267">
        <v>2.76302</v>
      </c>
      <c r="D267" t="s">
        <v>852</v>
      </c>
    </row>
    <row r="268" spans="1:4" x14ac:dyDescent="0.25">
      <c r="A268" s="143">
        <v>41816</v>
      </c>
      <c r="B268">
        <v>180.37</v>
      </c>
      <c r="C268">
        <v>3.25847</v>
      </c>
      <c r="D268" t="s">
        <v>852</v>
      </c>
    </row>
    <row r="269" spans="1:4" x14ac:dyDescent="0.25">
      <c r="A269" s="143">
        <v>41817</v>
      </c>
      <c r="B269">
        <v>181.71</v>
      </c>
      <c r="C269">
        <v>4.5756800000000002</v>
      </c>
      <c r="D269" t="s">
        <v>852</v>
      </c>
    </row>
    <row r="270" spans="1:4" x14ac:dyDescent="0.25">
      <c r="A270" s="143">
        <v>41820</v>
      </c>
      <c r="B270">
        <v>181.27</v>
      </c>
      <c r="C270">
        <v>4.2288360000000003</v>
      </c>
      <c r="D270" t="s">
        <v>852</v>
      </c>
    </row>
    <row r="271" spans="1:4" x14ac:dyDescent="0.25">
      <c r="A271" s="143">
        <v>41821</v>
      </c>
      <c r="B271">
        <v>186.35</v>
      </c>
      <c r="C271">
        <v>6.6443630000000002</v>
      </c>
      <c r="D271" t="s">
        <v>852</v>
      </c>
    </row>
    <row r="272" spans="1:4" x14ac:dyDescent="0.25">
      <c r="A272" s="143">
        <v>41822</v>
      </c>
      <c r="B272">
        <v>188.39</v>
      </c>
      <c r="C272">
        <v>5.0971989999999998</v>
      </c>
      <c r="D272" t="s">
        <v>852</v>
      </c>
    </row>
    <row r="273" spans="1:4" x14ac:dyDescent="0.25">
      <c r="A273" s="143">
        <v>41823</v>
      </c>
      <c r="B273">
        <v>188.53</v>
      </c>
      <c r="C273">
        <v>2.4223629999999998</v>
      </c>
      <c r="D273" t="s">
        <v>852</v>
      </c>
    </row>
    <row r="274" spans="1:4" x14ac:dyDescent="0.25">
      <c r="A274" s="143">
        <v>41827</v>
      </c>
      <c r="B274">
        <v>188.04</v>
      </c>
      <c r="C274">
        <v>2.9589470000000002</v>
      </c>
      <c r="D274" t="s">
        <v>852</v>
      </c>
    </row>
    <row r="275" spans="1:4" x14ac:dyDescent="0.25">
      <c r="A275" s="143">
        <v>41828</v>
      </c>
      <c r="B275">
        <v>187.22</v>
      </c>
      <c r="C275">
        <v>3.1351149999999999</v>
      </c>
      <c r="D275" t="s">
        <v>852</v>
      </c>
    </row>
    <row r="276" spans="1:4" x14ac:dyDescent="0.25">
      <c r="A276" s="143">
        <v>41829</v>
      </c>
      <c r="B276">
        <v>188.42</v>
      </c>
      <c r="C276">
        <v>3.3095590000000001</v>
      </c>
      <c r="D276" t="s">
        <v>852</v>
      </c>
    </row>
    <row r="277" spans="1:4" x14ac:dyDescent="0.25">
      <c r="A277" s="143">
        <v>41830</v>
      </c>
      <c r="B277">
        <v>187.7</v>
      </c>
      <c r="C277">
        <v>3.177816</v>
      </c>
      <c r="D277" t="s">
        <v>852</v>
      </c>
    </row>
    <row r="278" spans="1:4" x14ac:dyDescent="0.25">
      <c r="A278" s="143">
        <v>41831</v>
      </c>
      <c r="B278">
        <v>188</v>
      </c>
      <c r="C278">
        <v>2.4038400000000002</v>
      </c>
      <c r="D278" t="s">
        <v>852</v>
      </c>
    </row>
    <row r="279" spans="1:4" x14ac:dyDescent="0.25">
      <c r="A279" s="143">
        <v>41834</v>
      </c>
      <c r="B279">
        <v>189.86</v>
      </c>
      <c r="C279">
        <v>4.5022019999999996</v>
      </c>
      <c r="D279" t="s">
        <v>852</v>
      </c>
    </row>
    <row r="280" spans="1:4" x14ac:dyDescent="0.25">
      <c r="A280" s="143">
        <v>41835</v>
      </c>
      <c r="B280">
        <v>188.49</v>
      </c>
      <c r="C280">
        <v>4.8734520000000003</v>
      </c>
      <c r="D280" t="s">
        <v>852</v>
      </c>
    </row>
    <row r="281" spans="1:4" x14ac:dyDescent="0.25">
      <c r="A281" s="143">
        <v>41836</v>
      </c>
      <c r="B281">
        <v>192.36</v>
      </c>
      <c r="C281">
        <v>7.8156480000000004</v>
      </c>
      <c r="D281" t="s">
        <v>852</v>
      </c>
    </row>
    <row r="282" spans="1:4" x14ac:dyDescent="0.25">
      <c r="A282" s="143">
        <v>41837</v>
      </c>
      <c r="B282">
        <v>192.49</v>
      </c>
      <c r="C282">
        <v>8.8722689999999993</v>
      </c>
      <c r="D282" t="s">
        <v>852</v>
      </c>
    </row>
    <row r="283" spans="1:4" x14ac:dyDescent="0.25">
      <c r="A283" s="143">
        <v>41838</v>
      </c>
      <c r="B283">
        <v>192.5</v>
      </c>
      <c r="C283">
        <v>8.1693250000000006</v>
      </c>
      <c r="D283" t="s">
        <v>852</v>
      </c>
    </row>
    <row r="284" spans="1:4" x14ac:dyDescent="0.25">
      <c r="A284" s="143">
        <v>41841</v>
      </c>
      <c r="B284">
        <v>190.85</v>
      </c>
      <c r="C284">
        <v>4.1547400000000003</v>
      </c>
      <c r="D284" t="s">
        <v>852</v>
      </c>
    </row>
    <row r="285" spans="1:4" x14ac:dyDescent="0.25">
      <c r="A285" s="143">
        <v>41842</v>
      </c>
      <c r="B285">
        <v>194.09</v>
      </c>
      <c r="C285">
        <v>4.8530410000000002</v>
      </c>
      <c r="D285" t="s">
        <v>852</v>
      </c>
    </row>
    <row r="286" spans="1:4" x14ac:dyDescent="0.25">
      <c r="A286" s="143">
        <v>41843</v>
      </c>
      <c r="B286">
        <v>193.63</v>
      </c>
      <c r="C286">
        <v>3.5844649999999998</v>
      </c>
      <c r="D286" t="s">
        <v>852</v>
      </c>
    </row>
    <row r="287" spans="1:4" x14ac:dyDescent="0.25">
      <c r="A287" s="143">
        <v>41844</v>
      </c>
      <c r="B287">
        <v>195.24</v>
      </c>
      <c r="C287">
        <v>3.6126559999999999</v>
      </c>
      <c r="D287" t="s">
        <v>852</v>
      </c>
    </row>
    <row r="288" spans="1:4" x14ac:dyDescent="0.25">
      <c r="A288" s="143">
        <v>41845</v>
      </c>
      <c r="B288">
        <v>194.4</v>
      </c>
      <c r="C288">
        <v>3.376455</v>
      </c>
      <c r="D288" t="s">
        <v>852</v>
      </c>
    </row>
    <row r="289" spans="1:4" x14ac:dyDescent="0.25">
      <c r="A289" s="143">
        <v>41848</v>
      </c>
      <c r="B289">
        <v>195.78</v>
      </c>
      <c r="C289">
        <v>3.2424430000000002</v>
      </c>
      <c r="D289" t="s">
        <v>852</v>
      </c>
    </row>
    <row r="290" spans="1:4" x14ac:dyDescent="0.25">
      <c r="A290" s="143">
        <v>41849</v>
      </c>
      <c r="B290">
        <v>194.57</v>
      </c>
      <c r="C290">
        <v>3.2644090000000001</v>
      </c>
      <c r="D290" t="s">
        <v>852</v>
      </c>
    </row>
    <row r="291" spans="1:4" x14ac:dyDescent="0.25">
      <c r="A291" s="143">
        <v>41850</v>
      </c>
      <c r="B291">
        <v>194</v>
      </c>
      <c r="C291">
        <v>3.9456009999999999</v>
      </c>
      <c r="D291" t="s">
        <v>852</v>
      </c>
    </row>
    <row r="292" spans="1:4" x14ac:dyDescent="0.25">
      <c r="A292" s="143">
        <v>41851</v>
      </c>
      <c r="B292">
        <v>191.67</v>
      </c>
      <c r="C292">
        <v>4.208005</v>
      </c>
      <c r="D292" t="s">
        <v>852</v>
      </c>
    </row>
    <row r="293" spans="1:4" x14ac:dyDescent="0.25">
      <c r="A293" s="143">
        <v>41852</v>
      </c>
      <c r="B293">
        <v>189.15</v>
      </c>
      <c r="C293">
        <v>5.1810799999999997</v>
      </c>
      <c r="D293" t="s">
        <v>852</v>
      </c>
    </row>
    <row r="294" spans="1:4" x14ac:dyDescent="0.25">
      <c r="A294" s="143">
        <v>41855</v>
      </c>
      <c r="B294">
        <v>189.64</v>
      </c>
      <c r="C294">
        <v>2.1259350000000001</v>
      </c>
      <c r="D294" t="s">
        <v>852</v>
      </c>
    </row>
    <row r="295" spans="1:4" x14ac:dyDescent="0.25">
      <c r="A295" s="143">
        <v>41856</v>
      </c>
      <c r="B295">
        <v>187.1</v>
      </c>
      <c r="C295">
        <v>3.3079450000000001</v>
      </c>
      <c r="D295" t="s">
        <v>852</v>
      </c>
    </row>
    <row r="296" spans="1:4" x14ac:dyDescent="0.25">
      <c r="A296" s="143">
        <v>41857</v>
      </c>
      <c r="B296">
        <v>185.97</v>
      </c>
      <c r="C296">
        <v>3.8470460000000002</v>
      </c>
      <c r="D296" t="s">
        <v>852</v>
      </c>
    </row>
    <row r="297" spans="1:4" x14ac:dyDescent="0.25">
      <c r="A297" s="143">
        <v>41858</v>
      </c>
      <c r="B297">
        <v>184.3</v>
      </c>
      <c r="C297">
        <v>2.7089349999999999</v>
      </c>
      <c r="D297" t="s">
        <v>852</v>
      </c>
    </row>
    <row r="298" spans="1:4" x14ac:dyDescent="0.25">
      <c r="A298" s="143">
        <v>41859</v>
      </c>
      <c r="B298">
        <v>186.63</v>
      </c>
      <c r="C298">
        <v>2.781936</v>
      </c>
      <c r="D298" t="s">
        <v>852</v>
      </c>
    </row>
    <row r="299" spans="1:4" x14ac:dyDescent="0.25">
      <c r="A299" s="143">
        <v>41862</v>
      </c>
      <c r="B299">
        <v>187.47</v>
      </c>
      <c r="C299">
        <v>2.5272079999999999</v>
      </c>
      <c r="D299" t="s">
        <v>852</v>
      </c>
    </row>
    <row r="300" spans="1:4" x14ac:dyDescent="0.25">
      <c r="A300" s="143">
        <v>41863</v>
      </c>
      <c r="B300">
        <v>187.34</v>
      </c>
      <c r="C300">
        <v>1.858635</v>
      </c>
      <c r="D300" t="s">
        <v>852</v>
      </c>
    </row>
    <row r="301" spans="1:4" x14ac:dyDescent="0.25">
      <c r="A301" s="143">
        <v>41864</v>
      </c>
      <c r="B301">
        <v>187.95</v>
      </c>
      <c r="C301">
        <v>1.7970159999999999</v>
      </c>
      <c r="D301" t="s">
        <v>852</v>
      </c>
    </row>
    <row r="302" spans="1:4" x14ac:dyDescent="0.25">
      <c r="A302" s="143">
        <v>41865</v>
      </c>
      <c r="B302">
        <v>187.88</v>
      </c>
      <c r="C302">
        <v>1.929581</v>
      </c>
      <c r="D302" t="s">
        <v>852</v>
      </c>
    </row>
    <row r="303" spans="1:4" x14ac:dyDescent="0.25">
      <c r="A303" s="143">
        <v>41866</v>
      </c>
      <c r="B303">
        <v>187.38</v>
      </c>
      <c r="C303">
        <v>2.8158219999999998</v>
      </c>
      <c r="D303" t="s">
        <v>852</v>
      </c>
    </row>
    <row r="304" spans="1:4" x14ac:dyDescent="0.25">
      <c r="A304" s="143">
        <v>41869</v>
      </c>
      <c r="B304">
        <v>190.07</v>
      </c>
      <c r="C304">
        <v>2.040117</v>
      </c>
      <c r="D304" t="s">
        <v>852</v>
      </c>
    </row>
    <row r="305" spans="1:4" x14ac:dyDescent="0.25">
      <c r="A305" s="143">
        <v>41870</v>
      </c>
      <c r="B305">
        <v>190.07</v>
      </c>
      <c r="C305">
        <v>2.040117</v>
      </c>
      <c r="D305" t="s">
        <v>852</v>
      </c>
    </row>
    <row r="306" spans="1:4" x14ac:dyDescent="0.25">
      <c r="A306" s="143">
        <v>41871</v>
      </c>
      <c r="B306">
        <v>190.1</v>
      </c>
      <c r="C306">
        <v>2.177702</v>
      </c>
      <c r="D306" t="s">
        <v>852</v>
      </c>
    </row>
    <row r="307" spans="1:4" x14ac:dyDescent="0.25">
      <c r="A307" s="143">
        <v>41872</v>
      </c>
      <c r="B307">
        <v>191.23</v>
      </c>
      <c r="C307">
        <v>2.4979849999999999</v>
      </c>
      <c r="D307" t="s">
        <v>852</v>
      </c>
    </row>
    <row r="308" spans="1:4" x14ac:dyDescent="0.25">
      <c r="A308" s="143">
        <v>41873</v>
      </c>
      <c r="B308">
        <v>190.41</v>
      </c>
      <c r="C308">
        <v>1.940434</v>
      </c>
      <c r="D308" t="s">
        <v>852</v>
      </c>
    </row>
    <row r="309" spans="1:4" x14ac:dyDescent="0.25">
      <c r="A309" s="143">
        <v>41876</v>
      </c>
      <c r="B309">
        <v>191.16</v>
      </c>
      <c r="C309">
        <v>1.7261</v>
      </c>
      <c r="D309" t="s">
        <v>852</v>
      </c>
    </row>
    <row r="310" spans="1:4" x14ac:dyDescent="0.25">
      <c r="A310" s="143">
        <v>41877</v>
      </c>
      <c r="B310">
        <v>192.99</v>
      </c>
      <c r="C310">
        <v>3.1753990000000001</v>
      </c>
      <c r="D310" t="s">
        <v>852</v>
      </c>
    </row>
    <row r="311" spans="1:4" x14ac:dyDescent="0.25">
      <c r="A311" s="143">
        <v>41878</v>
      </c>
      <c r="B311">
        <v>192.25</v>
      </c>
      <c r="C311">
        <v>2.1902849999999998</v>
      </c>
      <c r="D311" t="s">
        <v>852</v>
      </c>
    </row>
    <row r="312" spans="1:4" x14ac:dyDescent="0.25">
      <c r="A312" s="143">
        <v>41879</v>
      </c>
      <c r="B312">
        <v>192</v>
      </c>
      <c r="C312">
        <v>1.503582</v>
      </c>
      <c r="D312" t="s">
        <v>852</v>
      </c>
    </row>
    <row r="313" spans="1:4" x14ac:dyDescent="0.25">
      <c r="A313" s="143">
        <v>41880</v>
      </c>
      <c r="B313">
        <v>192.3</v>
      </c>
      <c r="C313">
        <v>2.9110969999999998</v>
      </c>
      <c r="D313" t="s">
        <v>852</v>
      </c>
    </row>
    <row r="314" spans="1:4" x14ac:dyDescent="0.25">
      <c r="A314" s="143">
        <v>41883</v>
      </c>
      <c r="B314">
        <v>192.3</v>
      </c>
      <c r="C314">
        <v>2.9110969999999998</v>
      </c>
      <c r="D314" t="s">
        <v>852</v>
      </c>
    </row>
    <row r="315" spans="1:4" x14ac:dyDescent="0.25">
      <c r="A315" s="143">
        <v>41884</v>
      </c>
      <c r="B315">
        <v>191.56</v>
      </c>
      <c r="C315">
        <v>2.679659</v>
      </c>
      <c r="D315" t="s">
        <v>852</v>
      </c>
    </row>
    <row r="316" spans="1:4" x14ac:dyDescent="0.25">
      <c r="A316" s="143">
        <v>41885</v>
      </c>
      <c r="B316">
        <v>191.95</v>
      </c>
      <c r="C316">
        <v>1.8243780000000001</v>
      </c>
      <c r="D316" t="s">
        <v>852</v>
      </c>
    </row>
    <row r="317" spans="1:4" x14ac:dyDescent="0.25">
      <c r="A317" s="143">
        <v>41886</v>
      </c>
      <c r="B317">
        <v>190.68</v>
      </c>
      <c r="C317">
        <v>2.868754</v>
      </c>
      <c r="D317" t="s">
        <v>852</v>
      </c>
    </row>
    <row r="318" spans="1:4" x14ac:dyDescent="0.25">
      <c r="A318" s="143">
        <v>41887</v>
      </c>
      <c r="B318">
        <v>191.2</v>
      </c>
      <c r="C318">
        <v>2.261215</v>
      </c>
      <c r="D318" t="s">
        <v>852</v>
      </c>
    </row>
    <row r="319" spans="1:4" x14ac:dyDescent="0.25">
      <c r="A319" s="143">
        <v>41890</v>
      </c>
      <c r="B319">
        <v>190.14</v>
      </c>
      <c r="C319">
        <v>2.5256259999999999</v>
      </c>
      <c r="D319" t="s">
        <v>852</v>
      </c>
    </row>
    <row r="320" spans="1:4" x14ac:dyDescent="0.25">
      <c r="A320" s="143">
        <v>41891</v>
      </c>
      <c r="B320">
        <v>189.99</v>
      </c>
      <c r="C320">
        <v>2.4036309999999999</v>
      </c>
      <c r="D320" t="s">
        <v>852</v>
      </c>
    </row>
    <row r="321" spans="1:4" x14ac:dyDescent="0.25">
      <c r="A321" s="143">
        <v>41892</v>
      </c>
      <c r="B321">
        <v>191.54</v>
      </c>
      <c r="C321">
        <v>2.7653240000000001</v>
      </c>
      <c r="D321" t="s">
        <v>852</v>
      </c>
    </row>
    <row r="322" spans="1:4" x14ac:dyDescent="0.25">
      <c r="A322" s="143">
        <v>41893</v>
      </c>
      <c r="B322">
        <v>191.72</v>
      </c>
      <c r="C322">
        <v>2.2993899999999998</v>
      </c>
      <c r="D322" t="s">
        <v>852</v>
      </c>
    </row>
    <row r="323" spans="1:4" x14ac:dyDescent="0.25">
      <c r="A323" s="143">
        <v>41894</v>
      </c>
      <c r="B323">
        <v>191.28</v>
      </c>
      <c r="C323">
        <v>2.9009670000000001</v>
      </c>
      <c r="D323" t="s">
        <v>852</v>
      </c>
    </row>
    <row r="324" spans="1:4" x14ac:dyDescent="0.25">
      <c r="A324" s="143">
        <v>41897</v>
      </c>
      <c r="B324">
        <v>191.81</v>
      </c>
      <c r="C324">
        <v>2.4578030000000002</v>
      </c>
      <c r="D324" t="s">
        <v>852</v>
      </c>
    </row>
    <row r="325" spans="1:4" x14ac:dyDescent="0.25">
      <c r="A325" s="143">
        <v>41898</v>
      </c>
      <c r="B325">
        <v>192.96</v>
      </c>
      <c r="C325">
        <v>2.561528</v>
      </c>
      <c r="D325" t="s">
        <v>852</v>
      </c>
    </row>
    <row r="326" spans="1:4" x14ac:dyDescent="0.25">
      <c r="A326" s="143">
        <v>41899</v>
      </c>
      <c r="B326">
        <v>192.8</v>
      </c>
      <c r="C326">
        <v>3.2141169999999999</v>
      </c>
      <c r="D326" t="s">
        <v>852</v>
      </c>
    </row>
    <row r="327" spans="1:4" x14ac:dyDescent="0.25">
      <c r="A327" s="143">
        <v>41900</v>
      </c>
      <c r="B327">
        <v>193.75</v>
      </c>
      <c r="C327">
        <v>2.9634459999999998</v>
      </c>
      <c r="D327" t="s">
        <v>852</v>
      </c>
    </row>
    <row r="328" spans="1:4" x14ac:dyDescent="0.25">
      <c r="A328" s="143">
        <v>41901</v>
      </c>
      <c r="B328">
        <v>194</v>
      </c>
      <c r="C328">
        <v>8.854514</v>
      </c>
      <c r="D328" t="s">
        <v>852</v>
      </c>
    </row>
    <row r="329" spans="1:4" x14ac:dyDescent="0.25">
      <c r="A329" s="143">
        <v>41904</v>
      </c>
      <c r="B329">
        <v>193.11</v>
      </c>
      <c r="C329">
        <v>3.3179620000000001</v>
      </c>
      <c r="D329" t="s">
        <v>852</v>
      </c>
    </row>
    <row r="330" spans="1:4" x14ac:dyDescent="0.25">
      <c r="A330" s="143">
        <v>41905</v>
      </c>
      <c r="B330">
        <v>191.62</v>
      </c>
      <c r="C330">
        <v>3.3017970000000001</v>
      </c>
      <c r="D330" t="s">
        <v>852</v>
      </c>
    </row>
    <row r="331" spans="1:4" x14ac:dyDescent="0.25">
      <c r="A331" s="143">
        <v>41906</v>
      </c>
      <c r="B331">
        <v>192.31</v>
      </c>
      <c r="C331">
        <v>3.0825939999999998</v>
      </c>
      <c r="D331" t="s">
        <v>852</v>
      </c>
    </row>
    <row r="332" spans="1:4" x14ac:dyDescent="0.25">
      <c r="A332" s="143">
        <v>41907</v>
      </c>
      <c r="B332">
        <v>189.01</v>
      </c>
      <c r="C332">
        <v>4.1588159999999998</v>
      </c>
      <c r="D332" t="s">
        <v>852</v>
      </c>
    </row>
    <row r="333" spans="1:4" x14ac:dyDescent="0.25">
      <c r="A333" s="143">
        <v>41908</v>
      </c>
      <c r="B333">
        <v>190.06</v>
      </c>
      <c r="C333">
        <v>2.494024</v>
      </c>
      <c r="D333" t="s">
        <v>852</v>
      </c>
    </row>
    <row r="334" spans="1:4" x14ac:dyDescent="0.25">
      <c r="A334" s="143">
        <v>41911</v>
      </c>
      <c r="B334">
        <v>189.64</v>
      </c>
      <c r="C334">
        <v>2.3447230000000001</v>
      </c>
      <c r="D334" t="s">
        <v>852</v>
      </c>
    </row>
    <row r="335" spans="1:4" x14ac:dyDescent="0.25">
      <c r="A335" s="143">
        <v>41912</v>
      </c>
      <c r="B335">
        <v>189.83</v>
      </c>
      <c r="C335">
        <v>2.9325559999999999</v>
      </c>
      <c r="D335" t="s">
        <v>852</v>
      </c>
    </row>
    <row r="336" spans="1:4" x14ac:dyDescent="0.25">
      <c r="A336" s="143">
        <v>41913</v>
      </c>
      <c r="B336">
        <v>187.17</v>
      </c>
      <c r="C336">
        <v>3.7231920000000001</v>
      </c>
      <c r="D336" t="s">
        <v>852</v>
      </c>
    </row>
    <row r="337" spans="1:4" x14ac:dyDescent="0.25">
      <c r="A337" s="143">
        <v>41914</v>
      </c>
      <c r="B337">
        <v>186.91</v>
      </c>
      <c r="C337">
        <v>2.2836189999999998</v>
      </c>
      <c r="D337" t="s">
        <v>852</v>
      </c>
    </row>
    <row r="338" spans="1:4" x14ac:dyDescent="0.25">
      <c r="A338" s="143">
        <v>41915</v>
      </c>
      <c r="B338">
        <v>188.67</v>
      </c>
      <c r="C338">
        <v>3.0715210000000002</v>
      </c>
      <c r="D338" t="s">
        <v>852</v>
      </c>
    </row>
    <row r="339" spans="1:4" x14ac:dyDescent="0.25">
      <c r="A339" s="143">
        <v>41918</v>
      </c>
      <c r="B339">
        <v>189.04</v>
      </c>
      <c r="C339">
        <v>2.1001910000000001</v>
      </c>
      <c r="D339" t="s">
        <v>852</v>
      </c>
    </row>
    <row r="340" spans="1:4" x14ac:dyDescent="0.25">
      <c r="A340" s="143">
        <v>41919</v>
      </c>
      <c r="B340">
        <v>185.71</v>
      </c>
      <c r="C340">
        <v>2.994065</v>
      </c>
      <c r="D340" t="s">
        <v>852</v>
      </c>
    </row>
    <row r="341" spans="1:4" x14ac:dyDescent="0.25">
      <c r="A341" s="143">
        <v>41920</v>
      </c>
      <c r="B341">
        <v>189.36</v>
      </c>
      <c r="C341">
        <v>2.9853290000000001</v>
      </c>
      <c r="D341" t="s">
        <v>852</v>
      </c>
    </row>
    <row r="342" spans="1:4" x14ac:dyDescent="0.25">
      <c r="A342" s="143">
        <v>41921</v>
      </c>
      <c r="B342">
        <v>186.42</v>
      </c>
      <c r="C342">
        <v>2.6256089999999999</v>
      </c>
      <c r="D342" t="s">
        <v>852</v>
      </c>
    </row>
    <row r="343" spans="1:4" x14ac:dyDescent="0.25">
      <c r="A343" s="143">
        <v>41922</v>
      </c>
      <c r="B343">
        <v>185.93</v>
      </c>
      <c r="C343">
        <v>5.0903450000000001</v>
      </c>
      <c r="D343" t="s">
        <v>852</v>
      </c>
    </row>
    <row r="344" spans="1:4" x14ac:dyDescent="0.25">
      <c r="A344" s="143">
        <v>41925</v>
      </c>
      <c r="B344">
        <v>183.52</v>
      </c>
      <c r="C344">
        <v>3.5999240000000001</v>
      </c>
      <c r="D344" t="s">
        <v>852</v>
      </c>
    </row>
    <row r="345" spans="1:4" x14ac:dyDescent="0.25">
      <c r="A345" s="143">
        <v>41926</v>
      </c>
      <c r="B345">
        <v>183.8</v>
      </c>
      <c r="C345">
        <v>3.9249740000000002</v>
      </c>
      <c r="D345" t="s">
        <v>852</v>
      </c>
    </row>
    <row r="346" spans="1:4" x14ac:dyDescent="0.25">
      <c r="A346" s="143">
        <v>41927</v>
      </c>
      <c r="B346">
        <v>181.75</v>
      </c>
      <c r="C346">
        <v>6.8976559999999996</v>
      </c>
      <c r="D346" t="s">
        <v>852</v>
      </c>
    </row>
    <row r="347" spans="1:4" x14ac:dyDescent="0.25">
      <c r="A347" s="143">
        <v>41928</v>
      </c>
      <c r="B347">
        <v>179.84</v>
      </c>
      <c r="C347">
        <v>5.5786829999999998</v>
      </c>
      <c r="D347" t="s">
        <v>852</v>
      </c>
    </row>
    <row r="348" spans="1:4" x14ac:dyDescent="0.25">
      <c r="A348" s="143">
        <v>41929</v>
      </c>
      <c r="B348">
        <v>182.05</v>
      </c>
      <c r="C348">
        <v>4.3544419999999997</v>
      </c>
      <c r="D348" t="s">
        <v>852</v>
      </c>
    </row>
    <row r="349" spans="1:4" x14ac:dyDescent="0.25">
      <c r="A349" s="143">
        <v>41932</v>
      </c>
      <c r="B349">
        <v>169.1</v>
      </c>
      <c r="C349">
        <v>23.416511</v>
      </c>
      <c r="D349" t="s">
        <v>852</v>
      </c>
    </row>
    <row r="350" spans="1:4" x14ac:dyDescent="0.25">
      <c r="A350" s="143">
        <v>41933</v>
      </c>
      <c r="B350">
        <v>163.22999999999999</v>
      </c>
      <c r="C350">
        <v>20.953605</v>
      </c>
      <c r="D350" t="s">
        <v>852</v>
      </c>
    </row>
    <row r="351" spans="1:4" x14ac:dyDescent="0.25">
      <c r="A351" s="143">
        <v>41934</v>
      </c>
      <c r="B351">
        <v>161.79</v>
      </c>
      <c r="C351">
        <v>11.091424</v>
      </c>
      <c r="D351" t="s">
        <v>852</v>
      </c>
    </row>
    <row r="352" spans="1:4" x14ac:dyDescent="0.25">
      <c r="A352" s="143">
        <v>41935</v>
      </c>
      <c r="B352">
        <v>162.18</v>
      </c>
      <c r="C352">
        <v>7.6002700000000001</v>
      </c>
      <c r="D352" t="s">
        <v>852</v>
      </c>
    </row>
    <row r="353" spans="1:4" x14ac:dyDescent="0.25">
      <c r="A353" s="143">
        <v>41936</v>
      </c>
      <c r="B353">
        <v>162.18</v>
      </c>
      <c r="C353">
        <v>7.6002700000000001</v>
      </c>
      <c r="D353" t="s">
        <v>852</v>
      </c>
    </row>
    <row r="354" spans="1:4" x14ac:dyDescent="0.25">
      <c r="A354" s="143">
        <v>41939</v>
      </c>
      <c r="B354">
        <v>163.6</v>
      </c>
      <c r="C354">
        <v>7.8968629999999997</v>
      </c>
      <c r="D354" t="s">
        <v>852</v>
      </c>
    </row>
    <row r="355" spans="1:4" x14ac:dyDescent="0.25">
      <c r="A355" s="143">
        <v>41940</v>
      </c>
      <c r="B355">
        <v>163.6</v>
      </c>
      <c r="C355">
        <v>7.8968629999999997</v>
      </c>
      <c r="D355" t="s">
        <v>852</v>
      </c>
    </row>
    <row r="356" spans="1:4" x14ac:dyDescent="0.25">
      <c r="A356" s="143">
        <v>41941</v>
      </c>
      <c r="B356">
        <v>163.46</v>
      </c>
      <c r="C356">
        <v>4.741689</v>
      </c>
      <c r="D356" t="s">
        <v>852</v>
      </c>
    </row>
    <row r="357" spans="1:4" x14ac:dyDescent="0.25">
      <c r="A357" s="143">
        <v>41942</v>
      </c>
      <c r="B357">
        <v>164.35</v>
      </c>
      <c r="C357">
        <v>3.8959790000000001</v>
      </c>
      <c r="D357" t="s">
        <v>852</v>
      </c>
    </row>
    <row r="358" spans="1:4" x14ac:dyDescent="0.25">
      <c r="A358" s="143">
        <v>41943</v>
      </c>
      <c r="B358">
        <v>164.4</v>
      </c>
      <c r="C358">
        <v>5.8183749999999996</v>
      </c>
      <c r="D358" t="s">
        <v>852</v>
      </c>
    </row>
    <row r="359" spans="1:4" x14ac:dyDescent="0.25">
      <c r="A359" s="143">
        <v>41946</v>
      </c>
      <c r="B359">
        <v>164.36</v>
      </c>
      <c r="C359">
        <v>4.6902739999999996</v>
      </c>
      <c r="D359" t="s">
        <v>852</v>
      </c>
    </row>
    <row r="360" spans="1:4" x14ac:dyDescent="0.25">
      <c r="A360" s="143">
        <v>41947</v>
      </c>
      <c r="B360">
        <v>162.65</v>
      </c>
      <c r="C360">
        <v>4.2470790000000003</v>
      </c>
      <c r="D360" t="s">
        <v>852</v>
      </c>
    </row>
    <row r="361" spans="1:4" x14ac:dyDescent="0.25">
      <c r="A361" s="143">
        <v>41948</v>
      </c>
      <c r="B361">
        <v>161.82</v>
      </c>
      <c r="C361">
        <v>4.1047469999999997</v>
      </c>
      <c r="D361" t="s">
        <v>852</v>
      </c>
    </row>
    <row r="362" spans="1:4" x14ac:dyDescent="0.25">
      <c r="A362" s="143">
        <v>41949</v>
      </c>
      <c r="B362">
        <v>161.46</v>
      </c>
      <c r="C362">
        <v>4.0676410000000001</v>
      </c>
      <c r="D362" t="s">
        <v>852</v>
      </c>
    </row>
    <row r="363" spans="1:4" x14ac:dyDescent="0.25">
      <c r="A363" s="143">
        <v>41950</v>
      </c>
      <c r="B363">
        <v>162.07</v>
      </c>
      <c r="C363">
        <v>3.4948030000000001</v>
      </c>
      <c r="D363" t="s">
        <v>852</v>
      </c>
    </row>
    <row r="364" spans="1:4" x14ac:dyDescent="0.25">
      <c r="A364" s="143">
        <v>41953</v>
      </c>
      <c r="B364">
        <v>163.49</v>
      </c>
      <c r="C364">
        <v>4.9582360000000003</v>
      </c>
      <c r="D364" t="s">
        <v>852</v>
      </c>
    </row>
    <row r="365" spans="1:4" x14ac:dyDescent="0.25">
      <c r="A365" s="143">
        <v>41954</v>
      </c>
      <c r="B365">
        <v>163.30000000000001</v>
      </c>
      <c r="C365">
        <v>3.5356939999999999</v>
      </c>
      <c r="D365" t="s">
        <v>852</v>
      </c>
    </row>
    <row r="366" spans="1:4" x14ac:dyDescent="0.25">
      <c r="A366" s="143">
        <v>41955</v>
      </c>
      <c r="B366">
        <v>161.91999999999999</v>
      </c>
      <c r="C366">
        <v>3.3782290000000001</v>
      </c>
      <c r="D366" t="s">
        <v>852</v>
      </c>
    </row>
    <row r="367" spans="1:4" x14ac:dyDescent="0.25">
      <c r="A367" s="143">
        <v>41956</v>
      </c>
      <c r="B367">
        <v>162.79</v>
      </c>
      <c r="C367">
        <v>3.2397260000000001</v>
      </c>
      <c r="D367" t="s">
        <v>852</v>
      </c>
    </row>
    <row r="368" spans="1:4" x14ac:dyDescent="0.25">
      <c r="A368" s="143">
        <v>41957</v>
      </c>
      <c r="B368">
        <v>164.16</v>
      </c>
      <c r="C368">
        <v>4.978415</v>
      </c>
      <c r="D368" t="s">
        <v>852</v>
      </c>
    </row>
    <row r="369" spans="1:4" x14ac:dyDescent="0.25">
      <c r="A369" s="143">
        <v>41960</v>
      </c>
      <c r="B369">
        <v>164.16</v>
      </c>
      <c r="C369">
        <v>4.7989329999999999</v>
      </c>
      <c r="D369" t="s">
        <v>852</v>
      </c>
    </row>
    <row r="370" spans="1:4" x14ac:dyDescent="0.25">
      <c r="A370" s="143">
        <v>41961</v>
      </c>
      <c r="B370">
        <v>161.88999999999999</v>
      </c>
      <c r="C370">
        <v>5.4124949999999998</v>
      </c>
      <c r="D370" t="s">
        <v>852</v>
      </c>
    </row>
    <row r="371" spans="1:4" x14ac:dyDescent="0.25">
      <c r="A371" s="143">
        <v>41962</v>
      </c>
      <c r="B371">
        <v>161.43</v>
      </c>
      <c r="C371">
        <v>3.8026309999999999</v>
      </c>
      <c r="D371" t="s">
        <v>852</v>
      </c>
    </row>
    <row r="372" spans="1:4" x14ac:dyDescent="0.25">
      <c r="A372" s="143">
        <v>41963</v>
      </c>
      <c r="B372">
        <v>160.63999999999999</v>
      </c>
      <c r="C372">
        <v>4.1831019999999999</v>
      </c>
      <c r="D372" t="s">
        <v>852</v>
      </c>
    </row>
    <row r="373" spans="1:4" x14ac:dyDescent="0.25">
      <c r="A373" s="143">
        <v>41964</v>
      </c>
      <c r="B373">
        <v>160.91999999999999</v>
      </c>
      <c r="C373">
        <v>4.0768750000000002</v>
      </c>
      <c r="D373" t="s">
        <v>852</v>
      </c>
    </row>
    <row r="374" spans="1:4" x14ac:dyDescent="0.25">
      <c r="A374" s="143">
        <v>41967</v>
      </c>
      <c r="B374">
        <v>162.15</v>
      </c>
      <c r="C374">
        <v>6.6190319999999998</v>
      </c>
      <c r="D374" t="s">
        <v>852</v>
      </c>
    </row>
    <row r="375" spans="1:4" x14ac:dyDescent="0.25">
      <c r="A375" s="143">
        <v>41968</v>
      </c>
      <c r="B375">
        <v>161.76</v>
      </c>
      <c r="C375">
        <v>4.0623779999999998</v>
      </c>
      <c r="D375" t="s">
        <v>852</v>
      </c>
    </row>
    <row r="376" spans="1:4" x14ac:dyDescent="0.25">
      <c r="A376" s="143">
        <v>41969</v>
      </c>
      <c r="B376">
        <v>161.94999999999999</v>
      </c>
      <c r="C376">
        <v>3.9672230000000002</v>
      </c>
      <c r="D376" t="s">
        <v>852</v>
      </c>
    </row>
    <row r="377" spans="1:4" x14ac:dyDescent="0.25">
      <c r="A377" s="143">
        <v>41970</v>
      </c>
      <c r="B377">
        <v>161.94999999999999</v>
      </c>
      <c r="C377">
        <v>3.9672230000000002</v>
      </c>
      <c r="D377" t="s">
        <v>852</v>
      </c>
    </row>
    <row r="378" spans="1:4" x14ac:dyDescent="0.25">
      <c r="A378" s="143">
        <v>41971</v>
      </c>
      <c r="B378">
        <v>162.16999999999999</v>
      </c>
      <c r="C378">
        <v>2.4055119999999999</v>
      </c>
      <c r="D378" t="s">
        <v>852</v>
      </c>
    </row>
    <row r="379" spans="1:4" x14ac:dyDescent="0.25">
      <c r="A379" s="143">
        <v>41974</v>
      </c>
      <c r="B379">
        <v>161.54</v>
      </c>
      <c r="C379">
        <v>4.1683839999999996</v>
      </c>
      <c r="D379" t="s">
        <v>852</v>
      </c>
    </row>
    <row r="380" spans="1:4" x14ac:dyDescent="0.25">
      <c r="A380" s="143">
        <v>41975</v>
      </c>
      <c r="B380">
        <v>162.66999999999999</v>
      </c>
      <c r="C380">
        <v>3.4657469999999999</v>
      </c>
      <c r="D380" t="s">
        <v>852</v>
      </c>
    </row>
    <row r="381" spans="1:4" x14ac:dyDescent="0.25">
      <c r="A381" s="143">
        <v>41976</v>
      </c>
      <c r="B381">
        <v>164.52</v>
      </c>
      <c r="C381">
        <v>6.4349939999999997</v>
      </c>
      <c r="D381" t="s">
        <v>852</v>
      </c>
    </row>
    <row r="382" spans="1:4" x14ac:dyDescent="0.25">
      <c r="A382" s="143">
        <v>41977</v>
      </c>
      <c r="B382">
        <v>164.05</v>
      </c>
      <c r="C382">
        <v>3.8629159999999998</v>
      </c>
      <c r="D382" t="s">
        <v>852</v>
      </c>
    </row>
    <row r="383" spans="1:4" x14ac:dyDescent="0.25">
      <c r="A383" s="143">
        <v>41978</v>
      </c>
      <c r="B383">
        <v>163.27000000000001</v>
      </c>
      <c r="C383">
        <v>3.0135000000000001</v>
      </c>
      <c r="D383" t="s">
        <v>852</v>
      </c>
    </row>
    <row r="384" spans="1:4" x14ac:dyDescent="0.25">
      <c r="A384" s="143">
        <v>41981</v>
      </c>
      <c r="B384">
        <v>161.86000000000001</v>
      </c>
      <c r="C384">
        <v>2.8513829999999998</v>
      </c>
      <c r="D384" t="s">
        <v>852</v>
      </c>
    </row>
    <row r="385" spans="1:4" x14ac:dyDescent="0.25">
      <c r="A385" s="143">
        <v>41982</v>
      </c>
      <c r="B385">
        <v>162.99</v>
      </c>
      <c r="C385">
        <v>3.8659050000000001</v>
      </c>
      <c r="D385" t="s">
        <v>852</v>
      </c>
    </row>
    <row r="386" spans="1:4" x14ac:dyDescent="0.25">
      <c r="A386" s="143">
        <v>41983</v>
      </c>
      <c r="B386">
        <v>160.51</v>
      </c>
      <c r="C386">
        <v>4.0823840000000002</v>
      </c>
      <c r="D386" t="s">
        <v>852</v>
      </c>
    </row>
    <row r="387" spans="1:4" x14ac:dyDescent="0.25">
      <c r="A387" s="143">
        <v>41984</v>
      </c>
      <c r="B387">
        <v>161.07</v>
      </c>
      <c r="C387">
        <v>3.9895710000000002</v>
      </c>
      <c r="D387" t="s">
        <v>852</v>
      </c>
    </row>
    <row r="388" spans="1:4" x14ac:dyDescent="0.25">
      <c r="A388" s="143">
        <v>41985</v>
      </c>
      <c r="B388">
        <v>155.38</v>
      </c>
      <c r="C388">
        <v>8.6117480000000004</v>
      </c>
      <c r="D388" t="s">
        <v>852</v>
      </c>
    </row>
    <row r="389" spans="1:4" x14ac:dyDescent="0.25">
      <c r="A389" s="143">
        <v>41988</v>
      </c>
      <c r="B389">
        <v>153.06</v>
      </c>
      <c r="C389">
        <v>6.500311</v>
      </c>
      <c r="D389" t="s">
        <v>852</v>
      </c>
    </row>
    <row r="390" spans="1:4" x14ac:dyDescent="0.25">
      <c r="A390" s="143">
        <v>41989</v>
      </c>
      <c r="B390">
        <v>151.41</v>
      </c>
      <c r="C390">
        <v>6.7825930000000003</v>
      </c>
      <c r="D390" t="s">
        <v>852</v>
      </c>
    </row>
    <row r="391" spans="1:4" x14ac:dyDescent="0.25">
      <c r="A391" s="143">
        <v>41990</v>
      </c>
      <c r="B391">
        <v>151.93</v>
      </c>
      <c r="C391">
        <v>5.1394650000000004</v>
      </c>
      <c r="D391" t="s">
        <v>852</v>
      </c>
    </row>
    <row r="392" spans="1:4" x14ac:dyDescent="0.25">
      <c r="A392" s="143">
        <v>41991</v>
      </c>
      <c r="B392">
        <v>157.68</v>
      </c>
      <c r="C392">
        <v>7.3023559999999996</v>
      </c>
      <c r="D392" t="s">
        <v>852</v>
      </c>
    </row>
    <row r="393" spans="1:4" x14ac:dyDescent="0.25">
      <c r="A393" s="143">
        <v>41992</v>
      </c>
      <c r="B393">
        <v>158.51</v>
      </c>
      <c r="C393">
        <v>8.8648500000000006</v>
      </c>
      <c r="D393" t="s">
        <v>852</v>
      </c>
    </row>
    <row r="394" spans="1:4" x14ac:dyDescent="0.25">
      <c r="A394" s="143">
        <v>41995</v>
      </c>
      <c r="B394">
        <v>161.44</v>
      </c>
      <c r="C394">
        <v>4.6825089999999996</v>
      </c>
      <c r="D394" t="s">
        <v>852</v>
      </c>
    </row>
    <row r="395" spans="1:4" x14ac:dyDescent="0.25">
      <c r="A395" s="143">
        <v>41996</v>
      </c>
      <c r="B395">
        <v>162.24</v>
      </c>
      <c r="C395">
        <v>4.0442200000000001</v>
      </c>
      <c r="D395" t="s">
        <v>852</v>
      </c>
    </row>
    <row r="396" spans="1:4" x14ac:dyDescent="0.25">
      <c r="A396" s="143">
        <v>41997</v>
      </c>
      <c r="B396">
        <v>161.82</v>
      </c>
      <c r="C396">
        <v>1.869977</v>
      </c>
      <c r="D396" t="s">
        <v>852</v>
      </c>
    </row>
    <row r="397" spans="1:4" x14ac:dyDescent="0.25">
      <c r="A397" s="143">
        <v>41999</v>
      </c>
      <c r="B397">
        <v>162.34</v>
      </c>
      <c r="C397">
        <v>1.91231</v>
      </c>
      <c r="D397" t="s">
        <v>852</v>
      </c>
    </row>
    <row r="398" spans="1:4" x14ac:dyDescent="0.25">
      <c r="A398" s="143">
        <v>42002</v>
      </c>
      <c r="B398">
        <v>160.51</v>
      </c>
      <c r="C398">
        <v>3.331833</v>
      </c>
      <c r="D398" t="s">
        <v>852</v>
      </c>
    </row>
    <row r="399" spans="1:4" x14ac:dyDescent="0.25">
      <c r="A399" s="143">
        <v>42003</v>
      </c>
      <c r="B399">
        <v>160.05000000000001</v>
      </c>
      <c r="C399">
        <v>2.829904</v>
      </c>
      <c r="D399" t="s">
        <v>852</v>
      </c>
    </row>
    <row r="400" spans="1:4" x14ac:dyDescent="0.25">
      <c r="A400" s="143">
        <v>42004</v>
      </c>
      <c r="B400">
        <v>160.44</v>
      </c>
      <c r="C400">
        <v>4.0119090000000002</v>
      </c>
      <c r="D400" t="s">
        <v>852</v>
      </c>
    </row>
    <row r="401" spans="1:4" x14ac:dyDescent="0.25">
      <c r="A401" s="143">
        <v>42006</v>
      </c>
      <c r="B401">
        <v>162.06</v>
      </c>
      <c r="C401">
        <v>5.5254659999999998</v>
      </c>
      <c r="D401" t="s">
        <v>852</v>
      </c>
    </row>
    <row r="402" spans="1:4" x14ac:dyDescent="0.25">
      <c r="A402" s="143">
        <v>42009</v>
      </c>
      <c r="B402">
        <v>159.51</v>
      </c>
      <c r="C402">
        <v>4.8803890000000001</v>
      </c>
      <c r="D402" t="s">
        <v>852</v>
      </c>
    </row>
    <row r="403" spans="1:4" x14ac:dyDescent="0.25">
      <c r="A403" s="143">
        <v>42010</v>
      </c>
      <c r="B403">
        <v>156.07</v>
      </c>
      <c r="C403">
        <v>6.146712</v>
      </c>
      <c r="D403" t="s">
        <v>852</v>
      </c>
    </row>
    <row r="404" spans="1:4" x14ac:dyDescent="0.25">
      <c r="A404" s="143">
        <v>42011</v>
      </c>
      <c r="B404">
        <v>155.05000000000001</v>
      </c>
      <c r="C404">
        <v>4.7018389999999997</v>
      </c>
      <c r="D404" t="s">
        <v>852</v>
      </c>
    </row>
    <row r="405" spans="1:4" x14ac:dyDescent="0.25">
      <c r="A405" s="143">
        <v>42012</v>
      </c>
      <c r="B405">
        <v>158.41999999999999</v>
      </c>
      <c r="C405">
        <v>4.2411130000000004</v>
      </c>
      <c r="D405" t="s">
        <v>852</v>
      </c>
    </row>
    <row r="406" spans="1:4" x14ac:dyDescent="0.25">
      <c r="A406" s="143">
        <v>42013</v>
      </c>
      <c r="B406">
        <v>159.11000000000001</v>
      </c>
      <c r="C406">
        <v>4.4883470000000001</v>
      </c>
      <c r="D406" t="s">
        <v>852</v>
      </c>
    </row>
    <row r="407" spans="1:4" x14ac:dyDescent="0.25">
      <c r="A407" s="143">
        <v>42016</v>
      </c>
      <c r="B407">
        <v>156.44</v>
      </c>
      <c r="C407">
        <v>4.1876379999999997</v>
      </c>
      <c r="D407" t="s">
        <v>852</v>
      </c>
    </row>
    <row r="408" spans="1:4" x14ac:dyDescent="0.25">
      <c r="A408" s="143">
        <v>42017</v>
      </c>
      <c r="B408">
        <v>156.81</v>
      </c>
      <c r="C408">
        <v>4.37751</v>
      </c>
      <c r="D408" t="s">
        <v>852</v>
      </c>
    </row>
    <row r="409" spans="1:4" x14ac:dyDescent="0.25">
      <c r="A409" s="143">
        <v>42018</v>
      </c>
      <c r="B409">
        <v>155.80000000000001</v>
      </c>
      <c r="C409">
        <v>4.6902939999999997</v>
      </c>
      <c r="D409" t="s">
        <v>852</v>
      </c>
    </row>
    <row r="410" spans="1:4" x14ac:dyDescent="0.25">
      <c r="A410" s="143">
        <v>42019</v>
      </c>
      <c r="B410">
        <v>154.57</v>
      </c>
      <c r="C410">
        <v>4.2517230000000001</v>
      </c>
      <c r="D410" t="s">
        <v>852</v>
      </c>
    </row>
    <row r="411" spans="1:4" x14ac:dyDescent="0.25">
      <c r="A411" s="143">
        <v>42020</v>
      </c>
      <c r="B411">
        <v>157.13999999999999</v>
      </c>
      <c r="C411">
        <v>5.7560409999999997</v>
      </c>
      <c r="D411" t="s">
        <v>852</v>
      </c>
    </row>
    <row r="412" spans="1:4" x14ac:dyDescent="0.25">
      <c r="A412" s="143">
        <v>42024</v>
      </c>
      <c r="B412">
        <v>156.94999999999999</v>
      </c>
      <c r="C412">
        <v>8.392773</v>
      </c>
      <c r="D412" t="s">
        <v>852</v>
      </c>
    </row>
    <row r="413" spans="1:4" x14ac:dyDescent="0.25">
      <c r="A413" s="143">
        <v>42025</v>
      </c>
      <c r="B413">
        <v>152.09</v>
      </c>
      <c r="C413">
        <v>11.897123000000001</v>
      </c>
      <c r="D413" t="s">
        <v>852</v>
      </c>
    </row>
    <row r="414" spans="1:4" x14ac:dyDescent="0.25">
      <c r="A414" s="143">
        <v>42026</v>
      </c>
      <c r="B414">
        <v>155.38999999999999</v>
      </c>
      <c r="C414">
        <v>6.1201129999999999</v>
      </c>
      <c r="D414" t="s">
        <v>852</v>
      </c>
    </row>
    <row r="415" spans="1:4" x14ac:dyDescent="0.25">
      <c r="A415" s="143">
        <v>42027</v>
      </c>
      <c r="B415">
        <v>155.87</v>
      </c>
      <c r="C415">
        <v>4.8348469999999999</v>
      </c>
      <c r="D415" t="s">
        <v>852</v>
      </c>
    </row>
    <row r="416" spans="1:4" x14ac:dyDescent="0.25">
      <c r="A416" s="143">
        <v>42030</v>
      </c>
      <c r="B416">
        <v>156.36000000000001</v>
      </c>
      <c r="C416">
        <v>7.8881430000000003</v>
      </c>
      <c r="D416" t="s">
        <v>852</v>
      </c>
    </row>
    <row r="417" spans="1:4" x14ac:dyDescent="0.25">
      <c r="A417" s="143">
        <v>42031</v>
      </c>
      <c r="B417">
        <v>153.66999999999999</v>
      </c>
      <c r="C417">
        <v>5.6595680000000002</v>
      </c>
      <c r="D417" t="s">
        <v>852</v>
      </c>
    </row>
    <row r="418" spans="1:4" x14ac:dyDescent="0.25">
      <c r="A418" s="143">
        <v>42032</v>
      </c>
      <c r="B418">
        <v>151.55000000000001</v>
      </c>
      <c r="C418">
        <v>4.495933</v>
      </c>
      <c r="D418" t="s">
        <v>852</v>
      </c>
    </row>
    <row r="419" spans="1:4" x14ac:dyDescent="0.25">
      <c r="A419" s="143">
        <v>42033</v>
      </c>
      <c r="B419">
        <v>155.47999999999999</v>
      </c>
      <c r="C419">
        <v>8.3208470000000005</v>
      </c>
      <c r="D419" t="s">
        <v>852</v>
      </c>
    </row>
    <row r="420" spans="1:4" x14ac:dyDescent="0.25">
      <c r="A420" s="143">
        <v>42034</v>
      </c>
      <c r="B420">
        <v>153.31</v>
      </c>
      <c r="C420">
        <v>6.5635700000000003</v>
      </c>
      <c r="D420" t="s">
        <v>852</v>
      </c>
    </row>
    <row r="421" spans="1:4" x14ac:dyDescent="0.25">
      <c r="A421" s="143">
        <v>42037</v>
      </c>
      <c r="B421">
        <v>154.66</v>
      </c>
      <c r="C421">
        <v>4.7122469999999996</v>
      </c>
      <c r="D421" t="s">
        <v>852</v>
      </c>
    </row>
    <row r="422" spans="1:4" x14ac:dyDescent="0.25">
      <c r="A422" s="143">
        <v>42038</v>
      </c>
      <c r="B422">
        <v>158.47</v>
      </c>
      <c r="C422">
        <v>5.5394059999999996</v>
      </c>
      <c r="D422" t="s">
        <v>852</v>
      </c>
    </row>
    <row r="423" spans="1:4" x14ac:dyDescent="0.25">
      <c r="A423" s="143">
        <v>42039</v>
      </c>
      <c r="B423">
        <v>156.96</v>
      </c>
      <c r="C423">
        <v>3.6784590000000001</v>
      </c>
      <c r="D423" t="s">
        <v>852</v>
      </c>
    </row>
    <row r="424" spans="1:4" x14ac:dyDescent="0.25">
      <c r="A424" s="143">
        <v>42040</v>
      </c>
      <c r="B424">
        <v>157.91</v>
      </c>
      <c r="C424">
        <v>5.2536370000000003</v>
      </c>
      <c r="D424" t="s">
        <v>852</v>
      </c>
    </row>
    <row r="425" spans="1:4" x14ac:dyDescent="0.25">
      <c r="A425" s="143">
        <v>42041</v>
      </c>
      <c r="B425">
        <v>156.72</v>
      </c>
      <c r="C425">
        <v>3.2564519999999999</v>
      </c>
      <c r="D425" t="s">
        <v>852</v>
      </c>
    </row>
    <row r="426" spans="1:4" x14ac:dyDescent="0.25">
      <c r="A426" s="143">
        <v>42044</v>
      </c>
      <c r="B426">
        <v>155.75</v>
      </c>
      <c r="C426">
        <v>3.0577260000000002</v>
      </c>
      <c r="D426" t="s">
        <v>852</v>
      </c>
    </row>
    <row r="427" spans="1:4" x14ac:dyDescent="0.25">
      <c r="A427" s="143">
        <v>42045</v>
      </c>
      <c r="B427">
        <v>158.56</v>
      </c>
      <c r="C427">
        <v>4.4406140000000001</v>
      </c>
      <c r="D427" t="s">
        <v>852</v>
      </c>
    </row>
    <row r="428" spans="1:4" x14ac:dyDescent="0.25">
      <c r="A428" s="143">
        <v>42046</v>
      </c>
      <c r="B428">
        <v>158.19999999999999</v>
      </c>
      <c r="C428">
        <v>3.6266579999999999</v>
      </c>
      <c r="D428" t="s">
        <v>852</v>
      </c>
    </row>
    <row r="429" spans="1:4" x14ac:dyDescent="0.25">
      <c r="A429" s="143">
        <v>42047</v>
      </c>
      <c r="B429">
        <v>158.52000000000001</v>
      </c>
      <c r="C429">
        <v>3.3330630000000001</v>
      </c>
      <c r="D429" t="s">
        <v>852</v>
      </c>
    </row>
    <row r="430" spans="1:4" x14ac:dyDescent="0.25">
      <c r="A430" s="143">
        <v>42048</v>
      </c>
      <c r="B430">
        <v>160.4</v>
      </c>
      <c r="C430">
        <v>3.7069190000000001</v>
      </c>
      <c r="D430" t="s">
        <v>852</v>
      </c>
    </row>
    <row r="431" spans="1:4" x14ac:dyDescent="0.25">
      <c r="A431" s="143">
        <v>42052</v>
      </c>
      <c r="B431">
        <v>160.96</v>
      </c>
      <c r="C431">
        <v>2.8945080000000001</v>
      </c>
      <c r="D431" t="s">
        <v>852</v>
      </c>
    </row>
    <row r="432" spans="1:4" x14ac:dyDescent="0.25">
      <c r="A432" s="143">
        <v>42053</v>
      </c>
      <c r="B432">
        <v>162.19</v>
      </c>
      <c r="C432">
        <v>4.3583850000000002</v>
      </c>
      <c r="D432" t="s">
        <v>852</v>
      </c>
    </row>
    <row r="433" spans="1:4" x14ac:dyDescent="0.25">
      <c r="A433" s="143">
        <v>42054</v>
      </c>
      <c r="B433">
        <v>163.89</v>
      </c>
      <c r="C433">
        <v>3.5043799999999998</v>
      </c>
      <c r="D433" t="s">
        <v>852</v>
      </c>
    </row>
    <row r="434" spans="1:4" x14ac:dyDescent="0.25">
      <c r="A434" s="143">
        <v>42055</v>
      </c>
      <c r="B434">
        <v>163.65</v>
      </c>
      <c r="C434">
        <v>3.3529819999999999</v>
      </c>
      <c r="D434" t="s">
        <v>852</v>
      </c>
    </row>
    <row r="435" spans="1:4" x14ac:dyDescent="0.25">
      <c r="A435" s="143">
        <v>42058</v>
      </c>
      <c r="B435">
        <v>162.91</v>
      </c>
      <c r="C435">
        <v>2.7144339999999998</v>
      </c>
      <c r="D435" t="s">
        <v>852</v>
      </c>
    </row>
    <row r="436" spans="1:4" x14ac:dyDescent="0.25">
      <c r="A436" s="143">
        <v>42059</v>
      </c>
      <c r="B436">
        <v>164.83</v>
      </c>
      <c r="C436">
        <v>4.7016260000000001</v>
      </c>
      <c r="D436" t="s">
        <v>852</v>
      </c>
    </row>
    <row r="437" spans="1:4" x14ac:dyDescent="0.25">
      <c r="A437" s="143">
        <v>42060</v>
      </c>
      <c r="B437">
        <v>162.81</v>
      </c>
      <c r="C437">
        <v>4.0045590000000004</v>
      </c>
      <c r="D437" t="s">
        <v>852</v>
      </c>
    </row>
    <row r="438" spans="1:4" x14ac:dyDescent="0.25">
      <c r="A438" s="143">
        <v>42061</v>
      </c>
      <c r="B438">
        <v>160.87</v>
      </c>
      <c r="C438">
        <v>7.1107719999999999</v>
      </c>
      <c r="D438" t="s">
        <v>852</v>
      </c>
    </row>
    <row r="439" spans="1:4" x14ac:dyDescent="0.25">
      <c r="A439" s="143">
        <v>42062</v>
      </c>
      <c r="B439">
        <v>161.94</v>
      </c>
      <c r="C439">
        <v>4.410037</v>
      </c>
      <c r="D439" t="s">
        <v>852</v>
      </c>
    </row>
    <row r="440" spans="1:4" x14ac:dyDescent="0.25">
      <c r="A440" s="143">
        <v>42065</v>
      </c>
      <c r="B440">
        <v>160.47999999999999</v>
      </c>
      <c r="C440">
        <v>5.9178620000000004</v>
      </c>
      <c r="D440" t="s">
        <v>852</v>
      </c>
    </row>
    <row r="441" spans="1:4" x14ac:dyDescent="0.25">
      <c r="A441" s="143">
        <v>42066</v>
      </c>
      <c r="B441">
        <v>161.03</v>
      </c>
      <c r="C441">
        <v>3.2344010000000001</v>
      </c>
      <c r="D441" t="s">
        <v>852</v>
      </c>
    </row>
    <row r="442" spans="1:4" x14ac:dyDescent="0.25">
      <c r="A442" s="143">
        <v>42067</v>
      </c>
      <c r="B442">
        <v>159.41999999999999</v>
      </c>
      <c r="C442">
        <v>3.6336349999999999</v>
      </c>
      <c r="D442" t="s">
        <v>852</v>
      </c>
    </row>
    <row r="443" spans="1:4" x14ac:dyDescent="0.25">
      <c r="A443" s="143">
        <v>42068</v>
      </c>
      <c r="B443">
        <v>161.18</v>
      </c>
      <c r="C443">
        <v>3.7916599999999998</v>
      </c>
      <c r="D443" t="s">
        <v>852</v>
      </c>
    </row>
    <row r="444" spans="1:4" x14ac:dyDescent="0.25">
      <c r="A444" s="143">
        <v>42069</v>
      </c>
      <c r="B444">
        <v>158.5</v>
      </c>
      <c r="C444">
        <v>4.5401740000000004</v>
      </c>
      <c r="D444" t="s">
        <v>852</v>
      </c>
    </row>
    <row r="445" spans="1:4" x14ac:dyDescent="0.25">
      <c r="A445" s="143">
        <v>42072</v>
      </c>
      <c r="B445">
        <v>160.77000000000001</v>
      </c>
      <c r="C445">
        <v>5.1938740000000001</v>
      </c>
      <c r="D445" t="s">
        <v>852</v>
      </c>
    </row>
    <row r="446" spans="1:4" x14ac:dyDescent="0.25">
      <c r="A446" s="143">
        <v>42073</v>
      </c>
      <c r="B446">
        <v>157.81</v>
      </c>
      <c r="C446">
        <v>4.6009679999999999</v>
      </c>
      <c r="D446" t="s">
        <v>852</v>
      </c>
    </row>
    <row r="447" spans="1:4" x14ac:dyDescent="0.25">
      <c r="A447" s="143">
        <v>42074</v>
      </c>
      <c r="B447">
        <v>156.80000000000001</v>
      </c>
      <c r="C447">
        <v>5.7098899999999997</v>
      </c>
      <c r="D447" t="s">
        <v>852</v>
      </c>
    </row>
    <row r="448" spans="1:4" x14ac:dyDescent="0.25">
      <c r="A448" s="143">
        <v>42075</v>
      </c>
      <c r="B448">
        <v>157.97999999999999</v>
      </c>
      <c r="C448">
        <v>4.5673459999999997</v>
      </c>
      <c r="D448" t="s">
        <v>852</v>
      </c>
    </row>
    <row r="449" spans="1:4" x14ac:dyDescent="0.25">
      <c r="A449" s="143">
        <v>42076</v>
      </c>
      <c r="B449">
        <v>154.28</v>
      </c>
      <c r="C449">
        <v>6.06412</v>
      </c>
      <c r="D449" t="s">
        <v>852</v>
      </c>
    </row>
    <row r="450" spans="1:4" x14ac:dyDescent="0.25">
      <c r="A450" s="143">
        <v>42079</v>
      </c>
      <c r="B450">
        <v>157.08000000000001</v>
      </c>
      <c r="C450">
        <v>3.749638</v>
      </c>
      <c r="D450" t="s">
        <v>852</v>
      </c>
    </row>
    <row r="451" spans="1:4" x14ac:dyDescent="0.25">
      <c r="A451" s="143">
        <v>42080</v>
      </c>
      <c r="B451">
        <v>156.96</v>
      </c>
      <c r="C451">
        <v>3.3119429999999999</v>
      </c>
      <c r="D451" t="s">
        <v>852</v>
      </c>
    </row>
    <row r="452" spans="1:4" x14ac:dyDescent="0.25">
      <c r="A452" s="143">
        <v>42081</v>
      </c>
      <c r="B452">
        <v>159.81</v>
      </c>
      <c r="C452">
        <v>5.7388269999999997</v>
      </c>
      <c r="D452" t="s">
        <v>852</v>
      </c>
    </row>
    <row r="453" spans="1:4" x14ac:dyDescent="0.25">
      <c r="A453" s="143">
        <v>42082</v>
      </c>
      <c r="B453">
        <v>159.81</v>
      </c>
      <c r="C453">
        <v>3.8785590000000001</v>
      </c>
      <c r="D453" t="s">
        <v>852</v>
      </c>
    </row>
    <row r="454" spans="1:4" x14ac:dyDescent="0.25">
      <c r="A454" s="143">
        <v>42083</v>
      </c>
      <c r="B454">
        <v>162.88</v>
      </c>
      <c r="C454">
        <v>9.0064170000000008</v>
      </c>
      <c r="D454" t="s">
        <v>852</v>
      </c>
    </row>
    <row r="455" spans="1:4" x14ac:dyDescent="0.25">
      <c r="A455" s="143">
        <v>42086</v>
      </c>
      <c r="B455">
        <v>164.63</v>
      </c>
      <c r="C455">
        <v>5.9301269999999997</v>
      </c>
      <c r="D455" t="s">
        <v>852</v>
      </c>
    </row>
    <row r="456" spans="1:4" x14ac:dyDescent="0.25">
      <c r="A456" s="143">
        <v>42087</v>
      </c>
      <c r="B456">
        <v>163</v>
      </c>
      <c r="C456">
        <v>4.3461449999999999</v>
      </c>
      <c r="D456" t="s">
        <v>852</v>
      </c>
    </row>
    <row r="457" spans="1:4" x14ac:dyDescent="0.25">
      <c r="A457" s="143">
        <v>42088</v>
      </c>
      <c r="B457">
        <v>159.19999999999999</v>
      </c>
      <c r="C457">
        <v>5.4289300000000003</v>
      </c>
      <c r="D457" t="s">
        <v>852</v>
      </c>
    </row>
    <row r="458" spans="1:4" x14ac:dyDescent="0.25">
      <c r="A458" s="143">
        <v>42089</v>
      </c>
      <c r="B458">
        <v>160.59</v>
      </c>
      <c r="C458">
        <v>4.3960239999999997</v>
      </c>
      <c r="D458" t="s">
        <v>852</v>
      </c>
    </row>
    <row r="459" spans="1:4" x14ac:dyDescent="0.25">
      <c r="A459" s="143">
        <v>42090</v>
      </c>
      <c r="B459">
        <v>160.4</v>
      </c>
      <c r="C459">
        <v>3.4779230000000001</v>
      </c>
      <c r="D459" t="s">
        <v>852</v>
      </c>
    </row>
    <row r="460" spans="1:4" x14ac:dyDescent="0.25">
      <c r="A460" s="143">
        <v>42093</v>
      </c>
      <c r="B460">
        <v>162.66999999999999</v>
      </c>
      <c r="C460">
        <v>4.1380179999999998</v>
      </c>
      <c r="D460" t="s">
        <v>852</v>
      </c>
    </row>
    <row r="461" spans="1:4" x14ac:dyDescent="0.25">
      <c r="A461" s="143">
        <v>42094</v>
      </c>
      <c r="B461">
        <v>160.5</v>
      </c>
      <c r="C461">
        <v>4.2553679999999998</v>
      </c>
      <c r="D461" t="s">
        <v>852</v>
      </c>
    </row>
    <row r="462" spans="1:4" x14ac:dyDescent="0.25">
      <c r="A462" s="143">
        <v>42095</v>
      </c>
      <c r="B462">
        <v>159.18</v>
      </c>
      <c r="C462">
        <v>3.7007910000000002</v>
      </c>
      <c r="D462" t="s">
        <v>852</v>
      </c>
    </row>
    <row r="463" spans="1:4" x14ac:dyDescent="0.25">
      <c r="A463" s="143">
        <v>42096</v>
      </c>
      <c r="B463">
        <v>160.44999999999999</v>
      </c>
      <c r="C463">
        <v>4.6715780000000002</v>
      </c>
      <c r="D463" t="s">
        <v>852</v>
      </c>
    </row>
    <row r="464" spans="1:4" x14ac:dyDescent="0.25">
      <c r="A464" s="143">
        <v>42100</v>
      </c>
      <c r="B464">
        <v>162.04</v>
      </c>
      <c r="C464">
        <v>3.4656820000000002</v>
      </c>
      <c r="D464" t="s">
        <v>852</v>
      </c>
    </row>
    <row r="465" spans="1:4" x14ac:dyDescent="0.25">
      <c r="A465" s="143">
        <v>42101</v>
      </c>
      <c r="B465">
        <v>162.07</v>
      </c>
      <c r="C465">
        <v>3.1479750000000002</v>
      </c>
      <c r="D465" t="s">
        <v>852</v>
      </c>
    </row>
    <row r="466" spans="1:4" x14ac:dyDescent="0.25">
      <c r="A466" s="143">
        <v>42102</v>
      </c>
      <c r="B466">
        <v>161.85</v>
      </c>
      <c r="C466">
        <v>2.5243229999999999</v>
      </c>
      <c r="D466" t="s">
        <v>852</v>
      </c>
    </row>
    <row r="467" spans="1:4" x14ac:dyDescent="0.25">
      <c r="A467" s="143">
        <v>42103</v>
      </c>
      <c r="B467">
        <v>162.34</v>
      </c>
      <c r="C467">
        <v>2.26349</v>
      </c>
      <c r="D467" t="s">
        <v>852</v>
      </c>
    </row>
    <row r="468" spans="1:4" x14ac:dyDescent="0.25">
      <c r="A468" s="143">
        <v>42104</v>
      </c>
      <c r="B468">
        <v>162.86000000000001</v>
      </c>
      <c r="C468">
        <v>2.5157029999999998</v>
      </c>
      <c r="D468" t="s">
        <v>852</v>
      </c>
    </row>
    <row r="469" spans="1:4" x14ac:dyDescent="0.25">
      <c r="A469" s="143">
        <v>42107</v>
      </c>
      <c r="B469">
        <v>162.38</v>
      </c>
      <c r="C469">
        <v>3.8689110000000002</v>
      </c>
      <c r="D469" t="s">
        <v>852</v>
      </c>
    </row>
    <row r="470" spans="1:4" x14ac:dyDescent="0.25">
      <c r="A470" s="143">
        <v>42108</v>
      </c>
      <c r="B470">
        <v>162.30000000000001</v>
      </c>
      <c r="C470">
        <v>2.719287</v>
      </c>
      <c r="D470" t="s">
        <v>852</v>
      </c>
    </row>
    <row r="471" spans="1:4" x14ac:dyDescent="0.25">
      <c r="A471" s="143">
        <v>42109</v>
      </c>
      <c r="B471">
        <v>164.13</v>
      </c>
      <c r="C471">
        <v>3.4987560000000002</v>
      </c>
      <c r="D471" t="s">
        <v>852</v>
      </c>
    </row>
    <row r="472" spans="1:4" x14ac:dyDescent="0.25">
      <c r="A472" s="143">
        <v>42110</v>
      </c>
      <c r="B472">
        <v>163.13</v>
      </c>
      <c r="C472">
        <v>3.1369470000000002</v>
      </c>
      <c r="D472" t="s">
        <v>852</v>
      </c>
    </row>
    <row r="473" spans="1:4" x14ac:dyDescent="0.25">
      <c r="A473" s="143">
        <v>42111</v>
      </c>
      <c r="B473">
        <v>160.66999999999999</v>
      </c>
      <c r="C473">
        <v>4.314432</v>
      </c>
      <c r="D473" t="s">
        <v>852</v>
      </c>
    </row>
    <row r="474" spans="1:4" x14ac:dyDescent="0.25">
      <c r="A474" s="143">
        <v>42114</v>
      </c>
      <c r="B474">
        <v>166.16</v>
      </c>
      <c r="C474">
        <v>9.6092040000000001</v>
      </c>
      <c r="D474" t="s">
        <v>852</v>
      </c>
    </row>
    <row r="475" spans="1:4" x14ac:dyDescent="0.25">
      <c r="A475" s="143">
        <v>42115</v>
      </c>
      <c r="B475">
        <v>164.26</v>
      </c>
      <c r="C475">
        <v>9.6835920000000009</v>
      </c>
      <c r="D475" t="s">
        <v>852</v>
      </c>
    </row>
    <row r="476" spans="1:4" x14ac:dyDescent="0.25">
      <c r="A476" s="143">
        <v>42116</v>
      </c>
      <c r="B476">
        <v>165.36</v>
      </c>
      <c r="C476">
        <v>4.0247890000000002</v>
      </c>
      <c r="D476" t="s">
        <v>852</v>
      </c>
    </row>
    <row r="477" spans="1:4" x14ac:dyDescent="0.25">
      <c r="A477" s="143">
        <v>42117</v>
      </c>
      <c r="B477">
        <v>170.24</v>
      </c>
      <c r="C477">
        <v>8.2356069999999999</v>
      </c>
      <c r="D477" t="s">
        <v>852</v>
      </c>
    </row>
    <row r="478" spans="1:4" x14ac:dyDescent="0.25">
      <c r="A478" s="143">
        <v>42118</v>
      </c>
      <c r="B478">
        <v>169.78</v>
      </c>
      <c r="C478">
        <v>3.888439</v>
      </c>
      <c r="D478" t="s">
        <v>852</v>
      </c>
    </row>
    <row r="479" spans="1:4" x14ac:dyDescent="0.25">
      <c r="A479" s="143">
        <v>42121</v>
      </c>
      <c r="B479">
        <v>170.73</v>
      </c>
      <c r="C479">
        <v>3.1685750000000001</v>
      </c>
      <c r="D479" t="s">
        <v>852</v>
      </c>
    </row>
    <row r="480" spans="1:4" x14ac:dyDescent="0.25">
      <c r="A480" s="143">
        <v>42122</v>
      </c>
      <c r="B480">
        <v>173.92</v>
      </c>
      <c r="C480">
        <v>5.8166539999999998</v>
      </c>
      <c r="D480" t="s">
        <v>852</v>
      </c>
    </row>
    <row r="481" spans="1:4" x14ac:dyDescent="0.25">
      <c r="A481" s="143">
        <v>42123</v>
      </c>
      <c r="B481">
        <v>174.4</v>
      </c>
      <c r="C481">
        <v>4.5183809999999998</v>
      </c>
      <c r="D481" t="s">
        <v>852</v>
      </c>
    </row>
    <row r="482" spans="1:4" x14ac:dyDescent="0.25">
      <c r="A482" s="143">
        <v>42124</v>
      </c>
      <c r="B482">
        <v>171.29</v>
      </c>
      <c r="C482">
        <v>5.062913</v>
      </c>
      <c r="D482" t="s">
        <v>852</v>
      </c>
    </row>
    <row r="483" spans="1:4" x14ac:dyDescent="0.25">
      <c r="A483" s="143">
        <v>42125</v>
      </c>
      <c r="B483">
        <v>173.67</v>
      </c>
      <c r="C483">
        <v>3.312052</v>
      </c>
      <c r="D483" t="s">
        <v>852</v>
      </c>
    </row>
    <row r="484" spans="1:4" x14ac:dyDescent="0.25">
      <c r="A484" s="143">
        <v>42128</v>
      </c>
      <c r="B484">
        <v>173.97</v>
      </c>
      <c r="C484">
        <v>4.0279780000000001</v>
      </c>
      <c r="D484" t="s">
        <v>852</v>
      </c>
    </row>
    <row r="485" spans="1:4" x14ac:dyDescent="0.25">
      <c r="A485" s="143">
        <v>42129</v>
      </c>
      <c r="B485">
        <v>173.08</v>
      </c>
      <c r="C485">
        <v>3.59362</v>
      </c>
      <c r="D485" t="s">
        <v>852</v>
      </c>
    </row>
    <row r="486" spans="1:4" x14ac:dyDescent="0.25">
      <c r="A486" s="143">
        <v>42130</v>
      </c>
      <c r="B486">
        <v>170.05</v>
      </c>
      <c r="C486">
        <v>3.612606</v>
      </c>
      <c r="D486" t="s">
        <v>852</v>
      </c>
    </row>
    <row r="487" spans="1:4" x14ac:dyDescent="0.25">
      <c r="A487" s="143">
        <v>42131</v>
      </c>
      <c r="B487">
        <v>170.99</v>
      </c>
      <c r="C487">
        <v>2.4726870000000001</v>
      </c>
      <c r="D487" t="s">
        <v>852</v>
      </c>
    </row>
    <row r="488" spans="1:4" x14ac:dyDescent="0.25">
      <c r="A488" s="143">
        <v>42132</v>
      </c>
      <c r="B488">
        <v>172.68</v>
      </c>
      <c r="C488">
        <v>3.0926019999999999</v>
      </c>
      <c r="D488" t="s">
        <v>852</v>
      </c>
    </row>
    <row r="489" spans="1:4" x14ac:dyDescent="0.25">
      <c r="A489" s="143">
        <v>42135</v>
      </c>
      <c r="B489">
        <v>171.12</v>
      </c>
      <c r="C489">
        <v>2.6610299999999998</v>
      </c>
      <c r="D489" t="s">
        <v>852</v>
      </c>
    </row>
    <row r="490" spans="1:4" x14ac:dyDescent="0.25">
      <c r="A490" s="143">
        <v>42136</v>
      </c>
      <c r="B490">
        <v>170.55</v>
      </c>
      <c r="C490">
        <v>2.962412</v>
      </c>
      <c r="D490" t="s">
        <v>852</v>
      </c>
    </row>
    <row r="491" spans="1:4" x14ac:dyDescent="0.25">
      <c r="A491" s="143">
        <v>42137</v>
      </c>
      <c r="B491">
        <v>172.28</v>
      </c>
      <c r="C491">
        <v>2.4575209999999998</v>
      </c>
      <c r="D491" t="s">
        <v>852</v>
      </c>
    </row>
    <row r="492" spans="1:4" x14ac:dyDescent="0.25">
      <c r="A492" s="143">
        <v>42138</v>
      </c>
      <c r="B492">
        <v>174.05</v>
      </c>
      <c r="C492">
        <v>2.4390700000000001</v>
      </c>
      <c r="D492" t="s">
        <v>852</v>
      </c>
    </row>
    <row r="493" spans="1:4" x14ac:dyDescent="0.25">
      <c r="A493" s="143">
        <v>42139</v>
      </c>
      <c r="B493">
        <v>173.26</v>
      </c>
      <c r="C493">
        <v>2.916579</v>
      </c>
      <c r="D493" t="s">
        <v>852</v>
      </c>
    </row>
    <row r="494" spans="1:4" x14ac:dyDescent="0.25">
      <c r="A494" s="143">
        <v>42142</v>
      </c>
      <c r="B494">
        <v>173.06</v>
      </c>
      <c r="C494">
        <v>1.9706300000000001</v>
      </c>
      <c r="D494" t="s">
        <v>852</v>
      </c>
    </row>
    <row r="495" spans="1:4" x14ac:dyDescent="0.25">
      <c r="A495" s="143">
        <v>42143</v>
      </c>
      <c r="B495">
        <v>173.48</v>
      </c>
      <c r="C495">
        <v>2.523002</v>
      </c>
      <c r="D495" t="s">
        <v>852</v>
      </c>
    </row>
    <row r="496" spans="1:4" x14ac:dyDescent="0.25">
      <c r="A496" s="143">
        <v>42144</v>
      </c>
      <c r="B496">
        <v>173.76</v>
      </c>
      <c r="C496">
        <v>2.3006929999999999</v>
      </c>
      <c r="D496" t="s">
        <v>852</v>
      </c>
    </row>
    <row r="497" spans="1:4" x14ac:dyDescent="0.25">
      <c r="A497" s="143">
        <v>42145</v>
      </c>
      <c r="B497">
        <v>173.34</v>
      </c>
      <c r="C497">
        <v>2.2955960000000002</v>
      </c>
      <c r="D497" t="s">
        <v>852</v>
      </c>
    </row>
    <row r="498" spans="1:4" x14ac:dyDescent="0.25">
      <c r="A498" s="143">
        <v>42146</v>
      </c>
      <c r="B498">
        <v>172.22</v>
      </c>
      <c r="C498">
        <v>2.8496920000000001</v>
      </c>
      <c r="D498" t="s">
        <v>852</v>
      </c>
    </row>
    <row r="499" spans="1:4" x14ac:dyDescent="0.25">
      <c r="A499" s="143">
        <v>42150</v>
      </c>
      <c r="B499">
        <v>170.13</v>
      </c>
      <c r="C499">
        <v>3.8541699999999999</v>
      </c>
      <c r="D499" t="s">
        <v>852</v>
      </c>
    </row>
    <row r="500" spans="1:4" x14ac:dyDescent="0.25">
      <c r="A500" s="143">
        <v>42151</v>
      </c>
      <c r="B500">
        <v>172</v>
      </c>
      <c r="C500">
        <v>2.7643779999999998</v>
      </c>
      <c r="D500" t="s">
        <v>852</v>
      </c>
    </row>
    <row r="501" spans="1:4" x14ac:dyDescent="0.25">
      <c r="A501" s="143">
        <v>42152</v>
      </c>
      <c r="B501">
        <v>171.71</v>
      </c>
      <c r="C501">
        <v>1.7313719999999999</v>
      </c>
      <c r="D501" t="s">
        <v>852</v>
      </c>
    </row>
    <row r="502" spans="1:4" x14ac:dyDescent="0.25">
      <c r="A502" s="143">
        <v>42153</v>
      </c>
      <c r="B502">
        <v>169.65</v>
      </c>
      <c r="C502">
        <v>4.0919809999999996</v>
      </c>
      <c r="D502" t="s">
        <v>852</v>
      </c>
    </row>
    <row r="503" spans="1:4" x14ac:dyDescent="0.25">
      <c r="A503" s="143">
        <v>42156</v>
      </c>
      <c r="B503">
        <v>170.18</v>
      </c>
      <c r="C503">
        <v>2.9854790000000002</v>
      </c>
      <c r="D503" t="s">
        <v>852</v>
      </c>
    </row>
    <row r="504" spans="1:4" x14ac:dyDescent="0.25">
      <c r="A504" s="143">
        <v>42157</v>
      </c>
      <c r="B504">
        <v>169.65</v>
      </c>
      <c r="C504">
        <v>2.5718619999999999</v>
      </c>
      <c r="D504" t="s">
        <v>852</v>
      </c>
    </row>
    <row r="505" spans="1:4" x14ac:dyDescent="0.25">
      <c r="A505" s="143">
        <v>42158</v>
      </c>
      <c r="B505">
        <v>169.92</v>
      </c>
      <c r="C505">
        <v>2.1310310000000001</v>
      </c>
      <c r="D505" t="s">
        <v>852</v>
      </c>
    </row>
    <row r="506" spans="1:4" x14ac:dyDescent="0.25">
      <c r="A506" s="143">
        <v>42159</v>
      </c>
      <c r="B506">
        <v>168.38</v>
      </c>
      <c r="C506">
        <v>3.0793339999999998</v>
      </c>
      <c r="D506" t="s">
        <v>852</v>
      </c>
    </row>
    <row r="507" spans="1:4" x14ac:dyDescent="0.25">
      <c r="A507" s="143">
        <v>42160</v>
      </c>
      <c r="B507">
        <v>167.4</v>
      </c>
      <c r="C507">
        <v>3.1005050000000001</v>
      </c>
      <c r="D507" t="s">
        <v>852</v>
      </c>
    </row>
    <row r="508" spans="1:4" x14ac:dyDescent="0.25">
      <c r="A508" s="143">
        <v>42163</v>
      </c>
      <c r="B508">
        <v>165.34</v>
      </c>
      <c r="C508">
        <v>3.7587259999999998</v>
      </c>
      <c r="D508" t="s">
        <v>852</v>
      </c>
    </row>
    <row r="509" spans="1:4" x14ac:dyDescent="0.25">
      <c r="A509" s="143">
        <v>42164</v>
      </c>
      <c r="B509">
        <v>165.68</v>
      </c>
      <c r="C509">
        <v>3.3959009999999998</v>
      </c>
      <c r="D509" t="s">
        <v>852</v>
      </c>
    </row>
    <row r="510" spans="1:4" x14ac:dyDescent="0.25">
      <c r="A510" s="143">
        <v>42165</v>
      </c>
      <c r="B510">
        <v>168.92</v>
      </c>
      <c r="C510">
        <v>4.6805450000000004</v>
      </c>
      <c r="D510" t="s">
        <v>852</v>
      </c>
    </row>
    <row r="511" spans="1:4" x14ac:dyDescent="0.25">
      <c r="A511" s="143">
        <v>42166</v>
      </c>
      <c r="B511">
        <v>168.78</v>
      </c>
      <c r="C511">
        <v>3.464013</v>
      </c>
      <c r="D511" t="s">
        <v>852</v>
      </c>
    </row>
    <row r="512" spans="1:4" x14ac:dyDescent="0.25">
      <c r="A512" s="143">
        <v>42167</v>
      </c>
      <c r="B512">
        <v>166.99</v>
      </c>
      <c r="C512">
        <v>3.0650849999999998</v>
      </c>
      <c r="D512" t="s">
        <v>852</v>
      </c>
    </row>
    <row r="513" spans="1:4" x14ac:dyDescent="0.25">
      <c r="A513" s="143">
        <v>42170</v>
      </c>
      <c r="B513">
        <v>166.26</v>
      </c>
      <c r="C513">
        <v>4.2456569999999996</v>
      </c>
      <c r="D513" t="s">
        <v>852</v>
      </c>
    </row>
    <row r="514" spans="1:4" x14ac:dyDescent="0.25">
      <c r="A514" s="143">
        <v>42171</v>
      </c>
      <c r="B514">
        <v>166.84</v>
      </c>
      <c r="C514">
        <v>3.2498420000000001</v>
      </c>
      <c r="D514" t="s">
        <v>852</v>
      </c>
    </row>
    <row r="515" spans="1:4" x14ac:dyDescent="0.25">
      <c r="A515" s="143">
        <v>42172</v>
      </c>
      <c r="B515">
        <v>167.17</v>
      </c>
      <c r="C515">
        <v>2.8629929999999999</v>
      </c>
      <c r="D515" t="s">
        <v>852</v>
      </c>
    </row>
    <row r="516" spans="1:4" x14ac:dyDescent="0.25">
      <c r="A516" s="143">
        <v>42173</v>
      </c>
      <c r="B516">
        <v>168.25</v>
      </c>
      <c r="C516">
        <v>3.330864</v>
      </c>
      <c r="D516" t="s">
        <v>852</v>
      </c>
    </row>
    <row r="517" spans="1:4" x14ac:dyDescent="0.25">
      <c r="A517" s="143">
        <v>42174</v>
      </c>
      <c r="B517">
        <v>166.99</v>
      </c>
      <c r="C517">
        <v>7.0739840000000003</v>
      </c>
      <c r="D517" t="s">
        <v>852</v>
      </c>
    </row>
    <row r="518" spans="1:4" x14ac:dyDescent="0.25">
      <c r="A518" s="143">
        <v>42177</v>
      </c>
      <c r="B518">
        <v>167.73</v>
      </c>
      <c r="C518">
        <v>2.3357960000000002</v>
      </c>
      <c r="D518" t="s">
        <v>852</v>
      </c>
    </row>
    <row r="519" spans="1:4" x14ac:dyDescent="0.25">
      <c r="A519" s="143">
        <v>42178</v>
      </c>
      <c r="B519">
        <v>168.62</v>
      </c>
      <c r="C519">
        <v>3.7016369999999998</v>
      </c>
      <c r="D519" t="s">
        <v>852</v>
      </c>
    </row>
    <row r="520" spans="1:4" x14ac:dyDescent="0.25">
      <c r="A520" s="143">
        <v>42179</v>
      </c>
      <c r="B520">
        <v>166.97</v>
      </c>
      <c r="C520">
        <v>3.5480930000000002</v>
      </c>
      <c r="D520" t="s">
        <v>852</v>
      </c>
    </row>
    <row r="521" spans="1:4" x14ac:dyDescent="0.25">
      <c r="A521" s="143">
        <v>42180</v>
      </c>
      <c r="B521">
        <v>166.08</v>
      </c>
      <c r="C521">
        <v>2.4088850000000002</v>
      </c>
      <c r="D521" t="s">
        <v>852</v>
      </c>
    </row>
    <row r="522" spans="1:4" x14ac:dyDescent="0.25">
      <c r="A522" s="143">
        <v>42181</v>
      </c>
      <c r="B522">
        <v>165.46</v>
      </c>
      <c r="C522">
        <v>8.9459850000000003</v>
      </c>
      <c r="D522" t="s">
        <v>852</v>
      </c>
    </row>
    <row r="523" spans="1:4" x14ac:dyDescent="0.25">
      <c r="A523" s="143">
        <v>42184</v>
      </c>
      <c r="B523">
        <v>162.97</v>
      </c>
      <c r="C523">
        <v>3.3146840000000002</v>
      </c>
      <c r="D523" t="s">
        <v>852</v>
      </c>
    </row>
    <row r="524" spans="1:4" x14ac:dyDescent="0.25">
      <c r="A524" s="143">
        <v>42185</v>
      </c>
      <c r="B524">
        <v>162.66</v>
      </c>
      <c r="C524">
        <v>3.5972879999999998</v>
      </c>
      <c r="D524" t="s">
        <v>852</v>
      </c>
    </row>
    <row r="525" spans="1:4" x14ac:dyDescent="0.25">
      <c r="A525" s="143">
        <v>42186</v>
      </c>
      <c r="B525">
        <v>164.49</v>
      </c>
      <c r="C525">
        <v>3.214547</v>
      </c>
      <c r="D525" t="s">
        <v>852</v>
      </c>
    </row>
    <row r="526" spans="1:4" x14ac:dyDescent="0.25">
      <c r="A526" s="143">
        <v>42187</v>
      </c>
      <c r="B526">
        <v>165.09</v>
      </c>
      <c r="C526">
        <v>2.8526959999999999</v>
      </c>
      <c r="D526" t="s">
        <v>852</v>
      </c>
    </row>
    <row r="527" spans="1:4" x14ac:dyDescent="0.25">
      <c r="A527" s="143">
        <v>42191</v>
      </c>
      <c r="B527">
        <v>164.73</v>
      </c>
      <c r="C527">
        <v>3.0798329999999998</v>
      </c>
      <c r="D527" t="s">
        <v>852</v>
      </c>
    </row>
    <row r="528" spans="1:4" x14ac:dyDescent="0.25">
      <c r="A528" s="143">
        <v>42192</v>
      </c>
      <c r="B528">
        <v>165</v>
      </c>
      <c r="C528">
        <v>3.5498609999999999</v>
      </c>
      <c r="D528" t="s">
        <v>852</v>
      </c>
    </row>
    <row r="529" spans="1:4" x14ac:dyDescent="0.25">
      <c r="A529" s="143">
        <v>42193</v>
      </c>
      <c r="B529">
        <v>163.16</v>
      </c>
      <c r="C529">
        <v>2.7762859999999998</v>
      </c>
      <c r="D529" t="s">
        <v>852</v>
      </c>
    </row>
    <row r="530" spans="1:4" x14ac:dyDescent="0.25">
      <c r="A530" s="143">
        <v>42194</v>
      </c>
      <c r="B530">
        <v>163.85</v>
      </c>
      <c r="C530">
        <v>4.1997080000000002</v>
      </c>
      <c r="D530" t="s">
        <v>852</v>
      </c>
    </row>
    <row r="531" spans="1:4" x14ac:dyDescent="0.25">
      <c r="A531" s="143">
        <v>42195</v>
      </c>
      <c r="B531">
        <v>166.95</v>
      </c>
      <c r="C531">
        <v>4.5383490000000002</v>
      </c>
      <c r="D531" t="s">
        <v>852</v>
      </c>
    </row>
    <row r="532" spans="1:4" x14ac:dyDescent="0.25">
      <c r="A532" s="143">
        <v>42198</v>
      </c>
      <c r="B532">
        <v>169.38</v>
      </c>
      <c r="C532">
        <v>4.2289630000000002</v>
      </c>
      <c r="D532" t="s">
        <v>852</v>
      </c>
    </row>
    <row r="533" spans="1:4" x14ac:dyDescent="0.25">
      <c r="A533" s="143">
        <v>42199</v>
      </c>
      <c r="B533">
        <v>168.61</v>
      </c>
      <c r="C533">
        <v>3.0252629999999998</v>
      </c>
      <c r="D533" t="s">
        <v>852</v>
      </c>
    </row>
    <row r="534" spans="1:4" x14ac:dyDescent="0.25">
      <c r="A534" s="143">
        <v>42200</v>
      </c>
      <c r="B534">
        <v>168.53</v>
      </c>
      <c r="C534">
        <v>1.9980039999999999</v>
      </c>
      <c r="D534" t="s">
        <v>852</v>
      </c>
    </row>
    <row r="535" spans="1:4" x14ac:dyDescent="0.25">
      <c r="A535" s="143">
        <v>42201</v>
      </c>
      <c r="B535">
        <v>171</v>
      </c>
      <c r="C535">
        <v>3.529874</v>
      </c>
      <c r="D535" t="s">
        <v>852</v>
      </c>
    </row>
    <row r="536" spans="1:4" x14ac:dyDescent="0.25">
      <c r="A536" s="143">
        <v>42202</v>
      </c>
      <c r="B536">
        <v>172.51</v>
      </c>
      <c r="C536">
        <v>4.3564040000000004</v>
      </c>
      <c r="D536" t="s">
        <v>852</v>
      </c>
    </row>
    <row r="537" spans="1:4" x14ac:dyDescent="0.25">
      <c r="A537" s="143">
        <v>42205</v>
      </c>
      <c r="B537">
        <v>173.22</v>
      </c>
      <c r="C537">
        <v>7.3778180000000004</v>
      </c>
      <c r="D537" t="s">
        <v>852</v>
      </c>
    </row>
    <row r="538" spans="1:4" x14ac:dyDescent="0.25">
      <c r="A538" s="143">
        <v>42206</v>
      </c>
      <c r="B538">
        <v>163.07</v>
      </c>
      <c r="C538">
        <v>13.752276999999999</v>
      </c>
      <c r="D538" t="s">
        <v>852</v>
      </c>
    </row>
    <row r="539" spans="1:4" x14ac:dyDescent="0.25">
      <c r="A539" s="143">
        <v>42207</v>
      </c>
      <c r="B539">
        <v>160.35</v>
      </c>
      <c r="C539">
        <v>7.1818410000000004</v>
      </c>
      <c r="D539" t="s">
        <v>852</v>
      </c>
    </row>
    <row r="540" spans="1:4" x14ac:dyDescent="0.25">
      <c r="A540" s="143">
        <v>42208</v>
      </c>
      <c r="B540">
        <v>161.72999999999999</v>
      </c>
      <c r="C540">
        <v>5.0342460000000004</v>
      </c>
      <c r="D540" t="s">
        <v>852</v>
      </c>
    </row>
    <row r="541" spans="1:4" x14ac:dyDescent="0.25">
      <c r="A541" s="143">
        <v>42209</v>
      </c>
      <c r="B541">
        <v>159.75</v>
      </c>
      <c r="C541">
        <v>3.7781859999999998</v>
      </c>
      <c r="D541" t="s">
        <v>852</v>
      </c>
    </row>
    <row r="542" spans="1:4" x14ac:dyDescent="0.25">
      <c r="A542" s="143">
        <v>42212</v>
      </c>
      <c r="B542">
        <v>159.07</v>
      </c>
      <c r="C542">
        <v>3.7062400000000002</v>
      </c>
      <c r="D542" t="s">
        <v>852</v>
      </c>
    </row>
    <row r="543" spans="1:4" x14ac:dyDescent="0.25">
      <c r="A543" s="143">
        <v>42213</v>
      </c>
      <c r="B543">
        <v>160.05000000000001</v>
      </c>
      <c r="C543">
        <v>2.7210399999999999</v>
      </c>
      <c r="D543" t="s">
        <v>852</v>
      </c>
    </row>
    <row r="544" spans="1:4" x14ac:dyDescent="0.25">
      <c r="A544" s="143">
        <v>42214</v>
      </c>
      <c r="B544">
        <v>161.09</v>
      </c>
      <c r="C544">
        <v>3.378396</v>
      </c>
      <c r="D544" t="s">
        <v>852</v>
      </c>
    </row>
    <row r="545" spans="1:4" x14ac:dyDescent="0.25">
      <c r="A545" s="143">
        <v>42215</v>
      </c>
      <c r="B545">
        <v>160.96</v>
      </c>
      <c r="C545">
        <v>1.9946649999999999</v>
      </c>
      <c r="D545" t="s">
        <v>852</v>
      </c>
    </row>
    <row r="546" spans="1:4" x14ac:dyDescent="0.25">
      <c r="A546" s="143">
        <v>42216</v>
      </c>
      <c r="B546">
        <v>161.99</v>
      </c>
      <c r="C546">
        <v>3.5802260000000001</v>
      </c>
      <c r="D546" t="s">
        <v>852</v>
      </c>
    </row>
    <row r="547" spans="1:4" x14ac:dyDescent="0.25">
      <c r="A547" s="143">
        <v>42219</v>
      </c>
      <c r="B547">
        <v>158.71</v>
      </c>
      <c r="C547">
        <v>4.6156819999999996</v>
      </c>
      <c r="D547" t="s">
        <v>852</v>
      </c>
    </row>
    <row r="548" spans="1:4" x14ac:dyDescent="0.25">
      <c r="A548" s="143">
        <v>42220</v>
      </c>
      <c r="B548">
        <v>157.6</v>
      </c>
      <c r="C548">
        <v>5.2605750000000002</v>
      </c>
      <c r="D548" t="s">
        <v>852</v>
      </c>
    </row>
    <row r="549" spans="1:4" x14ac:dyDescent="0.25">
      <c r="A549" s="143">
        <v>42221</v>
      </c>
      <c r="B549">
        <v>157.9</v>
      </c>
      <c r="C549">
        <v>3.4727739999999998</v>
      </c>
      <c r="D549" t="s">
        <v>852</v>
      </c>
    </row>
    <row r="550" spans="1:4" x14ac:dyDescent="0.25">
      <c r="A550" s="143">
        <v>42222</v>
      </c>
      <c r="B550">
        <v>156.32</v>
      </c>
      <c r="C550">
        <v>3.0047959999999998</v>
      </c>
      <c r="D550" t="s">
        <v>852</v>
      </c>
    </row>
    <row r="551" spans="1:4" x14ac:dyDescent="0.25">
      <c r="A551" s="143">
        <v>42223</v>
      </c>
      <c r="B551">
        <v>155.12</v>
      </c>
      <c r="C551">
        <v>3.7948970000000002</v>
      </c>
      <c r="D551" t="s">
        <v>852</v>
      </c>
    </row>
    <row r="552" spans="1:4" x14ac:dyDescent="0.25">
      <c r="A552" s="143">
        <v>42226</v>
      </c>
      <c r="B552">
        <v>156.75</v>
      </c>
      <c r="C552">
        <v>4.613391</v>
      </c>
      <c r="D552" t="s">
        <v>852</v>
      </c>
    </row>
    <row r="553" spans="1:4" x14ac:dyDescent="0.25">
      <c r="A553" s="143">
        <v>42227</v>
      </c>
      <c r="B553">
        <v>155.51</v>
      </c>
      <c r="C553">
        <v>3.1671109999999998</v>
      </c>
      <c r="D553" t="s">
        <v>852</v>
      </c>
    </row>
    <row r="554" spans="1:4" x14ac:dyDescent="0.25">
      <c r="A554" s="143">
        <v>42228</v>
      </c>
      <c r="B554">
        <v>156.16</v>
      </c>
      <c r="C554">
        <v>3.6248520000000002</v>
      </c>
      <c r="D554" t="s">
        <v>852</v>
      </c>
    </row>
    <row r="555" spans="1:4" x14ac:dyDescent="0.25">
      <c r="A555" s="143">
        <v>42229</v>
      </c>
      <c r="B555">
        <v>155.07</v>
      </c>
      <c r="C555">
        <v>2.5333779999999999</v>
      </c>
      <c r="D555" t="s">
        <v>852</v>
      </c>
    </row>
    <row r="556" spans="1:4" x14ac:dyDescent="0.25">
      <c r="A556" s="143">
        <v>42230</v>
      </c>
      <c r="B556">
        <v>155.75</v>
      </c>
      <c r="C556">
        <v>3.2264339999999998</v>
      </c>
      <c r="D556" t="s">
        <v>852</v>
      </c>
    </row>
    <row r="557" spans="1:4" x14ac:dyDescent="0.25">
      <c r="A557" s="143">
        <v>42233</v>
      </c>
      <c r="B557">
        <v>156.31</v>
      </c>
      <c r="C557">
        <v>2.2495539999999998</v>
      </c>
      <c r="D557" t="s">
        <v>852</v>
      </c>
    </row>
    <row r="558" spans="1:4" x14ac:dyDescent="0.25">
      <c r="A558" s="143">
        <v>42234</v>
      </c>
      <c r="B558">
        <v>156.01</v>
      </c>
      <c r="C558">
        <v>2.0183369999999998</v>
      </c>
      <c r="D558" t="s">
        <v>852</v>
      </c>
    </row>
    <row r="559" spans="1:4" x14ac:dyDescent="0.25">
      <c r="A559" s="143">
        <v>42235</v>
      </c>
      <c r="B559">
        <v>153.94</v>
      </c>
      <c r="C559">
        <v>4.2063810000000004</v>
      </c>
      <c r="D559" t="s">
        <v>852</v>
      </c>
    </row>
    <row r="560" spans="1:4" x14ac:dyDescent="0.25">
      <c r="A560" s="143">
        <v>42236</v>
      </c>
      <c r="B560">
        <v>152.66</v>
      </c>
      <c r="C560">
        <v>4.011514</v>
      </c>
      <c r="D560" t="s">
        <v>852</v>
      </c>
    </row>
    <row r="561" spans="1:4" x14ac:dyDescent="0.25">
      <c r="A561" s="143">
        <v>42237</v>
      </c>
      <c r="B561">
        <v>148.85</v>
      </c>
      <c r="C561">
        <v>7.3621160000000003</v>
      </c>
      <c r="D561" t="s">
        <v>852</v>
      </c>
    </row>
    <row r="562" spans="1:4" x14ac:dyDescent="0.25">
      <c r="A562" s="143">
        <v>42240</v>
      </c>
      <c r="B562">
        <v>143.47</v>
      </c>
      <c r="C562">
        <v>10.189693</v>
      </c>
      <c r="D562" t="s">
        <v>852</v>
      </c>
    </row>
    <row r="563" spans="1:4" x14ac:dyDescent="0.25">
      <c r="A563" s="143">
        <v>42241</v>
      </c>
      <c r="B563">
        <v>140.96</v>
      </c>
      <c r="C563">
        <v>7.0732090000000003</v>
      </c>
      <c r="D563" t="s">
        <v>852</v>
      </c>
    </row>
    <row r="564" spans="1:4" x14ac:dyDescent="0.25">
      <c r="A564" s="143">
        <v>42242</v>
      </c>
      <c r="B564">
        <v>146.69999999999999</v>
      </c>
      <c r="C564">
        <v>6.2217909999999996</v>
      </c>
      <c r="D564" t="s">
        <v>852</v>
      </c>
    </row>
    <row r="565" spans="1:4" x14ac:dyDescent="0.25">
      <c r="A565" s="143">
        <v>42243</v>
      </c>
      <c r="B565">
        <v>148.54</v>
      </c>
      <c r="C565">
        <v>4.9766320000000004</v>
      </c>
      <c r="D565" t="s">
        <v>852</v>
      </c>
    </row>
    <row r="566" spans="1:4" x14ac:dyDescent="0.25">
      <c r="A566" s="143">
        <v>42244</v>
      </c>
      <c r="B566">
        <v>147.97999999999999</v>
      </c>
      <c r="C566">
        <v>4.076276</v>
      </c>
      <c r="D566" t="s">
        <v>852</v>
      </c>
    </row>
    <row r="567" spans="1:4" x14ac:dyDescent="0.25">
      <c r="A567" s="143">
        <v>42247</v>
      </c>
      <c r="B567">
        <v>147.88999999999999</v>
      </c>
      <c r="C567">
        <v>4.0930780000000002</v>
      </c>
      <c r="D567" t="s">
        <v>852</v>
      </c>
    </row>
    <row r="568" spans="1:4" x14ac:dyDescent="0.25">
      <c r="A568" s="143">
        <v>42248</v>
      </c>
      <c r="B568">
        <v>142.68</v>
      </c>
      <c r="C568">
        <v>5.2720159999999998</v>
      </c>
      <c r="D568" t="s">
        <v>852</v>
      </c>
    </row>
    <row r="569" spans="1:4" x14ac:dyDescent="0.25">
      <c r="A569" s="143">
        <v>42249</v>
      </c>
      <c r="B569">
        <v>145.05000000000001</v>
      </c>
      <c r="C569">
        <v>4.2520280000000001</v>
      </c>
      <c r="D569" t="s">
        <v>852</v>
      </c>
    </row>
    <row r="570" spans="1:4" x14ac:dyDescent="0.25">
      <c r="A570" s="143">
        <v>42250</v>
      </c>
      <c r="B570">
        <v>146.78</v>
      </c>
      <c r="C570">
        <v>3.6035180000000002</v>
      </c>
      <c r="D570" t="s">
        <v>852</v>
      </c>
    </row>
    <row r="571" spans="1:4" x14ac:dyDescent="0.25">
      <c r="A571" s="143">
        <v>42251</v>
      </c>
      <c r="B571">
        <v>143.69999999999999</v>
      </c>
      <c r="C571">
        <v>4.2010680000000002</v>
      </c>
      <c r="D571" t="s">
        <v>852</v>
      </c>
    </row>
    <row r="572" spans="1:4" x14ac:dyDescent="0.25">
      <c r="A572" s="143">
        <v>42255</v>
      </c>
      <c r="B572">
        <v>147.22999999999999</v>
      </c>
      <c r="C572">
        <v>3.9332760000000002</v>
      </c>
      <c r="D572" t="s">
        <v>852</v>
      </c>
    </row>
    <row r="573" spans="1:4" x14ac:dyDescent="0.25">
      <c r="A573" s="143">
        <v>42256</v>
      </c>
      <c r="B573">
        <v>145.05000000000001</v>
      </c>
      <c r="C573">
        <v>3.4077609999999998</v>
      </c>
      <c r="D573" t="s">
        <v>852</v>
      </c>
    </row>
    <row r="574" spans="1:4" x14ac:dyDescent="0.25">
      <c r="A574" s="143">
        <v>42257</v>
      </c>
      <c r="B574">
        <v>146.19999999999999</v>
      </c>
      <c r="C574">
        <v>3.4616579999999999</v>
      </c>
      <c r="D574" t="s">
        <v>852</v>
      </c>
    </row>
    <row r="575" spans="1:4" x14ac:dyDescent="0.25">
      <c r="A575" s="143">
        <v>42258</v>
      </c>
      <c r="B575">
        <v>147.37</v>
      </c>
      <c r="C575">
        <v>3.1150530000000001</v>
      </c>
      <c r="D575" t="s">
        <v>852</v>
      </c>
    </row>
    <row r="576" spans="1:4" x14ac:dyDescent="0.25">
      <c r="A576" s="143">
        <v>42261</v>
      </c>
      <c r="B576">
        <v>145.65</v>
      </c>
      <c r="C576">
        <v>3.226747</v>
      </c>
      <c r="D576" t="s">
        <v>852</v>
      </c>
    </row>
    <row r="577" spans="1:4" x14ac:dyDescent="0.25">
      <c r="A577" s="143">
        <v>42262</v>
      </c>
      <c r="B577">
        <v>147.53</v>
      </c>
      <c r="C577">
        <v>2.71706</v>
      </c>
      <c r="D577" t="s">
        <v>852</v>
      </c>
    </row>
    <row r="578" spans="1:4" x14ac:dyDescent="0.25">
      <c r="A578" s="143">
        <v>42263</v>
      </c>
      <c r="B578">
        <v>148.41</v>
      </c>
      <c r="C578">
        <v>2.7992330000000001</v>
      </c>
      <c r="D578" t="s">
        <v>852</v>
      </c>
    </row>
    <row r="579" spans="1:4" x14ac:dyDescent="0.25">
      <c r="A579" s="143">
        <v>42264</v>
      </c>
      <c r="B579">
        <v>148.13999999999999</v>
      </c>
      <c r="C579">
        <v>4.0029519999999996</v>
      </c>
      <c r="D579" t="s">
        <v>852</v>
      </c>
    </row>
    <row r="580" spans="1:4" x14ac:dyDescent="0.25">
      <c r="A580" s="143">
        <v>42265</v>
      </c>
      <c r="B580">
        <v>144.51</v>
      </c>
      <c r="C580">
        <v>7.9758449999999996</v>
      </c>
      <c r="D580" t="s">
        <v>852</v>
      </c>
    </row>
    <row r="581" spans="1:4" x14ac:dyDescent="0.25">
      <c r="A581" s="143">
        <v>42268</v>
      </c>
      <c r="B581">
        <v>146.47999999999999</v>
      </c>
      <c r="C581">
        <v>3.8250359999999999</v>
      </c>
      <c r="D581" t="s">
        <v>852</v>
      </c>
    </row>
    <row r="582" spans="1:4" x14ac:dyDescent="0.25">
      <c r="A582" s="143">
        <v>42269</v>
      </c>
      <c r="B582">
        <v>144.43</v>
      </c>
      <c r="C582">
        <v>3.5640649999999998</v>
      </c>
      <c r="D582" t="s">
        <v>852</v>
      </c>
    </row>
    <row r="583" spans="1:4" x14ac:dyDescent="0.25">
      <c r="A583" s="143">
        <v>42270</v>
      </c>
      <c r="B583">
        <v>143.66</v>
      </c>
      <c r="C583">
        <v>2.6742249999999999</v>
      </c>
      <c r="D583" t="s">
        <v>852</v>
      </c>
    </row>
    <row r="584" spans="1:4" x14ac:dyDescent="0.25">
      <c r="A584" s="143">
        <v>42271</v>
      </c>
      <c r="B584">
        <v>144.41</v>
      </c>
      <c r="C584">
        <v>3.280268</v>
      </c>
      <c r="D584" t="s">
        <v>852</v>
      </c>
    </row>
    <row r="585" spans="1:4" x14ac:dyDescent="0.25">
      <c r="A585" s="143">
        <v>42272</v>
      </c>
      <c r="B585">
        <v>145.41999999999999</v>
      </c>
      <c r="C585">
        <v>3.4744290000000002</v>
      </c>
      <c r="D585" t="s">
        <v>852</v>
      </c>
    </row>
    <row r="586" spans="1:4" x14ac:dyDescent="0.25">
      <c r="A586" s="143">
        <v>42275</v>
      </c>
      <c r="B586">
        <v>142.52000000000001</v>
      </c>
      <c r="C586">
        <v>4.3173019999999998</v>
      </c>
      <c r="D586" t="s">
        <v>852</v>
      </c>
    </row>
    <row r="587" spans="1:4" x14ac:dyDescent="0.25">
      <c r="A587" s="143">
        <v>42276</v>
      </c>
      <c r="B587">
        <v>142.47</v>
      </c>
      <c r="C587">
        <v>4.763509</v>
      </c>
      <c r="D587" t="s">
        <v>852</v>
      </c>
    </row>
    <row r="588" spans="1:4" x14ac:dyDescent="0.25">
      <c r="A588" s="143">
        <v>42277</v>
      </c>
      <c r="B588">
        <v>144.97</v>
      </c>
      <c r="C588">
        <v>3.9461680000000001</v>
      </c>
      <c r="D588" t="s">
        <v>852</v>
      </c>
    </row>
    <row r="589" spans="1:4" x14ac:dyDescent="0.25">
      <c r="A589" s="143">
        <v>42278</v>
      </c>
      <c r="B589">
        <v>143.59</v>
      </c>
      <c r="C589">
        <v>3.880887</v>
      </c>
      <c r="D589" t="s">
        <v>852</v>
      </c>
    </row>
    <row r="590" spans="1:4" x14ac:dyDescent="0.25">
      <c r="A590" s="143">
        <v>42279</v>
      </c>
      <c r="B590">
        <v>144.58000000000001</v>
      </c>
      <c r="C590">
        <v>3.0544280000000001</v>
      </c>
      <c r="D590" t="s">
        <v>852</v>
      </c>
    </row>
    <row r="591" spans="1:4" x14ac:dyDescent="0.25">
      <c r="A591" s="143">
        <v>42282</v>
      </c>
      <c r="B591">
        <v>149.04</v>
      </c>
      <c r="C591">
        <v>5.1318190000000001</v>
      </c>
      <c r="D591" t="s">
        <v>852</v>
      </c>
    </row>
    <row r="592" spans="1:4" x14ac:dyDescent="0.25">
      <c r="A592" s="143">
        <v>42283</v>
      </c>
      <c r="B592">
        <v>148.78</v>
      </c>
      <c r="C592">
        <v>3.0180959999999999</v>
      </c>
      <c r="D592" t="s">
        <v>852</v>
      </c>
    </row>
    <row r="593" spans="1:4" x14ac:dyDescent="0.25">
      <c r="A593" s="143">
        <v>42284</v>
      </c>
      <c r="B593">
        <v>150.09</v>
      </c>
      <c r="C593">
        <v>2.9899429999999998</v>
      </c>
      <c r="D593" t="s">
        <v>852</v>
      </c>
    </row>
    <row r="594" spans="1:4" x14ac:dyDescent="0.25">
      <c r="A594" s="143">
        <v>42285</v>
      </c>
      <c r="B594">
        <v>152.28</v>
      </c>
      <c r="C594">
        <v>4.7943569999999998</v>
      </c>
      <c r="D594" t="s">
        <v>852</v>
      </c>
    </row>
    <row r="595" spans="1:4" x14ac:dyDescent="0.25">
      <c r="A595" s="143">
        <v>42286</v>
      </c>
      <c r="B595">
        <v>152.38999999999999</v>
      </c>
      <c r="C595">
        <v>3.531107</v>
      </c>
      <c r="D595" t="s">
        <v>852</v>
      </c>
    </row>
    <row r="596" spans="1:4" x14ac:dyDescent="0.25">
      <c r="A596" s="143">
        <v>42289</v>
      </c>
      <c r="B596">
        <v>151.13999999999999</v>
      </c>
      <c r="C596">
        <v>3.2276359999999999</v>
      </c>
      <c r="D596" t="s">
        <v>852</v>
      </c>
    </row>
    <row r="597" spans="1:4" x14ac:dyDescent="0.25">
      <c r="A597" s="143">
        <v>42290</v>
      </c>
      <c r="B597">
        <v>149.62</v>
      </c>
      <c r="C597">
        <v>3.9157069999999998</v>
      </c>
      <c r="D597" t="s">
        <v>852</v>
      </c>
    </row>
    <row r="598" spans="1:4" x14ac:dyDescent="0.25">
      <c r="A598" s="143">
        <v>42291</v>
      </c>
      <c r="B598">
        <v>150.01</v>
      </c>
      <c r="C598">
        <v>3.353008</v>
      </c>
      <c r="D598" t="s">
        <v>852</v>
      </c>
    </row>
    <row r="599" spans="1:4" x14ac:dyDescent="0.25">
      <c r="A599" s="143">
        <v>42292</v>
      </c>
      <c r="B599">
        <v>150.09</v>
      </c>
      <c r="C599">
        <v>3.4762189999999999</v>
      </c>
      <c r="D599" t="s">
        <v>852</v>
      </c>
    </row>
    <row r="600" spans="1:4" x14ac:dyDescent="0.25">
      <c r="A600" s="143">
        <v>42293</v>
      </c>
      <c r="B600">
        <v>150.38999999999999</v>
      </c>
      <c r="C600">
        <v>3.4837389999999999</v>
      </c>
      <c r="D600" t="s">
        <v>852</v>
      </c>
    </row>
    <row r="601" spans="1:4" x14ac:dyDescent="0.25">
      <c r="A601" s="143">
        <v>42296</v>
      </c>
      <c r="B601">
        <v>149.22</v>
      </c>
      <c r="C601">
        <v>7.9546840000000003</v>
      </c>
      <c r="D601" t="s">
        <v>852</v>
      </c>
    </row>
    <row r="602" spans="1:4" x14ac:dyDescent="0.25">
      <c r="A602" s="143">
        <v>42297</v>
      </c>
      <c r="B602">
        <v>140.63999999999999</v>
      </c>
      <c r="C602">
        <v>16.025590999999999</v>
      </c>
      <c r="D602" t="s">
        <v>852</v>
      </c>
    </row>
    <row r="603" spans="1:4" x14ac:dyDescent="0.25">
      <c r="A603" s="143">
        <v>42298</v>
      </c>
      <c r="B603">
        <v>140.91999999999999</v>
      </c>
      <c r="C603">
        <v>7.1349479999999996</v>
      </c>
      <c r="D603" t="s">
        <v>852</v>
      </c>
    </row>
    <row r="604" spans="1:4" x14ac:dyDescent="0.25">
      <c r="A604" s="143">
        <v>42299</v>
      </c>
      <c r="B604">
        <v>144.09</v>
      </c>
      <c r="C604">
        <v>5.5831670000000004</v>
      </c>
      <c r="D604" t="s">
        <v>852</v>
      </c>
    </row>
    <row r="605" spans="1:4" x14ac:dyDescent="0.25">
      <c r="A605" s="143">
        <v>42300</v>
      </c>
      <c r="B605">
        <v>144.68</v>
      </c>
      <c r="C605">
        <v>5.3704390000000002</v>
      </c>
      <c r="D605" t="s">
        <v>852</v>
      </c>
    </row>
    <row r="606" spans="1:4" x14ac:dyDescent="0.25">
      <c r="A606" s="143">
        <v>42303</v>
      </c>
      <c r="B606">
        <v>143.66</v>
      </c>
      <c r="C606">
        <v>3.4894280000000002</v>
      </c>
      <c r="D606" t="s">
        <v>852</v>
      </c>
    </row>
    <row r="607" spans="1:4" x14ac:dyDescent="0.25">
      <c r="A607" s="143">
        <v>42304</v>
      </c>
      <c r="B607">
        <v>137.86000000000001</v>
      </c>
      <c r="C607">
        <v>15.008527000000001</v>
      </c>
      <c r="D607" t="s">
        <v>852</v>
      </c>
    </row>
    <row r="608" spans="1:4" x14ac:dyDescent="0.25">
      <c r="A608" s="143">
        <v>42305</v>
      </c>
      <c r="B608">
        <v>140.83000000000001</v>
      </c>
      <c r="C608">
        <v>8.5113760000000003</v>
      </c>
      <c r="D608" t="s">
        <v>852</v>
      </c>
    </row>
    <row r="609" spans="1:4" x14ac:dyDescent="0.25">
      <c r="A609" s="143">
        <v>42306</v>
      </c>
      <c r="B609">
        <v>140.55000000000001</v>
      </c>
      <c r="C609">
        <v>3.710445</v>
      </c>
      <c r="D609" t="s">
        <v>852</v>
      </c>
    </row>
    <row r="610" spans="1:4" x14ac:dyDescent="0.25">
      <c r="A610" s="143">
        <v>42307</v>
      </c>
      <c r="B610">
        <v>140.08000000000001</v>
      </c>
      <c r="C610">
        <v>3.9839899999999999</v>
      </c>
      <c r="D610" t="s">
        <v>852</v>
      </c>
    </row>
    <row r="611" spans="1:4" x14ac:dyDescent="0.25">
      <c r="A611" s="143">
        <v>42310</v>
      </c>
      <c r="B611">
        <v>140.37</v>
      </c>
      <c r="C611">
        <v>3.8222119999999999</v>
      </c>
      <c r="D611" t="s">
        <v>852</v>
      </c>
    </row>
    <row r="612" spans="1:4" x14ac:dyDescent="0.25">
      <c r="A612" s="143">
        <v>42311</v>
      </c>
      <c r="B612">
        <v>141.88</v>
      </c>
      <c r="C612">
        <v>4.349405</v>
      </c>
      <c r="D612" t="s">
        <v>852</v>
      </c>
    </row>
    <row r="613" spans="1:4" x14ac:dyDescent="0.25">
      <c r="A613" s="143">
        <v>42312</v>
      </c>
      <c r="B613">
        <v>141.63</v>
      </c>
      <c r="C613">
        <v>3.5168900000000001</v>
      </c>
      <c r="D613" t="s">
        <v>852</v>
      </c>
    </row>
    <row r="614" spans="1:4" x14ac:dyDescent="0.25">
      <c r="A614" s="143">
        <v>42313</v>
      </c>
      <c r="B614">
        <v>139.88999999999999</v>
      </c>
      <c r="C614">
        <v>5.0968929999999997</v>
      </c>
      <c r="D614" t="s">
        <v>852</v>
      </c>
    </row>
    <row r="615" spans="1:4" x14ac:dyDescent="0.25">
      <c r="A615" s="143">
        <v>42314</v>
      </c>
      <c r="B615">
        <v>138.25</v>
      </c>
      <c r="C615">
        <v>4.7449479999999999</v>
      </c>
      <c r="D615" t="s">
        <v>852</v>
      </c>
    </row>
    <row r="616" spans="1:4" x14ac:dyDescent="0.25">
      <c r="A616" s="143">
        <v>42317</v>
      </c>
      <c r="B616">
        <v>135.31</v>
      </c>
      <c r="C616">
        <v>8.0755929999999996</v>
      </c>
      <c r="D616" t="s">
        <v>852</v>
      </c>
    </row>
    <row r="617" spans="1:4" x14ac:dyDescent="0.25">
      <c r="A617" s="143">
        <v>42318</v>
      </c>
      <c r="B617">
        <v>135.47</v>
      </c>
      <c r="C617">
        <v>4.5208069999999996</v>
      </c>
      <c r="D617" t="s">
        <v>852</v>
      </c>
    </row>
    <row r="618" spans="1:4" x14ac:dyDescent="0.25">
      <c r="A618" s="143">
        <v>42319</v>
      </c>
      <c r="B618">
        <v>135.02000000000001</v>
      </c>
      <c r="C618">
        <v>3.164806</v>
      </c>
      <c r="D618" t="s">
        <v>852</v>
      </c>
    </row>
    <row r="619" spans="1:4" x14ac:dyDescent="0.25">
      <c r="A619" s="143">
        <v>42320</v>
      </c>
      <c r="B619">
        <v>133.04</v>
      </c>
      <c r="C619">
        <v>4.701365</v>
      </c>
      <c r="D619" t="s">
        <v>852</v>
      </c>
    </row>
    <row r="620" spans="1:4" x14ac:dyDescent="0.25">
      <c r="A620" s="143">
        <v>42321</v>
      </c>
      <c r="B620">
        <v>131.75</v>
      </c>
      <c r="C620">
        <v>4.6138170000000001</v>
      </c>
      <c r="D620" t="s">
        <v>852</v>
      </c>
    </row>
    <row r="621" spans="1:4" x14ac:dyDescent="0.25">
      <c r="A621" s="143">
        <v>42324</v>
      </c>
      <c r="B621">
        <v>133.71</v>
      </c>
      <c r="C621">
        <v>4.1908269999999996</v>
      </c>
      <c r="D621" t="s">
        <v>852</v>
      </c>
    </row>
    <row r="622" spans="1:4" x14ac:dyDescent="0.25">
      <c r="A622" s="143">
        <v>42325</v>
      </c>
      <c r="B622">
        <v>133.82</v>
      </c>
      <c r="C622">
        <v>2.8151419999999998</v>
      </c>
      <c r="D622" t="s">
        <v>852</v>
      </c>
    </row>
    <row r="623" spans="1:4" x14ac:dyDescent="0.25">
      <c r="A623" s="143">
        <v>42326</v>
      </c>
      <c r="B623">
        <v>135.82</v>
      </c>
      <c r="C623">
        <v>4.1491809999999996</v>
      </c>
      <c r="D623" t="s">
        <v>852</v>
      </c>
    </row>
    <row r="624" spans="1:4" x14ac:dyDescent="0.25">
      <c r="A624" s="143">
        <v>42327</v>
      </c>
      <c r="B624">
        <v>136.74</v>
      </c>
      <c r="C624">
        <v>4.753603</v>
      </c>
      <c r="D624" t="s">
        <v>852</v>
      </c>
    </row>
    <row r="625" spans="1:4" x14ac:dyDescent="0.25">
      <c r="A625" s="143">
        <v>42328</v>
      </c>
      <c r="B625">
        <v>138.5</v>
      </c>
      <c r="C625">
        <v>5.1763750000000002</v>
      </c>
      <c r="D625" t="s">
        <v>852</v>
      </c>
    </row>
    <row r="626" spans="1:4" x14ac:dyDescent="0.25">
      <c r="A626" s="143">
        <v>42331</v>
      </c>
      <c r="B626">
        <v>138.46</v>
      </c>
      <c r="C626">
        <v>5.1379219999999997</v>
      </c>
      <c r="D626" t="s">
        <v>852</v>
      </c>
    </row>
    <row r="627" spans="1:4" x14ac:dyDescent="0.25">
      <c r="A627" s="143">
        <v>42332</v>
      </c>
      <c r="B627">
        <v>138.6</v>
      </c>
      <c r="C627">
        <v>3.4076529999999998</v>
      </c>
      <c r="D627" t="s">
        <v>852</v>
      </c>
    </row>
    <row r="628" spans="1:4" x14ac:dyDescent="0.25">
      <c r="A628" s="143">
        <v>42333</v>
      </c>
      <c r="B628">
        <v>138</v>
      </c>
      <c r="C628">
        <v>3.2381660000000001</v>
      </c>
      <c r="D628" t="s">
        <v>852</v>
      </c>
    </row>
    <row r="629" spans="1:4" x14ac:dyDescent="0.25">
      <c r="A629" s="143">
        <v>42335</v>
      </c>
      <c r="B629">
        <v>138.46</v>
      </c>
      <c r="C629">
        <v>1.41584</v>
      </c>
      <c r="D629" t="s">
        <v>852</v>
      </c>
    </row>
    <row r="630" spans="1:4" x14ac:dyDescent="0.25">
      <c r="A630" s="143">
        <v>42338</v>
      </c>
      <c r="B630">
        <v>139.41999999999999</v>
      </c>
      <c r="C630">
        <v>4.5455870000000003</v>
      </c>
      <c r="D630" t="s">
        <v>852</v>
      </c>
    </row>
    <row r="631" spans="1:4" x14ac:dyDescent="0.25">
      <c r="A631" s="143">
        <v>42339</v>
      </c>
      <c r="B631">
        <v>141.28</v>
      </c>
      <c r="C631">
        <v>4.195119</v>
      </c>
      <c r="D631" t="s">
        <v>852</v>
      </c>
    </row>
    <row r="632" spans="1:4" x14ac:dyDescent="0.25">
      <c r="A632" s="143">
        <v>42340</v>
      </c>
      <c r="B632">
        <v>139.69999999999999</v>
      </c>
      <c r="C632">
        <v>3.7253630000000002</v>
      </c>
      <c r="D632" t="s">
        <v>852</v>
      </c>
    </row>
    <row r="633" spans="1:4" x14ac:dyDescent="0.25">
      <c r="A633" s="143">
        <v>42341</v>
      </c>
      <c r="B633">
        <v>138.91999999999999</v>
      </c>
      <c r="C633">
        <v>5.9095880000000003</v>
      </c>
      <c r="D633" t="s">
        <v>852</v>
      </c>
    </row>
    <row r="634" spans="1:4" x14ac:dyDescent="0.25">
      <c r="A634" s="143">
        <v>42342</v>
      </c>
      <c r="B634">
        <v>140.43</v>
      </c>
      <c r="C634">
        <v>4.5716080000000003</v>
      </c>
      <c r="D634" t="s">
        <v>852</v>
      </c>
    </row>
    <row r="635" spans="1:4" x14ac:dyDescent="0.25">
      <c r="A635" s="143">
        <v>42345</v>
      </c>
      <c r="B635">
        <v>139.55000000000001</v>
      </c>
      <c r="C635">
        <v>3.2793760000000001</v>
      </c>
      <c r="D635" t="s">
        <v>852</v>
      </c>
    </row>
    <row r="636" spans="1:4" x14ac:dyDescent="0.25">
      <c r="A636" s="143">
        <v>42346</v>
      </c>
      <c r="B636">
        <v>138.05000000000001</v>
      </c>
      <c r="C636">
        <v>3.9051550000000002</v>
      </c>
      <c r="D636" t="s">
        <v>852</v>
      </c>
    </row>
    <row r="637" spans="1:4" x14ac:dyDescent="0.25">
      <c r="A637" s="143">
        <v>42347</v>
      </c>
      <c r="B637">
        <v>136.61000000000001</v>
      </c>
      <c r="C637">
        <v>4.6149930000000001</v>
      </c>
      <c r="D637" t="s">
        <v>852</v>
      </c>
    </row>
    <row r="638" spans="1:4" x14ac:dyDescent="0.25">
      <c r="A638" s="143">
        <v>42348</v>
      </c>
      <c r="B638">
        <v>136.78</v>
      </c>
      <c r="C638">
        <v>4.2223290000000002</v>
      </c>
      <c r="D638" t="s">
        <v>852</v>
      </c>
    </row>
    <row r="639" spans="1:4" x14ac:dyDescent="0.25">
      <c r="A639" s="143">
        <v>42349</v>
      </c>
      <c r="B639">
        <v>134.57</v>
      </c>
      <c r="C639">
        <v>5.3337669999999999</v>
      </c>
      <c r="D639" t="s">
        <v>852</v>
      </c>
    </row>
    <row r="640" spans="1:4" x14ac:dyDescent="0.25">
      <c r="A640" s="143">
        <v>42352</v>
      </c>
      <c r="B640">
        <v>135.93</v>
      </c>
      <c r="C640">
        <v>5.1437869999999997</v>
      </c>
      <c r="D640" t="s">
        <v>852</v>
      </c>
    </row>
    <row r="641" spans="1:4" x14ac:dyDescent="0.25">
      <c r="A641" s="143">
        <v>42353</v>
      </c>
      <c r="B641">
        <v>137.79</v>
      </c>
      <c r="C641">
        <v>4.2385460000000004</v>
      </c>
      <c r="D641" t="s">
        <v>852</v>
      </c>
    </row>
    <row r="642" spans="1:4" x14ac:dyDescent="0.25">
      <c r="A642" s="143">
        <v>42354</v>
      </c>
      <c r="B642">
        <v>139.29</v>
      </c>
      <c r="C642">
        <v>4.3454740000000003</v>
      </c>
      <c r="D642" t="s">
        <v>852</v>
      </c>
    </row>
    <row r="643" spans="1:4" x14ac:dyDescent="0.25">
      <c r="A643" s="143">
        <v>42355</v>
      </c>
      <c r="B643">
        <v>136.75</v>
      </c>
      <c r="C643">
        <v>4.0895390000000003</v>
      </c>
      <c r="D643" t="s">
        <v>852</v>
      </c>
    </row>
    <row r="644" spans="1:4" x14ac:dyDescent="0.25">
      <c r="A644" s="143">
        <v>42356</v>
      </c>
      <c r="B644">
        <v>134.9</v>
      </c>
      <c r="C644">
        <v>10.026106</v>
      </c>
      <c r="D644" t="s">
        <v>852</v>
      </c>
    </row>
    <row r="645" spans="1:4" x14ac:dyDescent="0.25">
      <c r="A645" s="143">
        <v>42359</v>
      </c>
      <c r="B645">
        <v>135.5</v>
      </c>
      <c r="C645">
        <v>5.6174749999999998</v>
      </c>
      <c r="D645" t="s">
        <v>852</v>
      </c>
    </row>
    <row r="646" spans="1:4" x14ac:dyDescent="0.25">
      <c r="A646" s="143">
        <v>42360</v>
      </c>
      <c r="B646">
        <v>137.93</v>
      </c>
      <c r="C646">
        <v>4.2638280000000002</v>
      </c>
      <c r="D646" t="s">
        <v>852</v>
      </c>
    </row>
    <row r="647" spans="1:4" x14ac:dyDescent="0.25">
      <c r="A647" s="143">
        <v>42361</v>
      </c>
      <c r="B647">
        <v>138.54</v>
      </c>
      <c r="C647">
        <v>5.1649159999999998</v>
      </c>
      <c r="D647" t="s">
        <v>852</v>
      </c>
    </row>
    <row r="648" spans="1:4" x14ac:dyDescent="0.25">
      <c r="A648" s="143">
        <v>42362</v>
      </c>
      <c r="B648">
        <v>138.25</v>
      </c>
      <c r="C648">
        <v>1.4952259999999999</v>
      </c>
      <c r="D648" t="s">
        <v>852</v>
      </c>
    </row>
    <row r="649" spans="1:4" x14ac:dyDescent="0.25">
      <c r="A649" s="143">
        <v>42366</v>
      </c>
      <c r="B649">
        <v>137.61000000000001</v>
      </c>
      <c r="C649">
        <v>3.1434120000000001</v>
      </c>
      <c r="D649" t="s">
        <v>852</v>
      </c>
    </row>
    <row r="650" spans="1:4" x14ac:dyDescent="0.25">
      <c r="A650" s="143">
        <v>42367</v>
      </c>
      <c r="B650">
        <v>139.78</v>
      </c>
      <c r="C650">
        <v>3.9436909999999998</v>
      </c>
      <c r="D650" t="s">
        <v>852</v>
      </c>
    </row>
    <row r="651" spans="1:4" x14ac:dyDescent="0.25">
      <c r="A651" s="143">
        <v>42368</v>
      </c>
      <c r="B651">
        <v>139.34</v>
      </c>
      <c r="C651">
        <v>2.9893670000000001</v>
      </c>
      <c r="D651" t="s">
        <v>852</v>
      </c>
    </row>
    <row r="652" spans="1:4" x14ac:dyDescent="0.25">
      <c r="A652" s="143">
        <v>42369</v>
      </c>
      <c r="B652">
        <v>137.62</v>
      </c>
      <c r="C652">
        <v>3.4620769999999998</v>
      </c>
      <c r="D652" t="s">
        <v>852</v>
      </c>
    </row>
    <row r="653" spans="1:4" x14ac:dyDescent="0.25">
      <c r="A653" s="143">
        <v>42373</v>
      </c>
      <c r="B653">
        <v>135.94999999999999</v>
      </c>
      <c r="C653">
        <v>5.2293810000000001</v>
      </c>
      <c r="D653" t="s">
        <v>852</v>
      </c>
    </row>
    <row r="654" spans="1:4" x14ac:dyDescent="0.25">
      <c r="A654" s="143">
        <v>42374</v>
      </c>
      <c r="B654">
        <v>135.85</v>
      </c>
      <c r="C654">
        <v>3.9247930000000002</v>
      </c>
      <c r="D654" t="s">
        <v>852</v>
      </c>
    </row>
    <row r="655" spans="1:4" x14ac:dyDescent="0.25">
      <c r="A655" s="143">
        <v>42375</v>
      </c>
      <c r="B655">
        <v>135.16999999999999</v>
      </c>
      <c r="C655">
        <v>4.3109390000000003</v>
      </c>
      <c r="D655" t="s">
        <v>852</v>
      </c>
    </row>
    <row r="656" spans="1:4" x14ac:dyDescent="0.25">
      <c r="A656" s="143">
        <v>42376</v>
      </c>
      <c r="B656">
        <v>132.86000000000001</v>
      </c>
      <c r="C656">
        <v>7.02576</v>
      </c>
      <c r="D656" t="s">
        <v>852</v>
      </c>
    </row>
    <row r="657" spans="1:4" x14ac:dyDescent="0.25">
      <c r="A657" s="143">
        <v>42377</v>
      </c>
      <c r="B657">
        <v>131.63</v>
      </c>
      <c r="C657">
        <v>4.7627059999999997</v>
      </c>
      <c r="D657" t="s">
        <v>852</v>
      </c>
    </row>
    <row r="658" spans="1:4" x14ac:dyDescent="0.25">
      <c r="A658" s="143">
        <v>42380</v>
      </c>
      <c r="B658">
        <v>133.22999999999999</v>
      </c>
      <c r="C658">
        <v>4.9744359999999999</v>
      </c>
      <c r="D658" t="s">
        <v>852</v>
      </c>
    </row>
    <row r="659" spans="1:4" x14ac:dyDescent="0.25">
      <c r="A659" s="143">
        <v>42381</v>
      </c>
      <c r="B659">
        <v>132.9</v>
      </c>
      <c r="C659">
        <v>5.078678</v>
      </c>
      <c r="D659" t="s">
        <v>852</v>
      </c>
    </row>
    <row r="660" spans="1:4" x14ac:dyDescent="0.25">
      <c r="A660" s="143">
        <v>42382</v>
      </c>
      <c r="B660">
        <v>131.16999999999999</v>
      </c>
      <c r="C660">
        <v>4.7001150000000003</v>
      </c>
      <c r="D660" t="s">
        <v>852</v>
      </c>
    </row>
    <row r="661" spans="1:4" x14ac:dyDescent="0.25">
      <c r="A661" s="143">
        <v>42383</v>
      </c>
      <c r="B661">
        <v>132.91</v>
      </c>
      <c r="C661">
        <v>5.7096150000000003</v>
      </c>
      <c r="D661" t="s">
        <v>852</v>
      </c>
    </row>
    <row r="662" spans="1:4" x14ac:dyDescent="0.25">
      <c r="A662" s="143">
        <v>42384</v>
      </c>
      <c r="B662">
        <v>130.03</v>
      </c>
      <c r="C662">
        <v>9.0084599999999995</v>
      </c>
      <c r="D662" t="s">
        <v>852</v>
      </c>
    </row>
    <row r="663" spans="1:4" x14ac:dyDescent="0.25">
      <c r="A663" s="143">
        <v>42388</v>
      </c>
      <c r="B663">
        <v>128.11000000000001</v>
      </c>
      <c r="C663">
        <v>9.9795870000000004</v>
      </c>
      <c r="D663" t="s">
        <v>852</v>
      </c>
    </row>
    <row r="664" spans="1:4" x14ac:dyDescent="0.25">
      <c r="A664" s="143">
        <v>42389</v>
      </c>
      <c r="B664">
        <v>121.86</v>
      </c>
      <c r="C664">
        <v>16.157796000000001</v>
      </c>
      <c r="D664" t="s">
        <v>852</v>
      </c>
    </row>
    <row r="665" spans="1:4" x14ac:dyDescent="0.25">
      <c r="A665" s="143">
        <v>42390</v>
      </c>
      <c r="B665">
        <v>122.91</v>
      </c>
      <c r="C665">
        <v>8.8516410000000008</v>
      </c>
      <c r="D665" t="s">
        <v>852</v>
      </c>
    </row>
    <row r="666" spans="1:4" x14ac:dyDescent="0.25">
      <c r="A666" s="143">
        <v>42391</v>
      </c>
      <c r="B666">
        <v>122.5</v>
      </c>
      <c r="C666">
        <v>9.2383620000000004</v>
      </c>
      <c r="D666" t="s">
        <v>852</v>
      </c>
    </row>
    <row r="667" spans="1:4" x14ac:dyDescent="0.25">
      <c r="A667" s="143">
        <v>42394</v>
      </c>
      <c r="B667">
        <v>122.08</v>
      </c>
      <c r="C667">
        <v>5.4459559999999998</v>
      </c>
      <c r="D667" t="s">
        <v>852</v>
      </c>
    </row>
    <row r="668" spans="1:4" x14ac:dyDescent="0.25">
      <c r="A668" s="143">
        <v>42395</v>
      </c>
      <c r="B668">
        <v>122.59</v>
      </c>
      <c r="C668">
        <v>4.6177770000000002</v>
      </c>
      <c r="D668" t="s">
        <v>852</v>
      </c>
    </row>
    <row r="669" spans="1:4" x14ac:dyDescent="0.25">
      <c r="A669" s="143">
        <v>42396</v>
      </c>
      <c r="B669">
        <v>120.96</v>
      </c>
      <c r="C669">
        <v>5.0263669999999996</v>
      </c>
      <c r="D669" t="s">
        <v>852</v>
      </c>
    </row>
    <row r="670" spans="1:4" x14ac:dyDescent="0.25">
      <c r="A670" s="143">
        <v>42397</v>
      </c>
      <c r="B670">
        <v>122.22</v>
      </c>
      <c r="C670">
        <v>3.9425370000000002</v>
      </c>
      <c r="D670" t="s">
        <v>852</v>
      </c>
    </row>
    <row r="671" spans="1:4" x14ac:dyDescent="0.25">
      <c r="A671" s="143">
        <v>42398</v>
      </c>
      <c r="B671">
        <v>124.79</v>
      </c>
      <c r="C671">
        <v>8.2480869999999999</v>
      </c>
      <c r="D671" t="s">
        <v>852</v>
      </c>
    </row>
    <row r="672" spans="1:4" x14ac:dyDescent="0.25">
      <c r="A672" s="143">
        <v>42401</v>
      </c>
      <c r="B672">
        <v>124.83</v>
      </c>
      <c r="C672">
        <v>3.574884</v>
      </c>
      <c r="D672" t="s">
        <v>852</v>
      </c>
    </row>
    <row r="673" spans="1:4" x14ac:dyDescent="0.25">
      <c r="A673" s="143">
        <v>42402</v>
      </c>
      <c r="B673">
        <v>122.94</v>
      </c>
      <c r="C673">
        <v>3.287318</v>
      </c>
      <c r="D673" t="s">
        <v>852</v>
      </c>
    </row>
    <row r="674" spans="1:4" x14ac:dyDescent="0.25">
      <c r="A674" s="143">
        <v>42403</v>
      </c>
      <c r="B674">
        <v>124.72</v>
      </c>
      <c r="C674">
        <v>6.2235339999999999</v>
      </c>
      <c r="D674" t="s">
        <v>852</v>
      </c>
    </row>
    <row r="675" spans="1:4" x14ac:dyDescent="0.25">
      <c r="A675" s="143">
        <v>42404</v>
      </c>
      <c r="B675">
        <v>127.65</v>
      </c>
      <c r="C675">
        <v>5.2664499999999999</v>
      </c>
      <c r="D675" t="s">
        <v>852</v>
      </c>
    </row>
    <row r="676" spans="1:4" x14ac:dyDescent="0.25">
      <c r="A676" s="143">
        <v>42405</v>
      </c>
      <c r="B676">
        <v>128.57</v>
      </c>
      <c r="C676">
        <v>7.1777059999999997</v>
      </c>
      <c r="D676" t="s">
        <v>852</v>
      </c>
    </row>
    <row r="677" spans="1:4" x14ac:dyDescent="0.25">
      <c r="A677" s="143">
        <v>42408</v>
      </c>
      <c r="B677">
        <v>126.98</v>
      </c>
      <c r="C677">
        <v>7.3640429999999997</v>
      </c>
      <c r="D677" t="s">
        <v>852</v>
      </c>
    </row>
    <row r="678" spans="1:4" x14ac:dyDescent="0.25">
      <c r="A678" s="143">
        <v>42409</v>
      </c>
      <c r="B678">
        <v>124.07</v>
      </c>
      <c r="C678">
        <v>5.9572039999999999</v>
      </c>
      <c r="D678" t="s">
        <v>852</v>
      </c>
    </row>
    <row r="679" spans="1:4" x14ac:dyDescent="0.25">
      <c r="A679" s="143">
        <v>42410</v>
      </c>
      <c r="B679">
        <v>120.19</v>
      </c>
      <c r="C679">
        <v>6.4691330000000002</v>
      </c>
      <c r="D679" t="s">
        <v>852</v>
      </c>
    </row>
    <row r="680" spans="1:4" x14ac:dyDescent="0.25">
      <c r="A680" s="143">
        <v>42411</v>
      </c>
      <c r="B680">
        <v>117.85</v>
      </c>
      <c r="C680">
        <v>7.3076319999999999</v>
      </c>
      <c r="D680" t="s">
        <v>852</v>
      </c>
    </row>
    <row r="681" spans="1:4" x14ac:dyDescent="0.25">
      <c r="A681" s="143">
        <v>42412</v>
      </c>
      <c r="B681">
        <v>121.04</v>
      </c>
      <c r="C681">
        <v>4.9365139999999998</v>
      </c>
      <c r="D681" t="s">
        <v>852</v>
      </c>
    </row>
    <row r="682" spans="1:4" x14ac:dyDescent="0.25">
      <c r="A682" s="143">
        <v>42416</v>
      </c>
      <c r="B682">
        <v>122.74</v>
      </c>
      <c r="C682">
        <v>4.061382</v>
      </c>
      <c r="D682" t="s">
        <v>852</v>
      </c>
    </row>
    <row r="683" spans="1:4" x14ac:dyDescent="0.25">
      <c r="A683" s="143">
        <v>42417</v>
      </c>
      <c r="B683">
        <v>126.1</v>
      </c>
      <c r="C683">
        <v>4.8209819999999999</v>
      </c>
      <c r="D683" t="s">
        <v>852</v>
      </c>
    </row>
    <row r="684" spans="1:4" x14ac:dyDescent="0.25">
      <c r="A684" s="143">
        <v>42418</v>
      </c>
      <c r="B684">
        <v>132.44999999999999</v>
      </c>
      <c r="C684">
        <v>9.9516439999999999</v>
      </c>
      <c r="D684" t="s">
        <v>852</v>
      </c>
    </row>
    <row r="685" spans="1:4" x14ac:dyDescent="0.25">
      <c r="A685" s="143">
        <v>42419</v>
      </c>
      <c r="B685">
        <v>133.08000000000001</v>
      </c>
      <c r="C685">
        <v>5.1252760000000004</v>
      </c>
      <c r="D685" t="s">
        <v>852</v>
      </c>
    </row>
    <row r="686" spans="1:4" x14ac:dyDescent="0.25">
      <c r="A686" s="143">
        <v>42422</v>
      </c>
      <c r="B686">
        <v>133.77000000000001</v>
      </c>
      <c r="C686">
        <v>4.4574439999999997</v>
      </c>
      <c r="D686" t="s">
        <v>852</v>
      </c>
    </row>
    <row r="687" spans="1:4" x14ac:dyDescent="0.25">
      <c r="A687" s="143">
        <v>42423</v>
      </c>
      <c r="B687">
        <v>132.4</v>
      </c>
      <c r="C687">
        <v>3.4397310000000001</v>
      </c>
      <c r="D687" t="s">
        <v>852</v>
      </c>
    </row>
    <row r="688" spans="1:4" x14ac:dyDescent="0.25">
      <c r="A688" s="143">
        <v>42424</v>
      </c>
      <c r="B688">
        <v>132.80000000000001</v>
      </c>
      <c r="C688">
        <v>4.1226240000000001</v>
      </c>
      <c r="D688" t="s">
        <v>852</v>
      </c>
    </row>
    <row r="689" spans="1:4" x14ac:dyDescent="0.25">
      <c r="A689" s="143">
        <v>42425</v>
      </c>
      <c r="B689">
        <v>134.5</v>
      </c>
      <c r="C689">
        <v>4.3583049999999997</v>
      </c>
      <c r="D689" t="s">
        <v>852</v>
      </c>
    </row>
    <row r="690" spans="1:4" x14ac:dyDescent="0.25">
      <c r="A690" s="143">
        <v>42426</v>
      </c>
      <c r="B690">
        <v>132.03</v>
      </c>
      <c r="C690">
        <v>4.3862490000000003</v>
      </c>
      <c r="D690" t="s">
        <v>852</v>
      </c>
    </row>
    <row r="691" spans="1:4" x14ac:dyDescent="0.25">
      <c r="A691" s="143">
        <v>42429</v>
      </c>
      <c r="B691">
        <v>131.03</v>
      </c>
      <c r="C691">
        <v>4.427994</v>
      </c>
      <c r="D691" t="s">
        <v>852</v>
      </c>
    </row>
    <row r="692" spans="1:4" x14ac:dyDescent="0.25">
      <c r="A692" s="143">
        <v>42430</v>
      </c>
      <c r="B692">
        <v>134.37</v>
      </c>
      <c r="C692">
        <v>3.7885140000000002</v>
      </c>
      <c r="D692" t="s">
        <v>852</v>
      </c>
    </row>
    <row r="693" spans="1:4" x14ac:dyDescent="0.25">
      <c r="A693" s="143">
        <v>42431</v>
      </c>
      <c r="B693">
        <v>136.30000000000001</v>
      </c>
      <c r="C693">
        <v>5.2172299999999998</v>
      </c>
      <c r="D693" t="s">
        <v>852</v>
      </c>
    </row>
    <row r="694" spans="1:4" x14ac:dyDescent="0.25">
      <c r="A694" s="143">
        <v>42432</v>
      </c>
      <c r="B694">
        <v>137.80000000000001</v>
      </c>
      <c r="C694">
        <v>5.1564290000000002</v>
      </c>
      <c r="D694" t="s">
        <v>852</v>
      </c>
    </row>
    <row r="695" spans="1:4" x14ac:dyDescent="0.25">
      <c r="A695" s="143">
        <v>42433</v>
      </c>
      <c r="B695">
        <v>137.80000000000001</v>
      </c>
      <c r="C695">
        <v>3.968423</v>
      </c>
      <c r="D695" t="s">
        <v>852</v>
      </c>
    </row>
    <row r="696" spans="1:4" x14ac:dyDescent="0.25">
      <c r="A696" s="143">
        <v>42436</v>
      </c>
      <c r="B696">
        <v>140.15</v>
      </c>
      <c r="C696">
        <v>5.1709750000000003</v>
      </c>
      <c r="D696" t="s">
        <v>852</v>
      </c>
    </row>
    <row r="697" spans="1:4" x14ac:dyDescent="0.25">
      <c r="A697" s="143">
        <v>42437</v>
      </c>
      <c r="B697">
        <v>139.07</v>
      </c>
      <c r="C697">
        <v>5.5791310000000003</v>
      </c>
      <c r="D697" t="s">
        <v>852</v>
      </c>
    </row>
    <row r="698" spans="1:4" x14ac:dyDescent="0.25">
      <c r="A698" s="143">
        <v>42438</v>
      </c>
      <c r="B698">
        <v>140.41</v>
      </c>
      <c r="C698">
        <v>4.4064810000000003</v>
      </c>
      <c r="D698" t="s">
        <v>852</v>
      </c>
    </row>
    <row r="699" spans="1:4" x14ac:dyDescent="0.25">
      <c r="A699" s="143">
        <v>42439</v>
      </c>
      <c r="B699">
        <v>140.19</v>
      </c>
      <c r="C699">
        <v>4.0205539999999997</v>
      </c>
      <c r="D699" t="s">
        <v>852</v>
      </c>
    </row>
    <row r="700" spans="1:4" x14ac:dyDescent="0.25">
      <c r="A700" s="143">
        <v>42440</v>
      </c>
      <c r="B700">
        <v>142.36000000000001</v>
      </c>
      <c r="C700">
        <v>4.4219480000000004</v>
      </c>
      <c r="D700" t="s">
        <v>852</v>
      </c>
    </row>
    <row r="701" spans="1:4" x14ac:dyDescent="0.25">
      <c r="A701" s="143">
        <v>42443</v>
      </c>
      <c r="B701">
        <v>142.78</v>
      </c>
      <c r="C701">
        <v>4.0488419999999996</v>
      </c>
      <c r="D701" t="s">
        <v>852</v>
      </c>
    </row>
    <row r="702" spans="1:4" x14ac:dyDescent="0.25">
      <c r="A702" s="143">
        <v>42444</v>
      </c>
      <c r="B702">
        <v>142.96</v>
      </c>
      <c r="C702">
        <v>3.707538</v>
      </c>
      <c r="D702" t="s">
        <v>852</v>
      </c>
    </row>
    <row r="703" spans="1:4" x14ac:dyDescent="0.25">
      <c r="A703" s="143">
        <v>42445</v>
      </c>
      <c r="B703">
        <v>144.79</v>
      </c>
      <c r="C703">
        <v>4.2219389999999999</v>
      </c>
      <c r="D703" t="s">
        <v>852</v>
      </c>
    </row>
    <row r="704" spans="1:4" x14ac:dyDescent="0.25">
      <c r="A704" s="143">
        <v>42446</v>
      </c>
      <c r="B704">
        <v>147.04</v>
      </c>
      <c r="C704">
        <v>5.8216429999999999</v>
      </c>
      <c r="D704" t="s">
        <v>852</v>
      </c>
    </row>
    <row r="705" spans="1:4" x14ac:dyDescent="0.25">
      <c r="A705" s="143">
        <v>42447</v>
      </c>
      <c r="B705">
        <v>147.09</v>
      </c>
      <c r="C705">
        <v>12.089715999999999</v>
      </c>
      <c r="D705" t="s">
        <v>852</v>
      </c>
    </row>
    <row r="706" spans="1:4" x14ac:dyDescent="0.25">
      <c r="A706" s="143">
        <v>42450</v>
      </c>
      <c r="B706">
        <v>148.63</v>
      </c>
      <c r="C706">
        <v>3.7216480000000001</v>
      </c>
      <c r="D706" t="s">
        <v>852</v>
      </c>
    </row>
    <row r="707" spans="1:4" x14ac:dyDescent="0.25">
      <c r="A707" s="143">
        <v>42451</v>
      </c>
      <c r="B707">
        <v>148.1</v>
      </c>
      <c r="C707">
        <v>4.081925</v>
      </c>
      <c r="D707" t="s">
        <v>852</v>
      </c>
    </row>
    <row r="708" spans="1:4" x14ac:dyDescent="0.25">
      <c r="A708" s="143">
        <v>42452</v>
      </c>
      <c r="B708">
        <v>145.4</v>
      </c>
      <c r="C708">
        <v>4.764221</v>
      </c>
      <c r="D708" t="s">
        <v>852</v>
      </c>
    </row>
    <row r="709" spans="1:4" x14ac:dyDescent="0.25">
      <c r="A709" s="143">
        <v>42453</v>
      </c>
      <c r="B709">
        <v>147.94999999999999</v>
      </c>
      <c r="C709">
        <v>5.0445349999999998</v>
      </c>
      <c r="D709" t="s">
        <v>852</v>
      </c>
    </row>
    <row r="710" spans="1:4" x14ac:dyDescent="0.25">
      <c r="A710" s="143">
        <v>42457</v>
      </c>
      <c r="B710">
        <v>148.4</v>
      </c>
      <c r="C710">
        <v>3.2650839999999999</v>
      </c>
      <c r="D710" t="s">
        <v>852</v>
      </c>
    </row>
    <row r="711" spans="1:4" x14ac:dyDescent="0.25">
      <c r="A711" s="143">
        <v>42458</v>
      </c>
      <c r="B711">
        <v>149.33000000000001</v>
      </c>
      <c r="C711">
        <v>3.1385450000000001</v>
      </c>
      <c r="D711" t="s">
        <v>852</v>
      </c>
    </row>
    <row r="712" spans="1:4" x14ac:dyDescent="0.25">
      <c r="A712" s="143">
        <v>42459</v>
      </c>
      <c r="B712">
        <v>148.41</v>
      </c>
      <c r="C712">
        <v>3.331216</v>
      </c>
      <c r="D712" t="s">
        <v>852</v>
      </c>
    </row>
    <row r="713" spans="1:4" x14ac:dyDescent="0.25">
      <c r="A713" s="143">
        <v>42460</v>
      </c>
      <c r="B713">
        <v>151.44999999999999</v>
      </c>
      <c r="C713">
        <v>6.7805669999999996</v>
      </c>
      <c r="D713" t="s">
        <v>852</v>
      </c>
    </row>
    <row r="714" spans="1:4" x14ac:dyDescent="0.25">
      <c r="A714" s="143">
        <v>42461</v>
      </c>
      <c r="B714">
        <v>152.52000000000001</v>
      </c>
      <c r="C714">
        <v>3.9255309999999999</v>
      </c>
      <c r="D714" t="s">
        <v>852</v>
      </c>
    </row>
    <row r="715" spans="1:4" x14ac:dyDescent="0.25">
      <c r="A715" s="143">
        <v>42464</v>
      </c>
      <c r="B715">
        <v>152.07</v>
      </c>
      <c r="C715">
        <v>3.931222</v>
      </c>
      <c r="D715" t="s">
        <v>852</v>
      </c>
    </row>
    <row r="716" spans="1:4" x14ac:dyDescent="0.25">
      <c r="A716" s="143">
        <v>42465</v>
      </c>
      <c r="B716">
        <v>150</v>
      </c>
      <c r="C716">
        <v>3.3370120000000001</v>
      </c>
      <c r="D716" t="s">
        <v>852</v>
      </c>
    </row>
    <row r="717" spans="1:4" x14ac:dyDescent="0.25">
      <c r="A717" s="143">
        <v>42466</v>
      </c>
      <c r="B717">
        <v>150.02000000000001</v>
      </c>
      <c r="C717">
        <v>4.1946060000000003</v>
      </c>
      <c r="D717" t="s">
        <v>852</v>
      </c>
    </row>
    <row r="718" spans="1:4" x14ac:dyDescent="0.25">
      <c r="A718" s="143">
        <v>42467</v>
      </c>
      <c r="B718">
        <v>148.25</v>
      </c>
      <c r="C718">
        <v>3.6629679999999998</v>
      </c>
      <c r="D718" t="s">
        <v>852</v>
      </c>
    </row>
    <row r="719" spans="1:4" x14ac:dyDescent="0.25">
      <c r="A719" s="143">
        <v>42468</v>
      </c>
      <c r="B719">
        <v>149.35</v>
      </c>
      <c r="C719">
        <v>3.293822</v>
      </c>
      <c r="D719" t="s">
        <v>852</v>
      </c>
    </row>
    <row r="720" spans="1:4" x14ac:dyDescent="0.25">
      <c r="A720" s="143">
        <v>42471</v>
      </c>
      <c r="B720">
        <v>149.25</v>
      </c>
      <c r="C720">
        <v>3.8461280000000002</v>
      </c>
      <c r="D720" t="s">
        <v>852</v>
      </c>
    </row>
    <row r="721" spans="1:4" x14ac:dyDescent="0.25">
      <c r="A721" s="143">
        <v>42472</v>
      </c>
      <c r="B721">
        <v>149.63</v>
      </c>
      <c r="C721">
        <v>3.5957499999999998</v>
      </c>
      <c r="D721" t="s">
        <v>852</v>
      </c>
    </row>
    <row r="722" spans="1:4" x14ac:dyDescent="0.25">
      <c r="A722" s="143">
        <v>42473</v>
      </c>
      <c r="B722">
        <v>151.22999999999999</v>
      </c>
      <c r="C722">
        <v>3.1683919999999999</v>
      </c>
      <c r="D722" t="s">
        <v>852</v>
      </c>
    </row>
    <row r="723" spans="1:4" x14ac:dyDescent="0.25">
      <c r="A723" s="143">
        <v>42474</v>
      </c>
      <c r="B723">
        <v>151.16</v>
      </c>
      <c r="C723">
        <v>3.1764999999999999</v>
      </c>
      <c r="D723" t="s">
        <v>852</v>
      </c>
    </row>
    <row r="724" spans="1:4" x14ac:dyDescent="0.25">
      <c r="A724" s="143">
        <v>42475</v>
      </c>
      <c r="B724">
        <v>151.72</v>
      </c>
      <c r="C724">
        <v>3.6575760000000002</v>
      </c>
      <c r="D724" t="s">
        <v>852</v>
      </c>
    </row>
    <row r="725" spans="1:4" x14ac:dyDescent="0.25">
      <c r="A725" s="143">
        <v>42478</v>
      </c>
      <c r="B725">
        <v>152.53</v>
      </c>
      <c r="C725">
        <v>6.5817050000000004</v>
      </c>
      <c r="D725" t="s">
        <v>852</v>
      </c>
    </row>
    <row r="726" spans="1:4" x14ac:dyDescent="0.25">
      <c r="A726" s="143">
        <v>42479</v>
      </c>
      <c r="B726">
        <v>144</v>
      </c>
      <c r="C726">
        <v>13.190162000000001</v>
      </c>
      <c r="D726" t="s">
        <v>852</v>
      </c>
    </row>
    <row r="727" spans="1:4" x14ac:dyDescent="0.25">
      <c r="A727" s="143">
        <v>42480</v>
      </c>
      <c r="B727">
        <v>146.11000000000001</v>
      </c>
      <c r="C727">
        <v>6.754264</v>
      </c>
      <c r="D727" t="s">
        <v>852</v>
      </c>
    </row>
    <row r="728" spans="1:4" x14ac:dyDescent="0.25">
      <c r="A728" s="143">
        <v>42481</v>
      </c>
      <c r="B728">
        <v>149.30000000000001</v>
      </c>
      <c r="C728">
        <v>6.0176749999999997</v>
      </c>
      <c r="D728" t="s">
        <v>852</v>
      </c>
    </row>
    <row r="729" spans="1:4" x14ac:dyDescent="0.25">
      <c r="A729" s="143">
        <v>42482</v>
      </c>
      <c r="B729">
        <v>148.5</v>
      </c>
      <c r="C729">
        <v>5.1919019999999998</v>
      </c>
      <c r="D729" t="s">
        <v>852</v>
      </c>
    </row>
    <row r="730" spans="1:4" x14ac:dyDescent="0.25">
      <c r="A730" s="143">
        <v>42485</v>
      </c>
      <c r="B730">
        <v>148.81</v>
      </c>
      <c r="C730">
        <v>2.848935</v>
      </c>
      <c r="D730" t="s">
        <v>852</v>
      </c>
    </row>
    <row r="731" spans="1:4" x14ac:dyDescent="0.25">
      <c r="A731" s="143">
        <v>42486</v>
      </c>
      <c r="B731">
        <v>149.08000000000001</v>
      </c>
      <c r="C731">
        <v>2.9798</v>
      </c>
      <c r="D731" t="s">
        <v>852</v>
      </c>
    </row>
    <row r="732" spans="1:4" x14ac:dyDescent="0.25">
      <c r="A732" s="143">
        <v>42487</v>
      </c>
      <c r="B732">
        <v>150.47</v>
      </c>
      <c r="C732">
        <v>3.1111900000000001</v>
      </c>
      <c r="D732" t="s">
        <v>852</v>
      </c>
    </row>
    <row r="733" spans="1:4" x14ac:dyDescent="0.25">
      <c r="A733" s="143">
        <v>42488</v>
      </c>
      <c r="B733">
        <v>147.07</v>
      </c>
      <c r="C733">
        <v>3.791509</v>
      </c>
      <c r="D733" t="s">
        <v>852</v>
      </c>
    </row>
    <row r="734" spans="1:4" x14ac:dyDescent="0.25">
      <c r="A734" s="143">
        <v>42489</v>
      </c>
      <c r="B734">
        <v>145.94</v>
      </c>
      <c r="C734">
        <v>4.2257899999999999</v>
      </c>
      <c r="D734" t="s">
        <v>852</v>
      </c>
    </row>
    <row r="735" spans="1:4" x14ac:dyDescent="0.25">
      <c r="A735" s="143">
        <v>42492</v>
      </c>
      <c r="B735">
        <v>145.27000000000001</v>
      </c>
      <c r="C735">
        <v>3.502443</v>
      </c>
      <c r="D735" t="s">
        <v>852</v>
      </c>
    </row>
    <row r="736" spans="1:4" x14ac:dyDescent="0.25">
      <c r="A736" s="143">
        <v>42493</v>
      </c>
      <c r="B736">
        <v>144.13</v>
      </c>
      <c r="C736">
        <v>3.5842610000000001</v>
      </c>
      <c r="D736" t="s">
        <v>852</v>
      </c>
    </row>
    <row r="737" spans="1:4" x14ac:dyDescent="0.25">
      <c r="A737" s="143">
        <v>42494</v>
      </c>
      <c r="B737">
        <v>144.25</v>
      </c>
      <c r="C737">
        <v>2.577086</v>
      </c>
      <c r="D737" t="s">
        <v>852</v>
      </c>
    </row>
    <row r="738" spans="1:4" x14ac:dyDescent="0.25">
      <c r="A738" s="143">
        <v>42495</v>
      </c>
      <c r="B738">
        <v>146.47</v>
      </c>
      <c r="C738">
        <v>6.5012280000000002</v>
      </c>
      <c r="D738" t="s">
        <v>852</v>
      </c>
    </row>
    <row r="739" spans="1:4" x14ac:dyDescent="0.25">
      <c r="A739" s="143">
        <v>42496</v>
      </c>
      <c r="B739">
        <v>147.29</v>
      </c>
      <c r="C739">
        <v>4.8958110000000001</v>
      </c>
      <c r="D739" t="s">
        <v>852</v>
      </c>
    </row>
    <row r="740" spans="1:4" x14ac:dyDescent="0.25">
      <c r="A740" s="143">
        <v>42499</v>
      </c>
      <c r="B740">
        <v>147.34</v>
      </c>
      <c r="C740">
        <v>4.3024329999999997</v>
      </c>
      <c r="D740" t="s">
        <v>852</v>
      </c>
    </row>
    <row r="741" spans="1:4" x14ac:dyDescent="0.25">
      <c r="A741" s="143">
        <v>42500</v>
      </c>
      <c r="B741">
        <v>149.97</v>
      </c>
      <c r="C741">
        <v>3.992651</v>
      </c>
      <c r="D741" t="s">
        <v>852</v>
      </c>
    </row>
    <row r="742" spans="1:4" x14ac:dyDescent="0.25">
      <c r="A742" s="143">
        <v>42501</v>
      </c>
      <c r="B742">
        <v>148.94999999999999</v>
      </c>
      <c r="C742">
        <v>3.0930080000000002</v>
      </c>
      <c r="D742" t="s">
        <v>852</v>
      </c>
    </row>
    <row r="743" spans="1:4" x14ac:dyDescent="0.25">
      <c r="A743" s="143">
        <v>42502</v>
      </c>
      <c r="B743">
        <v>148.84</v>
      </c>
      <c r="C743">
        <v>3.2492320000000001</v>
      </c>
      <c r="D743" t="s">
        <v>852</v>
      </c>
    </row>
    <row r="744" spans="1:4" x14ac:dyDescent="0.25">
      <c r="A744" s="143">
        <v>42503</v>
      </c>
      <c r="B744">
        <v>147.72</v>
      </c>
      <c r="C744">
        <v>2.398002</v>
      </c>
      <c r="D744" t="s">
        <v>852</v>
      </c>
    </row>
    <row r="745" spans="1:4" x14ac:dyDescent="0.25">
      <c r="A745" s="143">
        <v>42506</v>
      </c>
      <c r="B745">
        <v>149.46</v>
      </c>
      <c r="C745">
        <v>3.0691259999999998</v>
      </c>
      <c r="D745" t="s">
        <v>852</v>
      </c>
    </row>
    <row r="746" spans="1:4" x14ac:dyDescent="0.25">
      <c r="A746" s="143">
        <v>42507</v>
      </c>
      <c r="B746">
        <v>148</v>
      </c>
      <c r="C746">
        <v>3.4905740000000001</v>
      </c>
      <c r="D746" t="s">
        <v>852</v>
      </c>
    </row>
    <row r="747" spans="1:4" x14ac:dyDescent="0.25">
      <c r="A747" s="143">
        <v>42508</v>
      </c>
      <c r="B747">
        <v>147.34</v>
      </c>
      <c r="C747">
        <v>2.4910860000000001</v>
      </c>
      <c r="D747" t="s">
        <v>852</v>
      </c>
    </row>
    <row r="748" spans="1:4" x14ac:dyDescent="0.25">
      <c r="A748" s="143">
        <v>42509</v>
      </c>
      <c r="B748">
        <v>144.93</v>
      </c>
      <c r="C748">
        <v>3.6855950000000002</v>
      </c>
      <c r="D748" t="s">
        <v>852</v>
      </c>
    </row>
    <row r="749" spans="1:4" x14ac:dyDescent="0.25">
      <c r="A749" s="143">
        <v>42510</v>
      </c>
      <c r="B749">
        <v>147.25</v>
      </c>
      <c r="C749">
        <v>3.671462</v>
      </c>
      <c r="D749" t="s">
        <v>852</v>
      </c>
    </row>
    <row r="750" spans="1:4" x14ac:dyDescent="0.25">
      <c r="A750" s="143">
        <v>42513</v>
      </c>
      <c r="B750">
        <v>146.77000000000001</v>
      </c>
      <c r="C750">
        <v>2.1037859999999999</v>
      </c>
      <c r="D750" t="s">
        <v>852</v>
      </c>
    </row>
    <row r="751" spans="1:4" x14ac:dyDescent="0.25">
      <c r="A751" s="143">
        <v>42514</v>
      </c>
      <c r="B751">
        <v>148.31</v>
      </c>
      <c r="C751">
        <v>2.9292570000000002</v>
      </c>
      <c r="D751" t="s">
        <v>852</v>
      </c>
    </row>
    <row r="752" spans="1:4" x14ac:dyDescent="0.25">
      <c r="A752" s="143">
        <v>42515</v>
      </c>
      <c r="B752">
        <v>151.69</v>
      </c>
      <c r="C752">
        <v>4.3580389999999998</v>
      </c>
      <c r="D752" t="s">
        <v>852</v>
      </c>
    </row>
    <row r="753" spans="1:4" x14ac:dyDescent="0.25">
      <c r="A753" s="143">
        <v>42516</v>
      </c>
      <c r="B753">
        <v>152.44</v>
      </c>
      <c r="C753">
        <v>3.0629430000000002</v>
      </c>
      <c r="D753" t="s">
        <v>852</v>
      </c>
    </row>
    <row r="754" spans="1:4" x14ac:dyDescent="0.25">
      <c r="A754" s="143">
        <v>42517</v>
      </c>
      <c r="B754">
        <v>152.84</v>
      </c>
      <c r="C754">
        <v>2.457112</v>
      </c>
      <c r="D754" t="s">
        <v>852</v>
      </c>
    </row>
    <row r="755" spans="1:4" x14ac:dyDescent="0.25">
      <c r="A755" s="143">
        <v>42521</v>
      </c>
      <c r="B755">
        <v>153.74</v>
      </c>
      <c r="C755">
        <v>5.8366449999999999</v>
      </c>
      <c r="D755" t="s">
        <v>852</v>
      </c>
    </row>
    <row r="756" spans="1:4" x14ac:dyDescent="0.25">
      <c r="A756" s="143">
        <v>42522</v>
      </c>
      <c r="B756">
        <v>152.51</v>
      </c>
      <c r="C756">
        <v>2.6634190000000002</v>
      </c>
      <c r="D756" t="s">
        <v>852</v>
      </c>
    </row>
    <row r="757" spans="1:4" x14ac:dyDescent="0.25">
      <c r="A757" s="143">
        <v>42523</v>
      </c>
      <c r="B757">
        <v>153.5</v>
      </c>
      <c r="C757">
        <v>2.642601</v>
      </c>
      <c r="D757" t="s">
        <v>852</v>
      </c>
    </row>
    <row r="758" spans="1:4" x14ac:dyDescent="0.25">
      <c r="A758" s="143">
        <v>42524</v>
      </c>
      <c r="B758">
        <v>152.88999999999999</v>
      </c>
      <c r="C758">
        <v>2.3282560000000001</v>
      </c>
      <c r="D758" t="s">
        <v>852</v>
      </c>
    </row>
    <row r="759" spans="1:4" x14ac:dyDescent="0.25">
      <c r="A759" s="143">
        <v>42527</v>
      </c>
      <c r="B759">
        <v>152.72999999999999</v>
      </c>
      <c r="C759">
        <v>2.3786619999999998</v>
      </c>
      <c r="D759" t="s">
        <v>852</v>
      </c>
    </row>
    <row r="760" spans="1:4" x14ac:dyDescent="0.25">
      <c r="A760" s="143">
        <v>42528</v>
      </c>
      <c r="B760">
        <v>153.33000000000001</v>
      </c>
      <c r="C760">
        <v>4.4649850000000004</v>
      </c>
      <c r="D760" t="s">
        <v>852</v>
      </c>
    </row>
    <row r="761" spans="1:4" x14ac:dyDescent="0.25">
      <c r="A761" s="143">
        <v>42529</v>
      </c>
      <c r="B761">
        <v>154</v>
      </c>
      <c r="C761">
        <v>2.9350360000000002</v>
      </c>
      <c r="D761" t="s">
        <v>852</v>
      </c>
    </row>
    <row r="762" spans="1:4" x14ac:dyDescent="0.25">
      <c r="A762" s="143">
        <v>42530</v>
      </c>
      <c r="B762">
        <v>153.41999999999999</v>
      </c>
      <c r="C762">
        <v>2.0217960000000001</v>
      </c>
      <c r="D762" t="s">
        <v>852</v>
      </c>
    </row>
    <row r="763" spans="1:4" x14ac:dyDescent="0.25">
      <c r="A763" s="143">
        <v>42531</v>
      </c>
      <c r="B763">
        <v>152.37</v>
      </c>
      <c r="C763">
        <v>3.1205630000000002</v>
      </c>
      <c r="D763" t="s">
        <v>852</v>
      </c>
    </row>
    <row r="764" spans="1:4" x14ac:dyDescent="0.25">
      <c r="A764" s="143">
        <v>42534</v>
      </c>
      <c r="B764">
        <v>151.28</v>
      </c>
      <c r="C764">
        <v>3.6104069999999999</v>
      </c>
      <c r="D764" t="s">
        <v>852</v>
      </c>
    </row>
    <row r="765" spans="1:4" x14ac:dyDescent="0.25">
      <c r="A765" s="143">
        <v>42535</v>
      </c>
      <c r="B765">
        <v>151.06</v>
      </c>
      <c r="C765">
        <v>2.8658329999999999</v>
      </c>
      <c r="D765" t="s">
        <v>852</v>
      </c>
    </row>
    <row r="766" spans="1:4" x14ac:dyDescent="0.25">
      <c r="A766" s="143">
        <v>42536</v>
      </c>
      <c r="B766">
        <v>150.68</v>
      </c>
      <c r="C766">
        <v>2.2604060000000001</v>
      </c>
      <c r="D766" t="s">
        <v>852</v>
      </c>
    </row>
    <row r="767" spans="1:4" x14ac:dyDescent="0.25">
      <c r="A767" s="143">
        <v>42537</v>
      </c>
      <c r="B767">
        <v>151.06</v>
      </c>
      <c r="C767">
        <v>2.4490639999999999</v>
      </c>
      <c r="D767" t="s">
        <v>852</v>
      </c>
    </row>
    <row r="768" spans="1:4" x14ac:dyDescent="0.25">
      <c r="A768" s="143">
        <v>42538</v>
      </c>
      <c r="B768">
        <v>151.99</v>
      </c>
      <c r="C768">
        <v>4.6638700000000002</v>
      </c>
      <c r="D768" t="s">
        <v>852</v>
      </c>
    </row>
    <row r="769" spans="1:4" x14ac:dyDescent="0.25">
      <c r="A769" s="143">
        <v>42541</v>
      </c>
      <c r="B769">
        <v>153.61000000000001</v>
      </c>
      <c r="C769">
        <v>3.5721020000000001</v>
      </c>
      <c r="D769" t="s">
        <v>852</v>
      </c>
    </row>
    <row r="770" spans="1:4" x14ac:dyDescent="0.25">
      <c r="A770" s="143">
        <v>42542</v>
      </c>
      <c r="B770">
        <v>154.05000000000001</v>
      </c>
      <c r="C770">
        <v>2.7603439999999999</v>
      </c>
      <c r="D770" t="s">
        <v>852</v>
      </c>
    </row>
    <row r="771" spans="1:4" x14ac:dyDescent="0.25">
      <c r="A771" s="143">
        <v>42543</v>
      </c>
      <c r="B771">
        <v>152.91999999999999</v>
      </c>
      <c r="C771">
        <v>2.8336640000000002</v>
      </c>
      <c r="D771" t="s">
        <v>852</v>
      </c>
    </row>
    <row r="772" spans="1:4" x14ac:dyDescent="0.25">
      <c r="A772" s="143">
        <v>42544</v>
      </c>
      <c r="B772">
        <v>155.35</v>
      </c>
      <c r="C772">
        <v>3.9693689999999999</v>
      </c>
      <c r="D772" t="s">
        <v>852</v>
      </c>
    </row>
    <row r="773" spans="1:4" x14ac:dyDescent="0.25">
      <c r="A773" s="143">
        <v>42545</v>
      </c>
      <c r="B773">
        <v>146.59</v>
      </c>
      <c r="C773">
        <v>9.0827930000000006</v>
      </c>
      <c r="D773" t="s">
        <v>852</v>
      </c>
    </row>
    <row r="774" spans="1:4" x14ac:dyDescent="0.25">
      <c r="A774" s="143">
        <v>42548</v>
      </c>
      <c r="B774">
        <v>143.5</v>
      </c>
      <c r="C774">
        <v>5.1666650000000001</v>
      </c>
      <c r="D774" t="s">
        <v>852</v>
      </c>
    </row>
    <row r="775" spans="1:4" x14ac:dyDescent="0.25">
      <c r="A775" s="143">
        <v>42549</v>
      </c>
      <c r="B775">
        <v>145.69999999999999</v>
      </c>
      <c r="C775">
        <v>3.9976940000000001</v>
      </c>
      <c r="D775" t="s">
        <v>852</v>
      </c>
    </row>
    <row r="776" spans="1:4" x14ac:dyDescent="0.25">
      <c r="A776" s="143">
        <v>42550</v>
      </c>
      <c r="B776">
        <v>148.46</v>
      </c>
      <c r="C776">
        <v>3.3677359999999998</v>
      </c>
      <c r="D776" t="s">
        <v>852</v>
      </c>
    </row>
    <row r="777" spans="1:4" x14ac:dyDescent="0.25">
      <c r="A777" s="143">
        <v>42551</v>
      </c>
      <c r="B777">
        <v>151.78</v>
      </c>
      <c r="C777">
        <v>3.9671259999999999</v>
      </c>
      <c r="D777" t="s">
        <v>852</v>
      </c>
    </row>
    <row r="778" spans="1:4" x14ac:dyDescent="0.25">
      <c r="A778" s="143">
        <v>42552</v>
      </c>
      <c r="B778">
        <v>152.35</v>
      </c>
      <c r="C778">
        <v>2.65828</v>
      </c>
      <c r="D778" t="s">
        <v>852</v>
      </c>
    </row>
    <row r="779" spans="1:4" x14ac:dyDescent="0.25">
      <c r="A779" s="143">
        <v>42556</v>
      </c>
      <c r="B779">
        <v>151.68</v>
      </c>
      <c r="C779">
        <v>2.4652400000000001</v>
      </c>
      <c r="D779" t="s">
        <v>852</v>
      </c>
    </row>
    <row r="780" spans="1:4" x14ac:dyDescent="0.25">
      <c r="A780" s="143">
        <v>42557</v>
      </c>
      <c r="B780">
        <v>152.37</v>
      </c>
      <c r="C780">
        <v>2.5693929999999998</v>
      </c>
      <c r="D780" t="s">
        <v>852</v>
      </c>
    </row>
    <row r="781" spans="1:4" x14ac:dyDescent="0.25">
      <c r="A781" s="143">
        <v>42558</v>
      </c>
      <c r="B781">
        <v>152.6</v>
      </c>
      <c r="C781">
        <v>2.1384210000000001</v>
      </c>
      <c r="D781" t="s">
        <v>852</v>
      </c>
    </row>
    <row r="782" spans="1:4" x14ac:dyDescent="0.25">
      <c r="A782" s="143">
        <v>42559</v>
      </c>
      <c r="B782">
        <v>154.46</v>
      </c>
      <c r="C782">
        <v>3.0405929999999999</v>
      </c>
      <c r="D782" t="s">
        <v>852</v>
      </c>
    </row>
    <row r="783" spans="1:4" x14ac:dyDescent="0.25">
      <c r="A783" s="143">
        <v>42562</v>
      </c>
      <c r="B783">
        <v>155.33000000000001</v>
      </c>
      <c r="C783">
        <v>2.8337119999999998</v>
      </c>
      <c r="D783" t="s">
        <v>852</v>
      </c>
    </row>
    <row r="784" spans="1:4" x14ac:dyDescent="0.25">
      <c r="A784" s="143">
        <v>42563</v>
      </c>
      <c r="B784">
        <v>157.04</v>
      </c>
      <c r="C784">
        <v>3.8437929999999998</v>
      </c>
      <c r="D784" t="s">
        <v>852</v>
      </c>
    </row>
    <row r="785" spans="1:4" x14ac:dyDescent="0.25">
      <c r="A785" s="143">
        <v>42564</v>
      </c>
      <c r="B785">
        <v>158.02000000000001</v>
      </c>
      <c r="C785">
        <v>2.7464390000000001</v>
      </c>
      <c r="D785" t="s">
        <v>852</v>
      </c>
    </row>
    <row r="786" spans="1:4" x14ac:dyDescent="0.25">
      <c r="A786" s="143">
        <v>42565</v>
      </c>
      <c r="B786">
        <v>160.28</v>
      </c>
      <c r="C786">
        <v>4.6376439999999999</v>
      </c>
      <c r="D786" t="s">
        <v>852</v>
      </c>
    </row>
    <row r="787" spans="1:4" x14ac:dyDescent="0.25">
      <c r="A787" s="143">
        <v>42566</v>
      </c>
      <c r="B787">
        <v>159.78</v>
      </c>
      <c r="C787">
        <v>4.4768100000000004</v>
      </c>
      <c r="D787" t="s">
        <v>852</v>
      </c>
    </row>
    <row r="788" spans="1:4" x14ac:dyDescent="0.25">
      <c r="A788" s="143">
        <v>42569</v>
      </c>
      <c r="B788">
        <v>159.86000000000001</v>
      </c>
      <c r="C788">
        <v>6.7296849999999999</v>
      </c>
      <c r="D788" t="s">
        <v>852</v>
      </c>
    </row>
    <row r="789" spans="1:4" x14ac:dyDescent="0.25">
      <c r="A789" s="143">
        <v>42570</v>
      </c>
      <c r="B789">
        <v>159.58000000000001</v>
      </c>
      <c r="C789">
        <v>7.1200169999999998</v>
      </c>
      <c r="D789" t="s">
        <v>852</v>
      </c>
    </row>
    <row r="790" spans="1:4" x14ac:dyDescent="0.25">
      <c r="A790" s="143">
        <v>42571</v>
      </c>
      <c r="B790">
        <v>161.36000000000001</v>
      </c>
      <c r="C790">
        <v>4.3762860000000003</v>
      </c>
      <c r="D790" t="s">
        <v>852</v>
      </c>
    </row>
    <row r="791" spans="1:4" x14ac:dyDescent="0.25">
      <c r="A791" s="143">
        <v>42572</v>
      </c>
      <c r="B791">
        <v>160.44999999999999</v>
      </c>
      <c r="C791">
        <v>4.0489750000000004</v>
      </c>
      <c r="D791" t="s">
        <v>852</v>
      </c>
    </row>
    <row r="792" spans="1:4" x14ac:dyDescent="0.25">
      <c r="A792" s="143">
        <v>42573</v>
      </c>
      <c r="B792">
        <v>162.07</v>
      </c>
      <c r="C792">
        <v>2.5200770000000001</v>
      </c>
      <c r="D792" t="s">
        <v>852</v>
      </c>
    </row>
    <row r="793" spans="1:4" x14ac:dyDescent="0.25">
      <c r="A793" s="143">
        <v>42576</v>
      </c>
      <c r="B793">
        <v>162.65</v>
      </c>
      <c r="C793">
        <v>2.8045779999999998</v>
      </c>
      <c r="D793" t="s">
        <v>852</v>
      </c>
    </row>
    <row r="794" spans="1:4" x14ac:dyDescent="0.25">
      <c r="A794" s="143">
        <v>42577</v>
      </c>
      <c r="B794">
        <v>162.12</v>
      </c>
      <c r="C794">
        <v>2.8945590000000001</v>
      </c>
      <c r="D794" t="s">
        <v>852</v>
      </c>
    </row>
    <row r="795" spans="1:4" x14ac:dyDescent="0.25">
      <c r="A795" s="143">
        <v>42578</v>
      </c>
      <c r="B795">
        <v>161.83000000000001</v>
      </c>
      <c r="C795">
        <v>2.1626799999999999</v>
      </c>
      <c r="D795" t="s">
        <v>852</v>
      </c>
    </row>
    <row r="796" spans="1:4" x14ac:dyDescent="0.25">
      <c r="A796" s="143">
        <v>42579</v>
      </c>
      <c r="B796">
        <v>161.37</v>
      </c>
      <c r="C796">
        <v>2.3403689999999999</v>
      </c>
      <c r="D796" t="s">
        <v>852</v>
      </c>
    </row>
    <row r="797" spans="1:4" x14ac:dyDescent="0.25">
      <c r="A797" s="143">
        <v>42580</v>
      </c>
      <c r="B797">
        <v>160.62</v>
      </c>
      <c r="C797">
        <v>3.5475460000000001</v>
      </c>
      <c r="D797" t="s">
        <v>852</v>
      </c>
    </row>
    <row r="798" spans="1:4" x14ac:dyDescent="0.25">
      <c r="A798" s="143">
        <v>42583</v>
      </c>
      <c r="B798">
        <v>161.44999999999999</v>
      </c>
      <c r="C798">
        <v>2.823588</v>
      </c>
      <c r="D798" t="s">
        <v>852</v>
      </c>
    </row>
    <row r="799" spans="1:4" x14ac:dyDescent="0.25">
      <c r="A799" s="143">
        <v>42584</v>
      </c>
      <c r="B799">
        <v>160.58000000000001</v>
      </c>
      <c r="C799">
        <v>3.0808990000000001</v>
      </c>
      <c r="D799" t="s">
        <v>852</v>
      </c>
    </row>
    <row r="800" spans="1:4" x14ac:dyDescent="0.25">
      <c r="A800" s="143">
        <v>42585</v>
      </c>
      <c r="B800">
        <v>160.66999999999999</v>
      </c>
      <c r="C800">
        <v>2.861659</v>
      </c>
      <c r="D800" t="s">
        <v>852</v>
      </c>
    </row>
    <row r="801" spans="1:4" x14ac:dyDescent="0.25">
      <c r="A801" s="143">
        <v>42586</v>
      </c>
      <c r="B801">
        <v>161.55000000000001</v>
      </c>
      <c r="C801">
        <v>2.4890680000000001</v>
      </c>
      <c r="D801" t="s">
        <v>852</v>
      </c>
    </row>
    <row r="802" spans="1:4" x14ac:dyDescent="0.25">
      <c r="A802" s="143">
        <v>42587</v>
      </c>
      <c r="B802">
        <v>163.5</v>
      </c>
      <c r="C802">
        <v>3.81237</v>
      </c>
      <c r="D802" t="s">
        <v>852</v>
      </c>
    </row>
    <row r="803" spans="1:4" x14ac:dyDescent="0.25">
      <c r="A803" s="143">
        <v>42590</v>
      </c>
      <c r="B803">
        <v>162.04</v>
      </c>
      <c r="C803">
        <v>3.0393059999999998</v>
      </c>
      <c r="D803" t="s">
        <v>852</v>
      </c>
    </row>
    <row r="804" spans="1:4" x14ac:dyDescent="0.25">
      <c r="A804" s="143">
        <v>42591</v>
      </c>
      <c r="B804">
        <v>161.77000000000001</v>
      </c>
      <c r="C804">
        <v>2.73753</v>
      </c>
      <c r="D804" t="s">
        <v>852</v>
      </c>
    </row>
    <row r="805" spans="1:4" x14ac:dyDescent="0.25">
      <c r="A805" s="143">
        <v>42592</v>
      </c>
      <c r="B805">
        <v>162.08000000000001</v>
      </c>
      <c r="C805">
        <v>2.466675</v>
      </c>
      <c r="D805" t="s">
        <v>852</v>
      </c>
    </row>
    <row r="806" spans="1:4" x14ac:dyDescent="0.25">
      <c r="A806" s="143">
        <v>42593</v>
      </c>
      <c r="B806">
        <v>163.53</v>
      </c>
      <c r="C806">
        <v>8.7685849999999999</v>
      </c>
      <c r="D806" t="s">
        <v>852</v>
      </c>
    </row>
    <row r="807" spans="1:4" x14ac:dyDescent="0.25">
      <c r="A807" s="143">
        <v>42594</v>
      </c>
      <c r="B807">
        <v>161.94999999999999</v>
      </c>
      <c r="C807">
        <v>2.5430790000000001</v>
      </c>
      <c r="D807" t="s">
        <v>852</v>
      </c>
    </row>
    <row r="808" spans="1:4" x14ac:dyDescent="0.25">
      <c r="A808" s="143">
        <v>42597</v>
      </c>
      <c r="B808">
        <v>161.88</v>
      </c>
      <c r="C808">
        <v>2.970415</v>
      </c>
      <c r="D808" t="s">
        <v>852</v>
      </c>
    </row>
    <row r="809" spans="1:4" x14ac:dyDescent="0.25">
      <c r="A809" s="143">
        <v>42598</v>
      </c>
      <c r="B809">
        <v>160.69999999999999</v>
      </c>
      <c r="C809">
        <v>2.210229</v>
      </c>
      <c r="D809" t="s">
        <v>852</v>
      </c>
    </row>
    <row r="810" spans="1:4" x14ac:dyDescent="0.25">
      <c r="A810" s="143">
        <v>42599</v>
      </c>
      <c r="B810">
        <v>160.44</v>
      </c>
      <c r="C810">
        <v>3.2259190000000002</v>
      </c>
      <c r="D810" t="s">
        <v>852</v>
      </c>
    </row>
    <row r="811" spans="1:4" x14ac:dyDescent="0.25">
      <c r="A811" s="143">
        <v>42600</v>
      </c>
      <c r="B811">
        <v>161.36000000000001</v>
      </c>
      <c r="C811">
        <v>3.6520130000000002</v>
      </c>
      <c r="D811" t="s">
        <v>852</v>
      </c>
    </row>
    <row r="812" spans="1:4" x14ac:dyDescent="0.25">
      <c r="A812" s="143">
        <v>42601</v>
      </c>
      <c r="B812">
        <v>160.04</v>
      </c>
      <c r="C812">
        <v>2.8151839999999999</v>
      </c>
      <c r="D812" t="s">
        <v>852</v>
      </c>
    </row>
    <row r="813" spans="1:4" x14ac:dyDescent="0.25">
      <c r="A813" s="143">
        <v>42604</v>
      </c>
      <c r="B813">
        <v>160</v>
      </c>
      <c r="C813">
        <v>2.0393309999999998</v>
      </c>
      <c r="D813" t="s">
        <v>852</v>
      </c>
    </row>
    <row r="814" spans="1:4" x14ac:dyDescent="0.25">
      <c r="A814" s="143">
        <v>42605</v>
      </c>
      <c r="B814">
        <v>160.26</v>
      </c>
      <c r="C814">
        <v>2.8381370000000001</v>
      </c>
      <c r="D814" t="s">
        <v>852</v>
      </c>
    </row>
    <row r="815" spans="1:4" x14ac:dyDescent="0.25">
      <c r="A815" s="143">
        <v>42606</v>
      </c>
      <c r="B815">
        <v>159.05000000000001</v>
      </c>
      <c r="C815">
        <v>3.6458370000000002</v>
      </c>
      <c r="D815" t="s">
        <v>852</v>
      </c>
    </row>
    <row r="816" spans="1:4" x14ac:dyDescent="0.25">
      <c r="A816" s="143">
        <v>42607</v>
      </c>
      <c r="B816">
        <v>158.63</v>
      </c>
      <c r="C816">
        <v>2.5750229999999998</v>
      </c>
      <c r="D816" t="s">
        <v>852</v>
      </c>
    </row>
    <row r="817" spans="1:4" x14ac:dyDescent="0.25">
      <c r="A817" s="143">
        <v>42608</v>
      </c>
      <c r="B817">
        <v>158.32</v>
      </c>
      <c r="C817">
        <v>2.4989089999999998</v>
      </c>
      <c r="D817" t="s">
        <v>852</v>
      </c>
    </row>
    <row r="818" spans="1:4" x14ac:dyDescent="0.25">
      <c r="A818" s="143">
        <v>42611</v>
      </c>
      <c r="B818">
        <v>159.72</v>
      </c>
      <c r="C818">
        <v>2.4758789999999999</v>
      </c>
      <c r="D818" t="s">
        <v>852</v>
      </c>
    </row>
    <row r="819" spans="1:4" x14ac:dyDescent="0.25">
      <c r="A819" s="143">
        <v>42612</v>
      </c>
      <c r="B819">
        <v>159.4</v>
      </c>
      <c r="C819">
        <v>1.8133429999999999</v>
      </c>
      <c r="D819" t="s">
        <v>852</v>
      </c>
    </row>
    <row r="820" spans="1:4" x14ac:dyDescent="0.25">
      <c r="A820" s="143">
        <v>42613</v>
      </c>
      <c r="B820">
        <v>158.88</v>
      </c>
      <c r="C820">
        <v>2.3236490000000001</v>
      </c>
      <c r="D820" t="s">
        <v>852</v>
      </c>
    </row>
    <row r="821" spans="1:4" x14ac:dyDescent="0.25">
      <c r="A821" s="143">
        <v>42614</v>
      </c>
      <c r="B821">
        <v>159.54</v>
      </c>
      <c r="C821">
        <v>2.3583850000000002</v>
      </c>
      <c r="D821" t="s">
        <v>852</v>
      </c>
    </row>
    <row r="822" spans="1:4" x14ac:dyDescent="0.25">
      <c r="A822" s="143">
        <v>42615</v>
      </c>
      <c r="B822">
        <v>159.55000000000001</v>
      </c>
      <c r="C822">
        <v>2.315366</v>
      </c>
      <c r="D822" t="s">
        <v>852</v>
      </c>
    </row>
    <row r="823" spans="1:4" x14ac:dyDescent="0.25">
      <c r="A823" s="143">
        <v>42619</v>
      </c>
      <c r="B823">
        <v>160.35</v>
      </c>
      <c r="C823">
        <v>2.9940560000000001</v>
      </c>
      <c r="D823" t="s">
        <v>852</v>
      </c>
    </row>
    <row r="824" spans="1:4" x14ac:dyDescent="0.25">
      <c r="A824" s="143">
        <v>42620</v>
      </c>
      <c r="B824">
        <v>161.63999999999999</v>
      </c>
      <c r="C824">
        <v>2.8672569999999999</v>
      </c>
      <c r="D824" t="s">
        <v>852</v>
      </c>
    </row>
    <row r="825" spans="1:4" x14ac:dyDescent="0.25">
      <c r="A825" s="143">
        <v>42621</v>
      </c>
      <c r="B825">
        <v>159</v>
      </c>
      <c r="C825">
        <v>3.9631639999999999</v>
      </c>
      <c r="D825" t="s">
        <v>852</v>
      </c>
    </row>
    <row r="826" spans="1:4" x14ac:dyDescent="0.25">
      <c r="A826" s="143">
        <v>42622</v>
      </c>
      <c r="B826">
        <v>155.69</v>
      </c>
      <c r="C826">
        <v>5.1859719999999996</v>
      </c>
      <c r="D826" t="s">
        <v>852</v>
      </c>
    </row>
    <row r="827" spans="1:4" x14ac:dyDescent="0.25">
      <c r="A827" s="143">
        <v>42625</v>
      </c>
      <c r="B827">
        <v>158.29</v>
      </c>
      <c r="C827">
        <v>4.3675290000000002</v>
      </c>
      <c r="D827" t="s">
        <v>852</v>
      </c>
    </row>
    <row r="828" spans="1:4" x14ac:dyDescent="0.25">
      <c r="A828" s="143">
        <v>42626</v>
      </c>
      <c r="B828">
        <v>155.81</v>
      </c>
      <c r="C828">
        <v>3.6367189999999998</v>
      </c>
      <c r="D828" t="s">
        <v>852</v>
      </c>
    </row>
    <row r="829" spans="1:4" x14ac:dyDescent="0.25">
      <c r="A829" s="143">
        <v>42627</v>
      </c>
      <c r="B829">
        <v>154.05000000000001</v>
      </c>
      <c r="C829">
        <v>3.8605529999999999</v>
      </c>
      <c r="D829" t="s">
        <v>852</v>
      </c>
    </row>
    <row r="830" spans="1:4" x14ac:dyDescent="0.25">
      <c r="A830" s="143">
        <v>42628</v>
      </c>
      <c r="B830">
        <v>155.66</v>
      </c>
      <c r="C830">
        <v>3.6625730000000001</v>
      </c>
      <c r="D830" t="s">
        <v>852</v>
      </c>
    </row>
    <row r="831" spans="1:4" x14ac:dyDescent="0.25">
      <c r="A831" s="143">
        <v>42629</v>
      </c>
      <c r="B831">
        <v>153.84</v>
      </c>
      <c r="C831">
        <v>6.4636440000000004</v>
      </c>
      <c r="D831" t="s">
        <v>852</v>
      </c>
    </row>
    <row r="832" spans="1:4" x14ac:dyDescent="0.25">
      <c r="A832" s="143">
        <v>42632</v>
      </c>
      <c r="B832">
        <v>154.87</v>
      </c>
      <c r="C832">
        <v>2.4501170000000001</v>
      </c>
      <c r="D832" t="s">
        <v>852</v>
      </c>
    </row>
    <row r="833" spans="1:4" x14ac:dyDescent="0.25">
      <c r="A833" s="143">
        <v>42633</v>
      </c>
      <c r="B833">
        <v>154.44999999999999</v>
      </c>
      <c r="C833">
        <v>2.1590919999999998</v>
      </c>
      <c r="D833" t="s">
        <v>852</v>
      </c>
    </row>
    <row r="834" spans="1:4" x14ac:dyDescent="0.25">
      <c r="A834" s="143">
        <v>42634</v>
      </c>
      <c r="B834">
        <v>155.53</v>
      </c>
      <c r="C834">
        <v>2.4738950000000002</v>
      </c>
      <c r="D834" t="s">
        <v>852</v>
      </c>
    </row>
    <row r="835" spans="1:4" x14ac:dyDescent="0.25">
      <c r="A835" s="143">
        <v>42635</v>
      </c>
      <c r="B835">
        <v>156.11000000000001</v>
      </c>
      <c r="C835">
        <v>2.6911149999999999</v>
      </c>
      <c r="D835" t="s">
        <v>852</v>
      </c>
    </row>
    <row r="836" spans="1:4" x14ac:dyDescent="0.25">
      <c r="A836" s="143">
        <v>42636</v>
      </c>
      <c r="B836">
        <v>154.97999999999999</v>
      </c>
      <c r="C836">
        <v>2.702153</v>
      </c>
      <c r="D836" t="s">
        <v>852</v>
      </c>
    </row>
    <row r="837" spans="1:4" x14ac:dyDescent="0.25">
      <c r="A837" s="143">
        <v>42639</v>
      </c>
      <c r="B837">
        <v>153.97999999999999</v>
      </c>
      <c r="C837">
        <v>2.533325</v>
      </c>
      <c r="D837" t="s">
        <v>852</v>
      </c>
    </row>
    <row r="838" spans="1:4" x14ac:dyDescent="0.25">
      <c r="A838" s="143">
        <v>42640</v>
      </c>
      <c r="B838">
        <v>156.77000000000001</v>
      </c>
      <c r="C838">
        <v>2.9871949999999998</v>
      </c>
      <c r="D838" t="s">
        <v>852</v>
      </c>
    </row>
    <row r="839" spans="1:4" x14ac:dyDescent="0.25">
      <c r="A839" s="143">
        <v>42641</v>
      </c>
      <c r="B839">
        <v>158.29</v>
      </c>
      <c r="C839">
        <v>3.3100079999999998</v>
      </c>
      <c r="D839" t="s">
        <v>852</v>
      </c>
    </row>
    <row r="840" spans="1:4" x14ac:dyDescent="0.25">
      <c r="A840" s="143">
        <v>42642</v>
      </c>
      <c r="B840">
        <v>158.11000000000001</v>
      </c>
      <c r="C840">
        <v>3.374838</v>
      </c>
      <c r="D840" t="s">
        <v>852</v>
      </c>
    </row>
    <row r="841" spans="1:4" x14ac:dyDescent="0.25">
      <c r="A841" s="143">
        <v>42643</v>
      </c>
      <c r="B841">
        <v>158.85</v>
      </c>
      <c r="C841">
        <v>3.5968779999999998</v>
      </c>
      <c r="D841" t="s">
        <v>852</v>
      </c>
    </row>
    <row r="842" spans="1:4" x14ac:dyDescent="0.25">
      <c r="A842" s="143">
        <v>42646</v>
      </c>
      <c r="B842">
        <v>157.61000000000001</v>
      </c>
      <c r="C842">
        <v>2.2277999999999998</v>
      </c>
      <c r="D842" t="s">
        <v>852</v>
      </c>
    </row>
    <row r="843" spans="1:4" x14ac:dyDescent="0.25">
      <c r="A843" s="143">
        <v>42647</v>
      </c>
      <c r="B843">
        <v>156.46</v>
      </c>
      <c r="C843">
        <v>2.8841459999999999</v>
      </c>
      <c r="D843" t="s">
        <v>852</v>
      </c>
    </row>
    <row r="844" spans="1:4" x14ac:dyDescent="0.25">
      <c r="A844" s="143">
        <v>42648</v>
      </c>
      <c r="B844">
        <v>157.08000000000001</v>
      </c>
      <c r="C844">
        <v>1.684458</v>
      </c>
      <c r="D844" t="s">
        <v>852</v>
      </c>
    </row>
    <row r="845" spans="1:4" x14ac:dyDescent="0.25">
      <c r="A845" s="143">
        <v>42649</v>
      </c>
      <c r="B845">
        <v>156.88</v>
      </c>
      <c r="C845">
        <v>1.9501059999999999</v>
      </c>
      <c r="D845" t="s">
        <v>852</v>
      </c>
    </row>
    <row r="846" spans="1:4" x14ac:dyDescent="0.25">
      <c r="A846" s="143">
        <v>42650</v>
      </c>
      <c r="B846">
        <v>155.66999999999999</v>
      </c>
      <c r="C846">
        <v>2.6718519999999999</v>
      </c>
      <c r="D846" t="s">
        <v>852</v>
      </c>
    </row>
    <row r="847" spans="1:4" x14ac:dyDescent="0.25">
      <c r="A847" s="143">
        <v>42653</v>
      </c>
      <c r="B847">
        <v>157.02000000000001</v>
      </c>
      <c r="C847">
        <v>2.4812880000000002</v>
      </c>
      <c r="D847" t="s">
        <v>852</v>
      </c>
    </row>
    <row r="848" spans="1:4" x14ac:dyDescent="0.25">
      <c r="A848" s="143">
        <v>42654</v>
      </c>
      <c r="B848">
        <v>154.79</v>
      </c>
      <c r="C848">
        <v>2.9013260000000001</v>
      </c>
      <c r="D848" t="s">
        <v>852</v>
      </c>
    </row>
    <row r="849" spans="1:4" x14ac:dyDescent="0.25">
      <c r="A849" s="143">
        <v>42655</v>
      </c>
      <c r="B849">
        <v>154.29</v>
      </c>
      <c r="C849">
        <v>2.9639679999999999</v>
      </c>
      <c r="D849" t="s">
        <v>852</v>
      </c>
    </row>
    <row r="850" spans="1:4" x14ac:dyDescent="0.25">
      <c r="A850" s="143">
        <v>42656</v>
      </c>
      <c r="B850">
        <v>153.72</v>
      </c>
      <c r="C850">
        <v>2.909948</v>
      </c>
      <c r="D850" t="s">
        <v>852</v>
      </c>
    </row>
    <row r="851" spans="1:4" x14ac:dyDescent="0.25">
      <c r="A851" s="143">
        <v>42657</v>
      </c>
      <c r="B851">
        <v>154.44999999999999</v>
      </c>
      <c r="C851">
        <v>4.3581969999999997</v>
      </c>
      <c r="D851" t="s">
        <v>852</v>
      </c>
    </row>
    <row r="852" spans="1:4" x14ac:dyDescent="0.25">
      <c r="A852" s="143">
        <v>42660</v>
      </c>
      <c r="B852">
        <v>154.77000000000001</v>
      </c>
      <c r="C852">
        <v>5.8904209999999999</v>
      </c>
      <c r="D852" t="s">
        <v>852</v>
      </c>
    </row>
    <row r="853" spans="1:4" x14ac:dyDescent="0.25">
      <c r="A853" s="143">
        <v>42661</v>
      </c>
      <c r="B853">
        <v>150.72</v>
      </c>
      <c r="C853">
        <v>12.770569999999999</v>
      </c>
      <c r="D853" t="s">
        <v>852</v>
      </c>
    </row>
    <row r="854" spans="1:4" x14ac:dyDescent="0.25">
      <c r="A854" s="143">
        <v>42662</v>
      </c>
      <c r="B854">
        <v>151.26</v>
      </c>
      <c r="C854">
        <v>4.632854</v>
      </c>
      <c r="D854" t="s">
        <v>852</v>
      </c>
    </row>
    <row r="855" spans="1:4" x14ac:dyDescent="0.25">
      <c r="A855" s="143">
        <v>42663</v>
      </c>
      <c r="B855">
        <v>151.52000000000001</v>
      </c>
      <c r="C855">
        <v>4.0231029999999999</v>
      </c>
      <c r="D855" t="s">
        <v>852</v>
      </c>
    </row>
    <row r="856" spans="1:4" x14ac:dyDescent="0.25">
      <c r="A856" s="143">
        <v>42664</v>
      </c>
      <c r="B856">
        <v>149.63</v>
      </c>
      <c r="C856">
        <v>4.4142060000000001</v>
      </c>
      <c r="D856" t="s">
        <v>852</v>
      </c>
    </row>
    <row r="857" spans="1:4" x14ac:dyDescent="0.25">
      <c r="A857" s="143">
        <v>42667</v>
      </c>
      <c r="B857">
        <v>150.57</v>
      </c>
      <c r="C857">
        <v>2.6667399999999999</v>
      </c>
      <c r="D857" t="s">
        <v>852</v>
      </c>
    </row>
    <row r="858" spans="1:4" x14ac:dyDescent="0.25">
      <c r="A858" s="143">
        <v>42668</v>
      </c>
      <c r="B858">
        <v>150.88</v>
      </c>
      <c r="C858">
        <v>2.6474869999999999</v>
      </c>
      <c r="D858" t="s">
        <v>852</v>
      </c>
    </row>
    <row r="859" spans="1:4" x14ac:dyDescent="0.25">
      <c r="A859" s="143">
        <v>42669</v>
      </c>
      <c r="B859">
        <v>151.81</v>
      </c>
      <c r="C859">
        <v>2.811728</v>
      </c>
      <c r="D859" t="s">
        <v>852</v>
      </c>
    </row>
    <row r="860" spans="1:4" x14ac:dyDescent="0.25">
      <c r="A860" s="143">
        <v>42670</v>
      </c>
      <c r="B860">
        <v>153.35</v>
      </c>
      <c r="C860">
        <v>4.229336</v>
      </c>
      <c r="D860" t="s">
        <v>852</v>
      </c>
    </row>
    <row r="861" spans="1:4" x14ac:dyDescent="0.25">
      <c r="A861" s="143">
        <v>42671</v>
      </c>
      <c r="B861">
        <v>152.61000000000001</v>
      </c>
      <c r="C861">
        <v>3.654496</v>
      </c>
      <c r="D861" t="s">
        <v>852</v>
      </c>
    </row>
    <row r="862" spans="1:4" x14ac:dyDescent="0.25">
      <c r="A862" s="143">
        <v>42674</v>
      </c>
      <c r="B862">
        <v>153.69</v>
      </c>
      <c r="C862">
        <v>3.553172</v>
      </c>
      <c r="D862" t="s">
        <v>852</v>
      </c>
    </row>
    <row r="863" spans="1:4" x14ac:dyDescent="0.25">
      <c r="A863" s="143">
        <v>42675</v>
      </c>
      <c r="B863">
        <v>152.79</v>
      </c>
      <c r="C863">
        <v>3.1919240000000002</v>
      </c>
      <c r="D863" t="s">
        <v>852</v>
      </c>
    </row>
    <row r="864" spans="1:4" x14ac:dyDescent="0.25">
      <c r="A864" s="143">
        <v>42676</v>
      </c>
      <c r="B864">
        <v>151.94999999999999</v>
      </c>
      <c r="C864">
        <v>3.0744379999999998</v>
      </c>
      <c r="D864" t="s">
        <v>852</v>
      </c>
    </row>
    <row r="865" spans="1:4" x14ac:dyDescent="0.25">
      <c r="A865" s="143">
        <v>42677</v>
      </c>
      <c r="B865">
        <v>152.37</v>
      </c>
      <c r="C865">
        <v>2.878803</v>
      </c>
      <c r="D865" t="s">
        <v>852</v>
      </c>
    </row>
    <row r="866" spans="1:4" x14ac:dyDescent="0.25">
      <c r="A866" s="143">
        <v>42678</v>
      </c>
      <c r="B866">
        <v>152.43</v>
      </c>
      <c r="C866">
        <v>2.4703680000000001</v>
      </c>
      <c r="D866" t="s">
        <v>852</v>
      </c>
    </row>
    <row r="867" spans="1:4" x14ac:dyDescent="0.25">
      <c r="A867" s="143">
        <v>42681</v>
      </c>
      <c r="B867">
        <v>155.72</v>
      </c>
      <c r="C867">
        <v>3.8049430000000002</v>
      </c>
      <c r="D867" t="s">
        <v>852</v>
      </c>
    </row>
    <row r="868" spans="1:4" x14ac:dyDescent="0.25">
      <c r="A868" s="143">
        <v>42682</v>
      </c>
      <c r="B868">
        <v>155.16999999999999</v>
      </c>
      <c r="C868">
        <v>3.9219439999999999</v>
      </c>
      <c r="D868" t="s">
        <v>852</v>
      </c>
    </row>
    <row r="869" spans="1:4" x14ac:dyDescent="0.25">
      <c r="A869" s="143">
        <v>42683</v>
      </c>
      <c r="B869">
        <v>154.81</v>
      </c>
      <c r="C869">
        <v>5.4036879999999998</v>
      </c>
      <c r="D869" t="s">
        <v>852</v>
      </c>
    </row>
    <row r="870" spans="1:4" x14ac:dyDescent="0.25">
      <c r="A870" s="143">
        <v>42684</v>
      </c>
      <c r="B870">
        <v>160.22</v>
      </c>
      <c r="C870">
        <v>7.7158069999999999</v>
      </c>
      <c r="D870" t="s">
        <v>852</v>
      </c>
    </row>
    <row r="871" spans="1:4" x14ac:dyDescent="0.25">
      <c r="A871" s="143">
        <v>42685</v>
      </c>
      <c r="B871">
        <v>161.27000000000001</v>
      </c>
      <c r="C871">
        <v>4.4466299999999999</v>
      </c>
      <c r="D871" t="s">
        <v>852</v>
      </c>
    </row>
    <row r="872" spans="1:4" x14ac:dyDescent="0.25">
      <c r="A872" s="143">
        <v>42688</v>
      </c>
      <c r="B872">
        <v>158.21</v>
      </c>
      <c r="C872">
        <v>5.1964980000000001</v>
      </c>
      <c r="D872" t="s">
        <v>852</v>
      </c>
    </row>
    <row r="873" spans="1:4" x14ac:dyDescent="0.25">
      <c r="A873" s="143">
        <v>42689</v>
      </c>
      <c r="B873">
        <v>158.66999999999999</v>
      </c>
      <c r="C873">
        <v>3.4769960000000002</v>
      </c>
      <c r="D873" t="s">
        <v>852</v>
      </c>
    </row>
    <row r="874" spans="1:4" x14ac:dyDescent="0.25">
      <c r="A874" s="143">
        <v>42690</v>
      </c>
      <c r="B874">
        <v>159.29</v>
      </c>
      <c r="C874">
        <v>2.2528060000000001</v>
      </c>
      <c r="D874" t="s">
        <v>852</v>
      </c>
    </row>
    <row r="875" spans="1:4" x14ac:dyDescent="0.25">
      <c r="A875" s="143">
        <v>42691</v>
      </c>
      <c r="B875">
        <v>159.80000000000001</v>
      </c>
      <c r="C875">
        <v>2.2611949999999998</v>
      </c>
      <c r="D875" t="s">
        <v>852</v>
      </c>
    </row>
    <row r="876" spans="1:4" x14ac:dyDescent="0.25">
      <c r="A876" s="143">
        <v>42692</v>
      </c>
      <c r="B876">
        <v>160.38999999999999</v>
      </c>
      <c r="C876">
        <v>2.981633</v>
      </c>
      <c r="D876" t="s">
        <v>852</v>
      </c>
    </row>
    <row r="877" spans="1:4" x14ac:dyDescent="0.25">
      <c r="A877" s="143">
        <v>42695</v>
      </c>
      <c r="B877">
        <v>162.77000000000001</v>
      </c>
      <c r="C877">
        <v>4.6370969999999998</v>
      </c>
      <c r="D877" t="s">
        <v>852</v>
      </c>
    </row>
    <row r="878" spans="1:4" x14ac:dyDescent="0.25">
      <c r="A878" s="143">
        <v>42696</v>
      </c>
      <c r="B878">
        <v>162.66999999999999</v>
      </c>
      <c r="C878">
        <v>2.7707890000000002</v>
      </c>
      <c r="D878" t="s">
        <v>852</v>
      </c>
    </row>
    <row r="879" spans="1:4" x14ac:dyDescent="0.25">
      <c r="A879" s="143">
        <v>42697</v>
      </c>
      <c r="B879">
        <v>161.97999999999999</v>
      </c>
      <c r="C879">
        <v>2.2561650000000002</v>
      </c>
      <c r="D879" t="s">
        <v>852</v>
      </c>
    </row>
    <row r="880" spans="1:4" x14ac:dyDescent="0.25">
      <c r="A880" s="143">
        <v>42699</v>
      </c>
      <c r="B880">
        <v>163.13999999999999</v>
      </c>
      <c r="C880">
        <v>1.6053440000000001</v>
      </c>
      <c r="D880" t="s">
        <v>852</v>
      </c>
    </row>
    <row r="881" spans="1:4" x14ac:dyDescent="0.25">
      <c r="A881" s="143">
        <v>42702</v>
      </c>
      <c r="B881">
        <v>164.52</v>
      </c>
      <c r="C881">
        <v>4.4493549999999997</v>
      </c>
      <c r="D881" t="s">
        <v>852</v>
      </c>
    </row>
    <row r="882" spans="1:4" x14ac:dyDescent="0.25">
      <c r="A882" s="143">
        <v>42703</v>
      </c>
      <c r="B882">
        <v>163.53</v>
      </c>
      <c r="C882">
        <v>3.148196</v>
      </c>
      <c r="D882" t="s">
        <v>852</v>
      </c>
    </row>
    <row r="883" spans="1:4" x14ac:dyDescent="0.25">
      <c r="A883" s="143">
        <v>42704</v>
      </c>
      <c r="B883">
        <v>162.22</v>
      </c>
      <c r="C883">
        <v>4.3978169999999999</v>
      </c>
      <c r="D883" t="s">
        <v>852</v>
      </c>
    </row>
    <row r="884" spans="1:4" x14ac:dyDescent="0.25">
      <c r="A884" s="143">
        <v>42705</v>
      </c>
      <c r="B884">
        <v>159.82</v>
      </c>
      <c r="C884">
        <v>4.6356650000000004</v>
      </c>
      <c r="D884" t="s">
        <v>852</v>
      </c>
    </row>
    <row r="885" spans="1:4" x14ac:dyDescent="0.25">
      <c r="A885" s="143">
        <v>42706</v>
      </c>
      <c r="B885">
        <v>160.02000000000001</v>
      </c>
      <c r="C885">
        <v>2.7408670000000002</v>
      </c>
      <c r="D885" t="s">
        <v>852</v>
      </c>
    </row>
    <row r="886" spans="1:4" x14ac:dyDescent="0.25">
      <c r="A886" s="143">
        <v>42709</v>
      </c>
      <c r="B886">
        <v>159.84</v>
      </c>
      <c r="C886">
        <v>3.4470519999999998</v>
      </c>
      <c r="D886" t="s">
        <v>852</v>
      </c>
    </row>
    <row r="887" spans="1:4" x14ac:dyDescent="0.25">
      <c r="A887" s="143">
        <v>42710</v>
      </c>
      <c r="B887">
        <v>160.35</v>
      </c>
      <c r="C887">
        <v>2.858962</v>
      </c>
      <c r="D887" t="s">
        <v>852</v>
      </c>
    </row>
    <row r="888" spans="1:4" x14ac:dyDescent="0.25">
      <c r="A888" s="143">
        <v>42711</v>
      </c>
      <c r="B888">
        <v>164.79</v>
      </c>
      <c r="C888">
        <v>4.4350500000000004</v>
      </c>
      <c r="D888" t="s">
        <v>852</v>
      </c>
    </row>
    <row r="889" spans="1:4" x14ac:dyDescent="0.25">
      <c r="A889" s="143">
        <v>42712</v>
      </c>
      <c r="B889">
        <v>165.36</v>
      </c>
      <c r="C889">
        <v>3.2664360000000001</v>
      </c>
      <c r="D889" t="s">
        <v>852</v>
      </c>
    </row>
    <row r="890" spans="1:4" x14ac:dyDescent="0.25">
      <c r="A890" s="143">
        <v>42713</v>
      </c>
      <c r="B890">
        <v>166.52</v>
      </c>
      <c r="C890">
        <v>3.1469299999999998</v>
      </c>
      <c r="D890" t="s">
        <v>852</v>
      </c>
    </row>
    <row r="891" spans="1:4" x14ac:dyDescent="0.25">
      <c r="A891" s="143">
        <v>42716</v>
      </c>
      <c r="B891">
        <v>165.5</v>
      </c>
      <c r="C891">
        <v>3.392331</v>
      </c>
      <c r="D891" t="s">
        <v>852</v>
      </c>
    </row>
    <row r="892" spans="1:4" x14ac:dyDescent="0.25">
      <c r="A892" s="143">
        <v>42717</v>
      </c>
      <c r="B892">
        <v>168.29</v>
      </c>
      <c r="C892">
        <v>5.9322710000000001</v>
      </c>
      <c r="D892" t="s">
        <v>852</v>
      </c>
    </row>
    <row r="893" spans="1:4" x14ac:dyDescent="0.25">
      <c r="A893" s="143">
        <v>42718</v>
      </c>
      <c r="B893">
        <v>168.51</v>
      </c>
      <c r="C893">
        <v>4.124161</v>
      </c>
      <c r="D893" t="s">
        <v>852</v>
      </c>
    </row>
    <row r="894" spans="1:4" x14ac:dyDescent="0.25">
      <c r="A894" s="143">
        <v>42719</v>
      </c>
      <c r="B894">
        <v>168.02</v>
      </c>
      <c r="C894">
        <v>3.3885700000000001</v>
      </c>
      <c r="D894" t="s">
        <v>852</v>
      </c>
    </row>
    <row r="895" spans="1:4" x14ac:dyDescent="0.25">
      <c r="A895" s="143">
        <v>42720</v>
      </c>
      <c r="B895">
        <v>166.73</v>
      </c>
      <c r="C895">
        <v>7.1205720000000001</v>
      </c>
      <c r="D895" t="s">
        <v>852</v>
      </c>
    </row>
    <row r="896" spans="1:4" x14ac:dyDescent="0.25">
      <c r="A896" s="143">
        <v>42723</v>
      </c>
      <c r="B896">
        <v>166.68</v>
      </c>
      <c r="C896">
        <v>2.9559060000000001</v>
      </c>
      <c r="D896" t="s">
        <v>852</v>
      </c>
    </row>
    <row r="897" spans="1:4" x14ac:dyDescent="0.25">
      <c r="A897" s="143">
        <v>42724</v>
      </c>
      <c r="B897">
        <v>167.6</v>
      </c>
      <c r="C897">
        <v>2.174569</v>
      </c>
      <c r="D897" t="s">
        <v>852</v>
      </c>
    </row>
    <row r="898" spans="1:4" x14ac:dyDescent="0.25">
      <c r="A898" s="143">
        <v>42725</v>
      </c>
      <c r="B898">
        <v>167.33</v>
      </c>
      <c r="C898">
        <v>3.5757210000000001</v>
      </c>
      <c r="D898" t="s">
        <v>852</v>
      </c>
    </row>
    <row r="899" spans="1:4" x14ac:dyDescent="0.25">
      <c r="A899" s="143">
        <v>42726</v>
      </c>
      <c r="B899">
        <v>167.06</v>
      </c>
      <c r="C899">
        <v>2.8026309999999999</v>
      </c>
      <c r="D899" t="s">
        <v>852</v>
      </c>
    </row>
    <row r="900" spans="1:4" x14ac:dyDescent="0.25">
      <c r="A900" s="143">
        <v>42727</v>
      </c>
      <c r="B900">
        <v>166.71</v>
      </c>
      <c r="C900">
        <v>1.701228</v>
      </c>
      <c r="D900" t="s">
        <v>852</v>
      </c>
    </row>
    <row r="901" spans="1:4" x14ac:dyDescent="0.25">
      <c r="A901" s="143">
        <v>42731</v>
      </c>
      <c r="B901">
        <v>167.14</v>
      </c>
      <c r="C901">
        <v>1.3974549999999999</v>
      </c>
      <c r="D901" t="s">
        <v>852</v>
      </c>
    </row>
    <row r="902" spans="1:4" x14ac:dyDescent="0.25">
      <c r="A902" s="143">
        <v>42732</v>
      </c>
      <c r="B902">
        <v>166.19</v>
      </c>
      <c r="C902">
        <v>1.7575000000000001</v>
      </c>
      <c r="D902" t="s">
        <v>852</v>
      </c>
    </row>
    <row r="903" spans="1:4" x14ac:dyDescent="0.25">
      <c r="A903" s="143">
        <v>42733</v>
      </c>
      <c r="B903">
        <v>166.6</v>
      </c>
      <c r="C903">
        <v>1.6635420000000001</v>
      </c>
      <c r="D903" t="s">
        <v>852</v>
      </c>
    </row>
    <row r="904" spans="1:4" x14ac:dyDescent="0.25">
      <c r="A904" s="143">
        <v>42734</v>
      </c>
      <c r="B904">
        <v>165.99</v>
      </c>
      <c r="C904">
        <v>2.9528249999999998</v>
      </c>
      <c r="D904" t="s">
        <v>852</v>
      </c>
    </row>
    <row r="905" spans="1:4" x14ac:dyDescent="0.25">
      <c r="A905" s="143">
        <v>42738</v>
      </c>
      <c r="B905">
        <v>167.19</v>
      </c>
      <c r="C905">
        <v>2.9342990000000002</v>
      </c>
      <c r="D905" t="s">
        <v>852</v>
      </c>
    </row>
    <row r="906" spans="1:4" x14ac:dyDescent="0.25">
      <c r="A906" s="143">
        <v>42739</v>
      </c>
      <c r="B906">
        <v>169.26</v>
      </c>
      <c r="C906">
        <v>3.3814320000000002</v>
      </c>
      <c r="D906" t="s">
        <v>852</v>
      </c>
    </row>
    <row r="907" spans="1:4" x14ac:dyDescent="0.25">
      <c r="A907" s="143">
        <v>42740</v>
      </c>
      <c r="B907">
        <v>168.7</v>
      </c>
      <c r="C907">
        <v>2.6823009999999998</v>
      </c>
      <c r="D907" t="s">
        <v>852</v>
      </c>
    </row>
    <row r="908" spans="1:4" x14ac:dyDescent="0.25">
      <c r="A908" s="143">
        <v>42741</v>
      </c>
      <c r="B908">
        <v>169.53</v>
      </c>
      <c r="C908">
        <v>2.9455360000000002</v>
      </c>
      <c r="D908" t="s">
        <v>852</v>
      </c>
    </row>
    <row r="909" spans="1:4" x14ac:dyDescent="0.25">
      <c r="A909" s="143">
        <v>42744</v>
      </c>
      <c r="B909">
        <v>167.65</v>
      </c>
      <c r="C909">
        <v>3.1898909999999998</v>
      </c>
      <c r="D909" t="s">
        <v>852</v>
      </c>
    </row>
    <row r="910" spans="1:4" x14ac:dyDescent="0.25">
      <c r="A910" s="143">
        <v>42745</v>
      </c>
      <c r="B910">
        <v>165.52</v>
      </c>
      <c r="C910">
        <v>4.1186939999999996</v>
      </c>
      <c r="D910" t="s">
        <v>852</v>
      </c>
    </row>
    <row r="911" spans="1:4" x14ac:dyDescent="0.25">
      <c r="A911" s="143">
        <v>42746</v>
      </c>
      <c r="B911">
        <v>167.75</v>
      </c>
      <c r="C911">
        <v>3.5994640000000002</v>
      </c>
      <c r="D911" t="s">
        <v>852</v>
      </c>
    </row>
    <row r="912" spans="1:4" x14ac:dyDescent="0.25">
      <c r="A912" s="143">
        <v>42747</v>
      </c>
      <c r="B912">
        <v>167.95</v>
      </c>
      <c r="C912">
        <v>2.9279730000000002</v>
      </c>
      <c r="D912" t="s">
        <v>852</v>
      </c>
    </row>
    <row r="913" spans="1:4" x14ac:dyDescent="0.25">
      <c r="A913" s="143">
        <v>42748</v>
      </c>
      <c r="B913">
        <v>167.34</v>
      </c>
      <c r="C913">
        <v>2.8754330000000001</v>
      </c>
      <c r="D913" t="s">
        <v>852</v>
      </c>
    </row>
    <row r="914" spans="1:4" x14ac:dyDescent="0.25">
      <c r="A914" s="143">
        <v>42752</v>
      </c>
      <c r="B914">
        <v>167.89</v>
      </c>
      <c r="C914">
        <v>3.315655</v>
      </c>
      <c r="D914" t="s">
        <v>852</v>
      </c>
    </row>
    <row r="915" spans="1:4" x14ac:dyDescent="0.25">
      <c r="A915" s="143">
        <v>42753</v>
      </c>
      <c r="B915">
        <v>166.8</v>
      </c>
      <c r="C915">
        <v>4.0077790000000002</v>
      </c>
      <c r="D915" t="s">
        <v>852</v>
      </c>
    </row>
    <row r="916" spans="1:4" x14ac:dyDescent="0.25">
      <c r="A916" s="143">
        <v>42754</v>
      </c>
      <c r="B916">
        <v>166.81</v>
      </c>
      <c r="C916">
        <v>6.9633859999999999</v>
      </c>
      <c r="D916" t="s">
        <v>852</v>
      </c>
    </row>
    <row r="917" spans="1:4" x14ac:dyDescent="0.25">
      <c r="A917" s="143">
        <v>42755</v>
      </c>
      <c r="B917">
        <v>170.55</v>
      </c>
      <c r="C917">
        <v>12.690028999999999</v>
      </c>
      <c r="D917" t="s">
        <v>852</v>
      </c>
    </row>
    <row r="918" spans="1:4" x14ac:dyDescent="0.25">
      <c r="A918" s="143">
        <v>42758</v>
      </c>
      <c r="B918">
        <v>171.03</v>
      </c>
      <c r="C918">
        <v>5.478224</v>
      </c>
      <c r="D918" t="s">
        <v>852</v>
      </c>
    </row>
    <row r="919" spans="1:4" x14ac:dyDescent="0.25">
      <c r="A919" s="143">
        <v>42759</v>
      </c>
      <c r="B919">
        <v>175.9</v>
      </c>
      <c r="C919">
        <v>6.952369</v>
      </c>
      <c r="D919" t="s">
        <v>852</v>
      </c>
    </row>
    <row r="920" spans="1:4" x14ac:dyDescent="0.25">
      <c r="A920" s="143">
        <v>42760</v>
      </c>
      <c r="B920">
        <v>178.29</v>
      </c>
      <c r="C920">
        <v>5.9224620000000003</v>
      </c>
      <c r="D920" t="s">
        <v>852</v>
      </c>
    </row>
    <row r="921" spans="1:4" x14ac:dyDescent="0.25">
      <c r="A921" s="143">
        <v>42761</v>
      </c>
      <c r="B921">
        <v>178.66</v>
      </c>
      <c r="C921">
        <v>3.0639240000000001</v>
      </c>
      <c r="D921" t="s">
        <v>852</v>
      </c>
    </row>
    <row r="922" spans="1:4" x14ac:dyDescent="0.25">
      <c r="A922" s="143">
        <v>42762</v>
      </c>
      <c r="B922">
        <v>177.3</v>
      </c>
      <c r="C922">
        <v>3.4823110000000002</v>
      </c>
      <c r="D922" t="s">
        <v>852</v>
      </c>
    </row>
    <row r="923" spans="1:4" x14ac:dyDescent="0.25">
      <c r="A923" s="143">
        <v>42765</v>
      </c>
      <c r="B923">
        <v>175.8</v>
      </c>
      <c r="C923">
        <v>4.0947550000000001</v>
      </c>
      <c r="D923" t="s">
        <v>852</v>
      </c>
    </row>
    <row r="924" spans="1:4" x14ac:dyDescent="0.25">
      <c r="A924" s="143">
        <v>42766</v>
      </c>
      <c r="B924">
        <v>174.52</v>
      </c>
      <c r="C924">
        <v>4.1389620000000003</v>
      </c>
      <c r="D924" t="s">
        <v>852</v>
      </c>
    </row>
    <row r="925" spans="1:4" x14ac:dyDescent="0.25">
      <c r="A925" s="143">
        <v>42767</v>
      </c>
      <c r="B925">
        <v>174.29</v>
      </c>
      <c r="C925">
        <v>2.7957450000000001</v>
      </c>
      <c r="D925" t="s">
        <v>852</v>
      </c>
    </row>
    <row r="926" spans="1:4" x14ac:dyDescent="0.25">
      <c r="A926" s="143">
        <v>42768</v>
      </c>
      <c r="B926">
        <v>174.58</v>
      </c>
      <c r="C926">
        <v>2.6205259999999999</v>
      </c>
      <c r="D926" t="s">
        <v>852</v>
      </c>
    </row>
    <row r="927" spans="1:4" x14ac:dyDescent="0.25">
      <c r="A927" s="143">
        <v>42769</v>
      </c>
      <c r="B927">
        <v>175.82</v>
      </c>
      <c r="C927">
        <v>3.309288</v>
      </c>
      <c r="D927" t="s">
        <v>852</v>
      </c>
    </row>
    <row r="928" spans="1:4" x14ac:dyDescent="0.25">
      <c r="A928" s="143">
        <v>42772</v>
      </c>
      <c r="B928">
        <v>175.86</v>
      </c>
      <c r="C928">
        <v>2.6507849999999999</v>
      </c>
      <c r="D928" t="s">
        <v>852</v>
      </c>
    </row>
    <row r="929" spans="1:4" x14ac:dyDescent="0.25">
      <c r="A929" s="143">
        <v>42773</v>
      </c>
      <c r="B929">
        <v>178.46</v>
      </c>
      <c r="C929">
        <v>3.8734549999999999</v>
      </c>
      <c r="D929" t="s">
        <v>852</v>
      </c>
    </row>
    <row r="930" spans="1:4" x14ac:dyDescent="0.25">
      <c r="A930" s="143">
        <v>42774</v>
      </c>
      <c r="B930">
        <v>176.17</v>
      </c>
      <c r="C930">
        <v>2.9131260000000001</v>
      </c>
      <c r="D930" t="s">
        <v>852</v>
      </c>
    </row>
    <row r="931" spans="1:4" x14ac:dyDescent="0.25">
      <c r="A931" s="143">
        <v>42775</v>
      </c>
      <c r="B931">
        <v>177.21</v>
      </c>
      <c r="C931">
        <v>3.0907100000000001</v>
      </c>
      <c r="D931" t="s">
        <v>852</v>
      </c>
    </row>
    <row r="932" spans="1:4" x14ac:dyDescent="0.25">
      <c r="A932" s="143">
        <v>42776</v>
      </c>
      <c r="B932">
        <v>178.68</v>
      </c>
      <c r="C932">
        <v>2.9307099999999999</v>
      </c>
      <c r="D932" t="s">
        <v>852</v>
      </c>
    </row>
    <row r="933" spans="1:4" x14ac:dyDescent="0.25">
      <c r="A933" s="143">
        <v>42779</v>
      </c>
      <c r="B933">
        <v>179.36</v>
      </c>
      <c r="C933">
        <v>3.093372</v>
      </c>
      <c r="D933" t="s">
        <v>852</v>
      </c>
    </row>
    <row r="934" spans="1:4" x14ac:dyDescent="0.25">
      <c r="A934" s="143">
        <v>42780</v>
      </c>
      <c r="B934">
        <v>180.13</v>
      </c>
      <c r="C934">
        <v>2.7765279999999999</v>
      </c>
      <c r="D934" t="s">
        <v>852</v>
      </c>
    </row>
    <row r="935" spans="1:4" x14ac:dyDescent="0.25">
      <c r="A935" s="143">
        <v>42781</v>
      </c>
      <c r="B935">
        <v>181.68</v>
      </c>
      <c r="C935">
        <v>2.9142920000000001</v>
      </c>
      <c r="D935" t="s">
        <v>852</v>
      </c>
    </row>
    <row r="936" spans="1:4" x14ac:dyDescent="0.25">
      <c r="A936" s="143">
        <v>42782</v>
      </c>
      <c r="B936">
        <v>181.43</v>
      </c>
      <c r="C936">
        <v>3.251547</v>
      </c>
      <c r="D936" t="s">
        <v>852</v>
      </c>
    </row>
    <row r="937" spans="1:4" x14ac:dyDescent="0.25">
      <c r="A937" s="143">
        <v>42783</v>
      </c>
      <c r="B937">
        <v>180.67</v>
      </c>
      <c r="C937">
        <v>3.552495</v>
      </c>
      <c r="D937" t="s">
        <v>852</v>
      </c>
    </row>
    <row r="938" spans="1:4" x14ac:dyDescent="0.25">
      <c r="A938" s="143">
        <v>42787</v>
      </c>
      <c r="B938">
        <v>180.26</v>
      </c>
      <c r="C938">
        <v>4.4802989999999996</v>
      </c>
      <c r="D938" t="s">
        <v>852</v>
      </c>
    </row>
    <row r="939" spans="1:4" x14ac:dyDescent="0.25">
      <c r="A939" s="143">
        <v>42788</v>
      </c>
      <c r="B939">
        <v>181.15</v>
      </c>
      <c r="C939">
        <v>3.02054</v>
      </c>
      <c r="D939" t="s">
        <v>852</v>
      </c>
    </row>
    <row r="940" spans="1:4" x14ac:dyDescent="0.25">
      <c r="A940" s="143">
        <v>42789</v>
      </c>
      <c r="B940">
        <v>181.65</v>
      </c>
      <c r="C940">
        <v>2.2825259999999998</v>
      </c>
      <c r="D940" t="s">
        <v>852</v>
      </c>
    </row>
    <row r="941" spans="1:4" x14ac:dyDescent="0.25">
      <c r="A941" s="143">
        <v>42790</v>
      </c>
      <c r="B941">
        <v>181.35</v>
      </c>
      <c r="C941">
        <v>3.3000929999999999</v>
      </c>
      <c r="D941" t="s">
        <v>852</v>
      </c>
    </row>
    <row r="942" spans="1:4" x14ac:dyDescent="0.25">
      <c r="A942" s="143">
        <v>42793</v>
      </c>
      <c r="B942">
        <v>179.4</v>
      </c>
      <c r="C942">
        <v>3.6913269999999998</v>
      </c>
      <c r="D942" t="s">
        <v>852</v>
      </c>
    </row>
    <row r="943" spans="1:4" x14ac:dyDescent="0.25">
      <c r="A943" s="143">
        <v>42794</v>
      </c>
      <c r="B943">
        <v>179.82</v>
      </c>
      <c r="C943">
        <v>3.2734200000000002</v>
      </c>
      <c r="D943" t="s">
        <v>852</v>
      </c>
    </row>
    <row r="944" spans="1:4" x14ac:dyDescent="0.25">
      <c r="A944" s="143">
        <v>42795</v>
      </c>
      <c r="B944">
        <v>181.95</v>
      </c>
      <c r="C944">
        <v>3.0055640000000001</v>
      </c>
      <c r="D944" t="s">
        <v>852</v>
      </c>
    </row>
    <row r="945" spans="1:4" x14ac:dyDescent="0.25">
      <c r="A945" s="143">
        <v>42796</v>
      </c>
      <c r="B945">
        <v>180.53</v>
      </c>
      <c r="C945">
        <v>2.918183</v>
      </c>
      <c r="D945" t="s">
        <v>852</v>
      </c>
    </row>
    <row r="946" spans="1:4" x14ac:dyDescent="0.25">
      <c r="A946" s="143">
        <v>42797</v>
      </c>
      <c r="B946">
        <v>180.05</v>
      </c>
      <c r="C946">
        <v>1.825048</v>
      </c>
      <c r="D946" t="s">
        <v>852</v>
      </c>
    </row>
    <row r="947" spans="1:4" x14ac:dyDescent="0.25">
      <c r="A947" s="143">
        <v>42800</v>
      </c>
      <c r="B947">
        <v>180.47</v>
      </c>
      <c r="C947">
        <v>3.204434</v>
      </c>
      <c r="D947" t="s">
        <v>852</v>
      </c>
    </row>
    <row r="948" spans="1:4" x14ac:dyDescent="0.25">
      <c r="A948" s="143">
        <v>42801</v>
      </c>
      <c r="B948">
        <v>180.38</v>
      </c>
      <c r="C948">
        <v>2.9805160000000002</v>
      </c>
      <c r="D948" t="s">
        <v>852</v>
      </c>
    </row>
    <row r="949" spans="1:4" x14ac:dyDescent="0.25">
      <c r="A949" s="143">
        <v>42802</v>
      </c>
      <c r="B949">
        <v>179.45</v>
      </c>
      <c r="C949">
        <v>3.5573959999999998</v>
      </c>
      <c r="D949" t="s">
        <v>852</v>
      </c>
    </row>
    <row r="950" spans="1:4" x14ac:dyDescent="0.25">
      <c r="A950" s="143">
        <v>42803</v>
      </c>
      <c r="B950">
        <v>177.18</v>
      </c>
      <c r="C950">
        <v>5.4440759999999999</v>
      </c>
      <c r="D950" t="s">
        <v>852</v>
      </c>
    </row>
    <row r="951" spans="1:4" x14ac:dyDescent="0.25">
      <c r="A951" s="143">
        <v>42804</v>
      </c>
      <c r="B951">
        <v>177.83</v>
      </c>
      <c r="C951">
        <v>3.1003259999999999</v>
      </c>
      <c r="D951" t="s">
        <v>852</v>
      </c>
    </row>
    <row r="952" spans="1:4" x14ac:dyDescent="0.25">
      <c r="A952" s="143">
        <v>42807</v>
      </c>
      <c r="B952">
        <v>176.46</v>
      </c>
      <c r="C952">
        <v>3.482189</v>
      </c>
      <c r="D952" t="s">
        <v>852</v>
      </c>
    </row>
    <row r="953" spans="1:4" x14ac:dyDescent="0.25">
      <c r="A953" s="143">
        <v>42808</v>
      </c>
      <c r="B953">
        <v>175.72</v>
      </c>
      <c r="C953">
        <v>3.147497</v>
      </c>
      <c r="D953" t="s">
        <v>852</v>
      </c>
    </row>
    <row r="954" spans="1:4" x14ac:dyDescent="0.25">
      <c r="A954" s="143">
        <v>42809</v>
      </c>
      <c r="B954">
        <v>175.81</v>
      </c>
      <c r="C954">
        <v>3.815537</v>
      </c>
      <c r="D954" t="s">
        <v>852</v>
      </c>
    </row>
    <row r="955" spans="1:4" x14ac:dyDescent="0.25">
      <c r="A955" s="143">
        <v>42810</v>
      </c>
      <c r="B955">
        <v>177.24</v>
      </c>
      <c r="C955">
        <v>4.3118480000000003</v>
      </c>
      <c r="D955" t="s">
        <v>852</v>
      </c>
    </row>
    <row r="956" spans="1:4" x14ac:dyDescent="0.25">
      <c r="A956" s="143">
        <v>42811</v>
      </c>
      <c r="B956">
        <v>175.65</v>
      </c>
      <c r="C956">
        <v>5.9209670000000001</v>
      </c>
      <c r="D956" t="s">
        <v>852</v>
      </c>
    </row>
    <row r="957" spans="1:4" x14ac:dyDescent="0.25">
      <c r="A957" s="143">
        <v>42814</v>
      </c>
      <c r="B957">
        <v>175.7</v>
      </c>
      <c r="C957">
        <v>2.4761250000000001</v>
      </c>
      <c r="D957" t="s">
        <v>852</v>
      </c>
    </row>
    <row r="958" spans="1:4" x14ac:dyDescent="0.25">
      <c r="A958" s="143">
        <v>42815</v>
      </c>
      <c r="B958">
        <v>173.88</v>
      </c>
      <c r="C958">
        <v>3.9277410000000001</v>
      </c>
      <c r="D958" t="s">
        <v>852</v>
      </c>
    </row>
    <row r="959" spans="1:4" x14ac:dyDescent="0.25">
      <c r="A959" s="143">
        <v>42816</v>
      </c>
      <c r="B959">
        <v>174.78</v>
      </c>
      <c r="C959">
        <v>3.4505119999999998</v>
      </c>
      <c r="D959" t="s">
        <v>852</v>
      </c>
    </row>
    <row r="960" spans="1:4" x14ac:dyDescent="0.25">
      <c r="A960" s="143">
        <v>42817</v>
      </c>
      <c r="B960">
        <v>174.82</v>
      </c>
      <c r="C960">
        <v>3.739976</v>
      </c>
      <c r="D960" t="s">
        <v>852</v>
      </c>
    </row>
    <row r="961" spans="1:4" x14ac:dyDescent="0.25">
      <c r="A961" s="143">
        <v>42818</v>
      </c>
      <c r="B961">
        <v>173.83</v>
      </c>
      <c r="C961">
        <v>3.2216749999999998</v>
      </c>
      <c r="D961" t="s">
        <v>852</v>
      </c>
    </row>
    <row r="962" spans="1:4" x14ac:dyDescent="0.25">
      <c r="A962" s="143">
        <v>42821</v>
      </c>
      <c r="B962">
        <v>173.77</v>
      </c>
      <c r="C962">
        <v>3.2590490000000001</v>
      </c>
      <c r="D962" t="s">
        <v>852</v>
      </c>
    </row>
    <row r="963" spans="1:4" x14ac:dyDescent="0.25">
      <c r="A963" s="143">
        <v>42822</v>
      </c>
      <c r="B963">
        <v>174.51</v>
      </c>
      <c r="C963">
        <v>3.5238700000000001</v>
      </c>
      <c r="D963" t="s">
        <v>852</v>
      </c>
    </row>
    <row r="964" spans="1:4" x14ac:dyDescent="0.25">
      <c r="A964" s="143">
        <v>42823</v>
      </c>
      <c r="B964">
        <v>173.94</v>
      </c>
      <c r="C964">
        <v>3.0856059999999998</v>
      </c>
      <c r="D964" t="s">
        <v>852</v>
      </c>
    </row>
    <row r="965" spans="1:4" x14ac:dyDescent="0.25">
      <c r="A965" s="143">
        <v>42824</v>
      </c>
      <c r="B965">
        <v>173.86</v>
      </c>
      <c r="C965">
        <v>3.1682540000000001</v>
      </c>
      <c r="D965" t="s">
        <v>852</v>
      </c>
    </row>
    <row r="966" spans="1:4" x14ac:dyDescent="0.25">
      <c r="A966" s="143">
        <v>42825</v>
      </c>
      <c r="B966">
        <v>174.14</v>
      </c>
      <c r="C966">
        <v>2.9136839999999999</v>
      </c>
      <c r="D966" t="s">
        <v>852</v>
      </c>
    </row>
    <row r="967" spans="1:4" x14ac:dyDescent="0.25">
      <c r="A967" s="143">
        <v>42828</v>
      </c>
      <c r="B967">
        <v>174.5</v>
      </c>
      <c r="C967">
        <v>4.2864979999999999</v>
      </c>
      <c r="D967" t="s">
        <v>852</v>
      </c>
    </row>
    <row r="968" spans="1:4" x14ac:dyDescent="0.25">
      <c r="A968" s="143">
        <v>42829</v>
      </c>
      <c r="B968">
        <v>174.52</v>
      </c>
      <c r="C968">
        <v>3.1088849999999999</v>
      </c>
      <c r="D968" t="s">
        <v>852</v>
      </c>
    </row>
    <row r="969" spans="1:4" x14ac:dyDescent="0.25">
      <c r="A969" s="143">
        <v>42830</v>
      </c>
      <c r="B969">
        <v>172.88</v>
      </c>
      <c r="C969">
        <v>6.2388940000000002</v>
      </c>
      <c r="D969" t="s">
        <v>852</v>
      </c>
    </row>
    <row r="970" spans="1:4" x14ac:dyDescent="0.25">
      <c r="A970" s="143">
        <v>42831</v>
      </c>
      <c r="B970">
        <v>172.45</v>
      </c>
      <c r="C970">
        <v>3.435403</v>
      </c>
      <c r="D970" t="s">
        <v>852</v>
      </c>
    </row>
    <row r="971" spans="1:4" x14ac:dyDescent="0.25">
      <c r="A971" s="143">
        <v>42832</v>
      </c>
      <c r="B971">
        <v>172.14</v>
      </c>
      <c r="C971">
        <v>3.5883020000000001</v>
      </c>
      <c r="D971" t="s">
        <v>852</v>
      </c>
    </row>
    <row r="972" spans="1:4" x14ac:dyDescent="0.25">
      <c r="A972" s="143">
        <v>42835</v>
      </c>
      <c r="B972">
        <v>171.2</v>
      </c>
      <c r="C972">
        <v>3.789936</v>
      </c>
      <c r="D972" t="s">
        <v>852</v>
      </c>
    </row>
    <row r="973" spans="1:4" x14ac:dyDescent="0.25">
      <c r="A973" s="143">
        <v>42836</v>
      </c>
      <c r="B973">
        <v>170.58</v>
      </c>
      <c r="C973">
        <v>4.8919110000000003</v>
      </c>
      <c r="D973" t="s">
        <v>852</v>
      </c>
    </row>
    <row r="974" spans="1:4" x14ac:dyDescent="0.25">
      <c r="A974" s="143">
        <v>42837</v>
      </c>
      <c r="B974">
        <v>170.66</v>
      </c>
      <c r="C974">
        <v>3.2769309999999998</v>
      </c>
      <c r="D974" t="s">
        <v>852</v>
      </c>
    </row>
    <row r="975" spans="1:4" x14ac:dyDescent="0.25">
      <c r="A975" s="143">
        <v>42838</v>
      </c>
      <c r="B975">
        <v>169.53</v>
      </c>
      <c r="C975">
        <v>3.2054619999999998</v>
      </c>
      <c r="D975" t="s">
        <v>852</v>
      </c>
    </row>
    <row r="976" spans="1:4" x14ac:dyDescent="0.25">
      <c r="A976" s="143">
        <v>42842</v>
      </c>
      <c r="B976">
        <v>171.1</v>
      </c>
      <c r="C976">
        <v>3.720218</v>
      </c>
      <c r="D976" t="s">
        <v>852</v>
      </c>
    </row>
    <row r="977" spans="1:4" x14ac:dyDescent="0.25">
      <c r="A977" s="143">
        <v>42843</v>
      </c>
      <c r="B977">
        <v>170.05</v>
      </c>
      <c r="C977">
        <v>6.3454649999999999</v>
      </c>
      <c r="D977" t="s">
        <v>852</v>
      </c>
    </row>
    <row r="978" spans="1:4" x14ac:dyDescent="0.25">
      <c r="A978" s="143">
        <v>42844</v>
      </c>
      <c r="B978">
        <v>161.69</v>
      </c>
      <c r="C978">
        <v>19.284284</v>
      </c>
      <c r="D978" t="s">
        <v>852</v>
      </c>
    </row>
    <row r="979" spans="1:4" x14ac:dyDescent="0.25">
      <c r="A979" s="143">
        <v>42845</v>
      </c>
      <c r="B979">
        <v>162.30000000000001</v>
      </c>
      <c r="C979">
        <v>6.4873789999999998</v>
      </c>
      <c r="D979" t="s">
        <v>852</v>
      </c>
    </row>
    <row r="980" spans="1:4" x14ac:dyDescent="0.25">
      <c r="A980" s="143">
        <v>42846</v>
      </c>
      <c r="B980">
        <v>160.38</v>
      </c>
      <c r="C980">
        <v>5.6077560000000002</v>
      </c>
      <c r="D980" t="s">
        <v>852</v>
      </c>
    </row>
    <row r="981" spans="1:4" x14ac:dyDescent="0.25">
      <c r="A981" s="143">
        <v>42849</v>
      </c>
      <c r="B981">
        <v>160.75</v>
      </c>
      <c r="C981">
        <v>5.320608</v>
      </c>
      <c r="D981" t="s">
        <v>852</v>
      </c>
    </row>
    <row r="982" spans="1:4" x14ac:dyDescent="0.25">
      <c r="A982" s="143">
        <v>42850</v>
      </c>
      <c r="B982">
        <v>160.38999999999999</v>
      </c>
      <c r="C982">
        <v>4.8604070000000004</v>
      </c>
      <c r="D982" t="s">
        <v>852</v>
      </c>
    </row>
    <row r="983" spans="1:4" x14ac:dyDescent="0.25">
      <c r="A983" s="143">
        <v>42851</v>
      </c>
      <c r="B983">
        <v>160.06</v>
      </c>
      <c r="C983">
        <v>4.3280010000000004</v>
      </c>
      <c r="D983" t="s">
        <v>852</v>
      </c>
    </row>
    <row r="984" spans="1:4" x14ac:dyDescent="0.25">
      <c r="A984" s="143">
        <v>42852</v>
      </c>
      <c r="B984">
        <v>160.32</v>
      </c>
      <c r="C984">
        <v>4.1229430000000002</v>
      </c>
      <c r="D984" t="s">
        <v>852</v>
      </c>
    </row>
    <row r="985" spans="1:4" x14ac:dyDescent="0.25">
      <c r="A985" s="143">
        <v>42853</v>
      </c>
      <c r="B985">
        <v>160.29</v>
      </c>
      <c r="C985">
        <v>4.154147</v>
      </c>
      <c r="D985" t="s">
        <v>852</v>
      </c>
    </row>
    <row r="986" spans="1:4" x14ac:dyDescent="0.25">
      <c r="A986" s="143">
        <v>42856</v>
      </c>
      <c r="B986">
        <v>158.84</v>
      </c>
      <c r="C986">
        <v>4.9353119999999997</v>
      </c>
      <c r="D986" t="s">
        <v>852</v>
      </c>
    </row>
    <row r="987" spans="1:4" x14ac:dyDescent="0.25">
      <c r="A987" s="143">
        <v>42857</v>
      </c>
      <c r="B987">
        <v>159.1</v>
      </c>
      <c r="C987">
        <v>3.2082389999999998</v>
      </c>
      <c r="D987" t="s">
        <v>852</v>
      </c>
    </row>
    <row r="988" spans="1:4" x14ac:dyDescent="0.25">
      <c r="A988" s="143">
        <v>42858</v>
      </c>
      <c r="B988">
        <v>158.63</v>
      </c>
      <c r="C988">
        <v>3.9933960000000002</v>
      </c>
      <c r="D988" t="s">
        <v>852</v>
      </c>
    </row>
    <row r="989" spans="1:4" x14ac:dyDescent="0.25">
      <c r="A989" s="143">
        <v>42859</v>
      </c>
      <c r="B989">
        <v>159.05000000000001</v>
      </c>
      <c r="C989">
        <v>4.2806129999999998</v>
      </c>
      <c r="D989" t="s">
        <v>852</v>
      </c>
    </row>
    <row r="990" spans="1:4" x14ac:dyDescent="0.25">
      <c r="A990" s="143">
        <v>42860</v>
      </c>
      <c r="B990">
        <v>155.05000000000001</v>
      </c>
      <c r="C990">
        <v>12.521335000000001</v>
      </c>
      <c r="D990" t="s">
        <v>852</v>
      </c>
    </row>
    <row r="991" spans="1:4" x14ac:dyDescent="0.25">
      <c r="A991" s="143">
        <v>42863</v>
      </c>
      <c r="B991">
        <v>153.03</v>
      </c>
      <c r="C991">
        <v>7.4919659999999997</v>
      </c>
      <c r="D991" t="s">
        <v>852</v>
      </c>
    </row>
    <row r="992" spans="1:4" x14ac:dyDescent="0.25">
      <c r="A992" s="143">
        <v>42864</v>
      </c>
      <c r="B992">
        <v>152.11000000000001</v>
      </c>
      <c r="C992">
        <v>6.8530430000000004</v>
      </c>
      <c r="D992" t="s">
        <v>852</v>
      </c>
    </row>
    <row r="993" spans="1:4" x14ac:dyDescent="0.25">
      <c r="A993" s="143">
        <v>42865</v>
      </c>
      <c r="B993">
        <v>151.25</v>
      </c>
      <c r="C993">
        <v>4.9998610000000001</v>
      </c>
      <c r="D993" t="s">
        <v>852</v>
      </c>
    </row>
    <row r="994" spans="1:4" x14ac:dyDescent="0.25">
      <c r="A994" s="143">
        <v>42866</v>
      </c>
      <c r="B994">
        <v>150.65</v>
      </c>
      <c r="C994">
        <v>5.6279640000000004</v>
      </c>
      <c r="D994" t="s">
        <v>852</v>
      </c>
    </row>
    <row r="995" spans="1:4" x14ac:dyDescent="0.25">
      <c r="A995" s="143">
        <v>42867</v>
      </c>
      <c r="B995">
        <v>150.37</v>
      </c>
      <c r="C995">
        <v>3.7157019999999998</v>
      </c>
      <c r="D995" t="s">
        <v>852</v>
      </c>
    </row>
    <row r="996" spans="1:4" x14ac:dyDescent="0.25">
      <c r="A996" s="143">
        <v>42870</v>
      </c>
      <c r="B996">
        <v>151.51</v>
      </c>
      <c r="C996">
        <v>4.2454710000000002</v>
      </c>
      <c r="D996" t="s">
        <v>852</v>
      </c>
    </row>
    <row r="997" spans="1:4" x14ac:dyDescent="0.25">
      <c r="A997" s="143">
        <v>42871</v>
      </c>
      <c r="B997">
        <v>153.68</v>
      </c>
      <c r="C997">
        <v>5.5136900000000004</v>
      </c>
      <c r="D997" t="s">
        <v>852</v>
      </c>
    </row>
    <row r="998" spans="1:4" x14ac:dyDescent="0.25">
      <c r="A998" s="143">
        <v>42872</v>
      </c>
      <c r="B998">
        <v>150.93</v>
      </c>
      <c r="C998">
        <v>5.1914939999999996</v>
      </c>
      <c r="D998" t="s">
        <v>852</v>
      </c>
    </row>
    <row r="999" spans="1:4" x14ac:dyDescent="0.25">
      <c r="A999" s="143">
        <v>42873</v>
      </c>
      <c r="B999">
        <v>150.78</v>
      </c>
      <c r="C999">
        <v>3.2743709999999999</v>
      </c>
      <c r="D999" t="s">
        <v>852</v>
      </c>
    </row>
    <row r="1000" spans="1:4" x14ac:dyDescent="0.25">
      <c r="A1000" s="143">
        <v>42874</v>
      </c>
      <c r="B1000">
        <v>151.97999999999999</v>
      </c>
      <c r="C1000">
        <v>5.6432640000000003</v>
      </c>
      <c r="D1000" t="s">
        <v>852</v>
      </c>
    </row>
    <row r="1001" spans="1:4" x14ac:dyDescent="0.25">
      <c r="A1001" s="143">
        <v>42877</v>
      </c>
      <c r="B1001">
        <v>152.63999999999999</v>
      </c>
      <c r="C1001">
        <v>3.3025389999999999</v>
      </c>
      <c r="D1001" t="s">
        <v>852</v>
      </c>
    </row>
    <row r="1002" spans="1:4" x14ac:dyDescent="0.25">
      <c r="A1002" s="143">
        <v>42878</v>
      </c>
      <c r="B1002">
        <v>152.03</v>
      </c>
      <c r="C1002">
        <v>2.5645030000000002</v>
      </c>
      <c r="D1002" t="s">
        <v>852</v>
      </c>
    </row>
    <row r="1003" spans="1:4" x14ac:dyDescent="0.25">
      <c r="A1003" s="143">
        <v>42879</v>
      </c>
      <c r="B1003">
        <v>152.51</v>
      </c>
      <c r="C1003">
        <v>3.732399</v>
      </c>
      <c r="D1003" t="s">
        <v>852</v>
      </c>
    </row>
    <row r="1004" spans="1:4" x14ac:dyDescent="0.25">
      <c r="A1004" s="143">
        <v>42880</v>
      </c>
      <c r="B1004">
        <v>153.19999999999999</v>
      </c>
      <c r="C1004">
        <v>2.5828150000000001</v>
      </c>
      <c r="D1004" t="s">
        <v>852</v>
      </c>
    </row>
    <row r="1005" spans="1:4" x14ac:dyDescent="0.25">
      <c r="A1005" s="143">
        <v>42881</v>
      </c>
      <c r="B1005">
        <v>152.49</v>
      </c>
      <c r="C1005">
        <v>2.4435069999999999</v>
      </c>
      <c r="D1005" t="s">
        <v>852</v>
      </c>
    </row>
    <row r="1006" spans="1:4" x14ac:dyDescent="0.25">
      <c r="A1006" s="143">
        <v>42885</v>
      </c>
      <c r="B1006">
        <v>151.72999999999999</v>
      </c>
      <c r="C1006">
        <v>3.666032</v>
      </c>
      <c r="D1006" t="s">
        <v>852</v>
      </c>
    </row>
    <row r="1007" spans="1:4" x14ac:dyDescent="0.25">
      <c r="A1007" s="143">
        <v>42886</v>
      </c>
      <c r="B1007">
        <v>152.63</v>
      </c>
      <c r="C1007">
        <v>3.5434040000000002</v>
      </c>
      <c r="D1007" t="s">
        <v>852</v>
      </c>
    </row>
    <row r="1008" spans="1:4" x14ac:dyDescent="0.25">
      <c r="A1008" s="143">
        <v>42887</v>
      </c>
      <c r="B1008">
        <v>152.66999999999999</v>
      </c>
      <c r="C1008">
        <v>2.918126</v>
      </c>
      <c r="D1008" t="s">
        <v>852</v>
      </c>
    </row>
    <row r="1009" spans="1:4" x14ac:dyDescent="0.25">
      <c r="A1009" s="143">
        <v>42888</v>
      </c>
      <c r="B1009">
        <v>152.05000000000001</v>
      </c>
      <c r="C1009">
        <v>3.5857009999999998</v>
      </c>
      <c r="D1009" t="s">
        <v>852</v>
      </c>
    </row>
    <row r="1010" spans="1:4" x14ac:dyDescent="0.25">
      <c r="A1010" s="143">
        <v>42891</v>
      </c>
      <c r="B1010">
        <v>152.41</v>
      </c>
      <c r="C1010">
        <v>3.9752679999999998</v>
      </c>
      <c r="D1010" t="s">
        <v>852</v>
      </c>
    </row>
    <row r="1011" spans="1:4" x14ac:dyDescent="0.25">
      <c r="A1011" s="143">
        <v>42892</v>
      </c>
      <c r="B1011">
        <v>152.37</v>
      </c>
      <c r="C1011">
        <v>3.7971729999999999</v>
      </c>
      <c r="D1011" t="s">
        <v>852</v>
      </c>
    </row>
    <row r="1012" spans="1:4" x14ac:dyDescent="0.25">
      <c r="A1012" s="143">
        <v>42893</v>
      </c>
      <c r="B1012">
        <v>150.97999999999999</v>
      </c>
      <c r="C1012">
        <v>4.8657120000000003</v>
      </c>
      <c r="D1012" t="s">
        <v>852</v>
      </c>
    </row>
    <row r="1013" spans="1:4" x14ac:dyDescent="0.25">
      <c r="A1013" s="143">
        <v>42894</v>
      </c>
      <c r="B1013">
        <v>152.1</v>
      </c>
      <c r="C1013">
        <v>3.7089620000000001</v>
      </c>
      <c r="D1013" t="s">
        <v>852</v>
      </c>
    </row>
    <row r="1014" spans="1:4" x14ac:dyDescent="0.25">
      <c r="A1014" s="143">
        <v>42895</v>
      </c>
      <c r="B1014">
        <v>154.1</v>
      </c>
      <c r="C1014">
        <v>4.3614600000000001</v>
      </c>
      <c r="D1014" t="s">
        <v>852</v>
      </c>
    </row>
    <row r="1015" spans="1:4" x14ac:dyDescent="0.25">
      <c r="A1015" s="143">
        <v>42898</v>
      </c>
      <c r="B1015">
        <v>155.18</v>
      </c>
      <c r="C1015">
        <v>6.4714790000000004</v>
      </c>
      <c r="D1015" t="s">
        <v>852</v>
      </c>
    </row>
    <row r="1016" spans="1:4" x14ac:dyDescent="0.25">
      <c r="A1016" s="143">
        <v>42899</v>
      </c>
      <c r="B1016">
        <v>154.25</v>
      </c>
      <c r="C1016">
        <v>3.5235289999999999</v>
      </c>
      <c r="D1016" t="s">
        <v>852</v>
      </c>
    </row>
    <row r="1017" spans="1:4" x14ac:dyDescent="0.25">
      <c r="A1017" s="143">
        <v>42900</v>
      </c>
      <c r="B1017">
        <v>153.81</v>
      </c>
      <c r="C1017">
        <v>3.0497260000000002</v>
      </c>
      <c r="D1017" t="s">
        <v>852</v>
      </c>
    </row>
    <row r="1018" spans="1:4" x14ac:dyDescent="0.25">
      <c r="A1018" s="143">
        <v>42901</v>
      </c>
      <c r="B1018">
        <v>154.22</v>
      </c>
      <c r="C1018">
        <v>4.6542969999999997</v>
      </c>
      <c r="D1018" t="s">
        <v>852</v>
      </c>
    </row>
    <row r="1019" spans="1:4" x14ac:dyDescent="0.25">
      <c r="A1019" s="143">
        <v>42902</v>
      </c>
      <c r="B1019">
        <v>155.38</v>
      </c>
      <c r="C1019">
        <v>6.7419630000000002</v>
      </c>
      <c r="D1019" t="s">
        <v>852</v>
      </c>
    </row>
    <row r="1020" spans="1:4" x14ac:dyDescent="0.25">
      <c r="A1020" s="143">
        <v>42905</v>
      </c>
      <c r="B1020">
        <v>154.84</v>
      </c>
      <c r="C1020">
        <v>4.6295919999999997</v>
      </c>
      <c r="D1020" t="s">
        <v>852</v>
      </c>
    </row>
    <row r="1021" spans="1:4" x14ac:dyDescent="0.25">
      <c r="A1021" s="143">
        <v>42906</v>
      </c>
      <c r="B1021">
        <v>154.94999999999999</v>
      </c>
      <c r="C1021">
        <v>4.4818429999999996</v>
      </c>
      <c r="D1021" t="s">
        <v>852</v>
      </c>
    </row>
    <row r="1022" spans="1:4" x14ac:dyDescent="0.25">
      <c r="A1022" s="143">
        <v>42907</v>
      </c>
      <c r="B1022">
        <v>153.79</v>
      </c>
      <c r="C1022">
        <v>3.9596680000000002</v>
      </c>
      <c r="D1022" t="s">
        <v>852</v>
      </c>
    </row>
    <row r="1023" spans="1:4" x14ac:dyDescent="0.25">
      <c r="A1023" s="143">
        <v>42908</v>
      </c>
      <c r="B1023">
        <v>154.4</v>
      </c>
      <c r="C1023">
        <v>2.3768189999999998</v>
      </c>
      <c r="D1023" t="s">
        <v>852</v>
      </c>
    </row>
    <row r="1024" spans="1:4" x14ac:dyDescent="0.25">
      <c r="A1024" s="143">
        <v>42909</v>
      </c>
      <c r="B1024">
        <v>154.11000000000001</v>
      </c>
      <c r="C1024">
        <v>3.2822049999999998</v>
      </c>
      <c r="D1024" t="s">
        <v>852</v>
      </c>
    </row>
    <row r="1025" spans="1:4" x14ac:dyDescent="0.25">
      <c r="A1025" s="143">
        <v>42912</v>
      </c>
      <c r="B1025">
        <v>155.22999999999999</v>
      </c>
      <c r="C1025">
        <v>2.1534939999999998</v>
      </c>
      <c r="D1025" t="s">
        <v>852</v>
      </c>
    </row>
    <row r="1026" spans="1:4" x14ac:dyDescent="0.25">
      <c r="A1026" s="143">
        <v>42913</v>
      </c>
      <c r="B1026">
        <v>154.75</v>
      </c>
      <c r="C1026">
        <v>2.3864909999999999</v>
      </c>
      <c r="D1026" t="s">
        <v>852</v>
      </c>
    </row>
    <row r="1027" spans="1:4" x14ac:dyDescent="0.25">
      <c r="A1027" s="143">
        <v>42914</v>
      </c>
      <c r="B1027">
        <v>155.32</v>
      </c>
      <c r="C1027">
        <v>2.2209539999999999</v>
      </c>
      <c r="D1027" t="s">
        <v>852</v>
      </c>
    </row>
    <row r="1028" spans="1:4" x14ac:dyDescent="0.25">
      <c r="A1028" s="143">
        <v>42915</v>
      </c>
      <c r="B1028">
        <v>154.13</v>
      </c>
      <c r="C1028">
        <v>3.262159</v>
      </c>
      <c r="D1028" t="s">
        <v>852</v>
      </c>
    </row>
    <row r="1029" spans="1:4" x14ac:dyDescent="0.25">
      <c r="A1029" s="143">
        <v>42916</v>
      </c>
      <c r="B1029">
        <v>153.83000000000001</v>
      </c>
      <c r="C1029">
        <v>3.571536</v>
      </c>
      <c r="D1029" t="s">
        <v>852</v>
      </c>
    </row>
    <row r="1030" spans="1:4" x14ac:dyDescent="0.25">
      <c r="A1030" s="143">
        <v>42919</v>
      </c>
      <c r="B1030">
        <v>155.58000000000001</v>
      </c>
      <c r="C1030">
        <v>2.822651</v>
      </c>
      <c r="D1030" t="s">
        <v>852</v>
      </c>
    </row>
    <row r="1031" spans="1:4" x14ac:dyDescent="0.25">
      <c r="A1031" s="143">
        <v>42921</v>
      </c>
      <c r="B1031">
        <v>153.66999999999999</v>
      </c>
      <c r="C1031">
        <v>3.5643539999999998</v>
      </c>
      <c r="D1031" t="s">
        <v>852</v>
      </c>
    </row>
    <row r="1032" spans="1:4" x14ac:dyDescent="0.25">
      <c r="A1032" s="143">
        <v>42922</v>
      </c>
      <c r="B1032">
        <v>152.36000000000001</v>
      </c>
      <c r="C1032">
        <v>2.7575219999999998</v>
      </c>
      <c r="D1032" t="s">
        <v>852</v>
      </c>
    </row>
    <row r="1033" spans="1:4" x14ac:dyDescent="0.25">
      <c r="A1033" s="143">
        <v>42923</v>
      </c>
      <c r="B1033">
        <v>152.94</v>
      </c>
      <c r="C1033">
        <v>2.4600599999999999</v>
      </c>
      <c r="D1033" t="s">
        <v>852</v>
      </c>
    </row>
    <row r="1034" spans="1:4" x14ac:dyDescent="0.25">
      <c r="A1034" s="143">
        <v>42926</v>
      </c>
      <c r="B1034">
        <v>153.41999999999999</v>
      </c>
      <c r="C1034">
        <v>3.2062089999999999</v>
      </c>
      <c r="D1034" t="s">
        <v>852</v>
      </c>
    </row>
    <row r="1035" spans="1:4" x14ac:dyDescent="0.25">
      <c r="A1035" s="143">
        <v>42927</v>
      </c>
      <c r="B1035">
        <v>153.19</v>
      </c>
      <c r="C1035">
        <v>3.4475090000000002</v>
      </c>
      <c r="D1035" t="s">
        <v>852</v>
      </c>
    </row>
    <row r="1036" spans="1:4" x14ac:dyDescent="0.25">
      <c r="A1036" s="143">
        <v>42928</v>
      </c>
      <c r="B1036">
        <v>153.69999999999999</v>
      </c>
      <c r="C1036">
        <v>3.0978500000000002</v>
      </c>
      <c r="D1036" t="s">
        <v>852</v>
      </c>
    </row>
    <row r="1037" spans="1:4" x14ac:dyDescent="0.25">
      <c r="A1037" s="143">
        <v>42929</v>
      </c>
      <c r="B1037">
        <v>153.63</v>
      </c>
      <c r="C1037">
        <v>2.4761120000000001</v>
      </c>
      <c r="D1037" t="s">
        <v>852</v>
      </c>
    </row>
    <row r="1038" spans="1:4" x14ac:dyDescent="0.25">
      <c r="A1038" s="143">
        <v>42930</v>
      </c>
      <c r="B1038">
        <v>154.24</v>
      </c>
      <c r="C1038">
        <v>3.2563719999999998</v>
      </c>
      <c r="D1038" t="s">
        <v>852</v>
      </c>
    </row>
    <row r="1039" spans="1:4" x14ac:dyDescent="0.25">
      <c r="A1039" s="143">
        <v>42933</v>
      </c>
      <c r="B1039">
        <v>153.01</v>
      </c>
      <c r="C1039">
        <v>4.7625919999999997</v>
      </c>
      <c r="D1039" t="s">
        <v>852</v>
      </c>
    </row>
    <row r="1040" spans="1:4" x14ac:dyDescent="0.25">
      <c r="A1040" s="143">
        <v>42934</v>
      </c>
      <c r="B1040">
        <v>154</v>
      </c>
      <c r="C1040">
        <v>7.5668179999999996</v>
      </c>
      <c r="D1040" t="s">
        <v>852</v>
      </c>
    </row>
    <row r="1041" spans="1:4" x14ac:dyDescent="0.25">
      <c r="A1041" s="143">
        <v>42935</v>
      </c>
      <c r="B1041">
        <v>147.53</v>
      </c>
      <c r="C1041">
        <v>14.293609999999999</v>
      </c>
      <c r="D1041" t="s">
        <v>852</v>
      </c>
    </row>
    <row r="1042" spans="1:4" x14ac:dyDescent="0.25">
      <c r="A1042" s="143">
        <v>42936</v>
      </c>
      <c r="B1042">
        <v>147.66</v>
      </c>
      <c r="C1042">
        <v>7.2122330000000003</v>
      </c>
      <c r="D1042" t="s">
        <v>852</v>
      </c>
    </row>
    <row r="1043" spans="1:4" x14ac:dyDescent="0.25">
      <c r="A1043" s="143">
        <v>42937</v>
      </c>
      <c r="B1043">
        <v>147.08000000000001</v>
      </c>
      <c r="C1043">
        <v>6.5094589999999997</v>
      </c>
      <c r="D1043" t="s">
        <v>852</v>
      </c>
    </row>
    <row r="1044" spans="1:4" x14ac:dyDescent="0.25">
      <c r="A1044" s="143">
        <v>42940</v>
      </c>
      <c r="B1044">
        <v>145.99</v>
      </c>
      <c r="C1044">
        <v>3.8775930000000001</v>
      </c>
      <c r="D1044" t="s">
        <v>852</v>
      </c>
    </row>
    <row r="1045" spans="1:4" x14ac:dyDescent="0.25">
      <c r="A1045" s="143">
        <v>42941</v>
      </c>
      <c r="B1045">
        <v>146.19</v>
      </c>
      <c r="C1045">
        <v>4.2088950000000001</v>
      </c>
      <c r="D1045" t="s">
        <v>852</v>
      </c>
    </row>
    <row r="1046" spans="1:4" x14ac:dyDescent="0.25">
      <c r="A1046" s="143">
        <v>42942</v>
      </c>
      <c r="B1046">
        <v>145.36000000000001</v>
      </c>
      <c r="C1046">
        <v>3.9323610000000002</v>
      </c>
      <c r="D1046" t="s">
        <v>852</v>
      </c>
    </row>
    <row r="1047" spans="1:4" x14ac:dyDescent="0.25">
      <c r="A1047" s="143">
        <v>42943</v>
      </c>
      <c r="B1047">
        <v>145.07</v>
      </c>
      <c r="C1047">
        <v>6.430841</v>
      </c>
      <c r="D1047" t="s">
        <v>852</v>
      </c>
    </row>
    <row r="1048" spans="1:4" x14ac:dyDescent="0.25">
      <c r="A1048" s="143">
        <v>42944</v>
      </c>
      <c r="B1048">
        <v>144.29</v>
      </c>
      <c r="C1048">
        <v>3.054834</v>
      </c>
      <c r="D1048" t="s">
        <v>852</v>
      </c>
    </row>
    <row r="1049" spans="1:4" x14ac:dyDescent="0.25">
      <c r="A1049" s="143">
        <v>42947</v>
      </c>
      <c r="B1049">
        <v>144.66999999999999</v>
      </c>
      <c r="C1049">
        <v>4.3557180000000004</v>
      </c>
      <c r="D1049" t="s">
        <v>852</v>
      </c>
    </row>
    <row r="1050" spans="1:4" x14ac:dyDescent="0.25">
      <c r="A1050" s="143">
        <v>42948</v>
      </c>
      <c r="B1050">
        <v>145.30000000000001</v>
      </c>
      <c r="C1050">
        <v>3.2194769999999999</v>
      </c>
      <c r="D1050" t="s">
        <v>852</v>
      </c>
    </row>
    <row r="1051" spans="1:4" x14ac:dyDescent="0.25">
      <c r="A1051" s="143">
        <v>42949</v>
      </c>
      <c r="B1051">
        <v>144.44999999999999</v>
      </c>
      <c r="C1051">
        <v>3.5409489999999999</v>
      </c>
      <c r="D1051" t="s">
        <v>852</v>
      </c>
    </row>
    <row r="1052" spans="1:4" x14ac:dyDescent="0.25">
      <c r="A1052" s="143">
        <v>42950</v>
      </c>
      <c r="B1052">
        <v>144.94</v>
      </c>
      <c r="C1052">
        <v>3.035393</v>
      </c>
      <c r="D1052" t="s">
        <v>852</v>
      </c>
    </row>
    <row r="1053" spans="1:4" x14ac:dyDescent="0.25">
      <c r="A1053" s="143">
        <v>42951</v>
      </c>
      <c r="B1053">
        <v>145.16</v>
      </c>
      <c r="C1053">
        <v>2.5493999999999999</v>
      </c>
      <c r="D1053" t="s">
        <v>852</v>
      </c>
    </row>
    <row r="1054" spans="1:4" x14ac:dyDescent="0.25">
      <c r="A1054" s="143">
        <v>42954</v>
      </c>
      <c r="B1054">
        <v>143.47</v>
      </c>
      <c r="C1054">
        <v>4.6182840000000001</v>
      </c>
      <c r="D1054" t="s">
        <v>852</v>
      </c>
    </row>
    <row r="1055" spans="1:4" x14ac:dyDescent="0.25">
      <c r="A1055" s="143">
        <v>42955</v>
      </c>
      <c r="B1055">
        <v>142.11000000000001</v>
      </c>
      <c r="C1055">
        <v>3.298718</v>
      </c>
      <c r="D1055" t="s">
        <v>852</v>
      </c>
    </row>
    <row r="1056" spans="1:4" x14ac:dyDescent="0.25">
      <c r="A1056" s="143">
        <v>42956</v>
      </c>
      <c r="B1056">
        <v>141.77000000000001</v>
      </c>
      <c r="C1056">
        <v>2.92577</v>
      </c>
      <c r="D1056" t="s">
        <v>852</v>
      </c>
    </row>
    <row r="1057" spans="1:4" x14ac:dyDescent="0.25">
      <c r="A1057" s="143">
        <v>42957</v>
      </c>
      <c r="B1057">
        <v>141.84</v>
      </c>
      <c r="C1057">
        <v>4.5253779999999999</v>
      </c>
      <c r="D1057" t="s">
        <v>852</v>
      </c>
    </row>
    <row r="1058" spans="1:4" x14ac:dyDescent="0.25">
      <c r="A1058" s="143">
        <v>42958</v>
      </c>
      <c r="B1058">
        <v>141.84</v>
      </c>
      <c r="C1058">
        <v>3.0043600000000001</v>
      </c>
      <c r="D1058" t="s">
        <v>852</v>
      </c>
    </row>
    <row r="1059" spans="1:4" x14ac:dyDescent="0.25">
      <c r="A1059" s="143">
        <v>42961</v>
      </c>
      <c r="B1059">
        <v>142.32</v>
      </c>
      <c r="C1059">
        <v>2.2486069999999998</v>
      </c>
      <c r="D1059" t="s">
        <v>852</v>
      </c>
    </row>
    <row r="1060" spans="1:4" x14ac:dyDescent="0.25">
      <c r="A1060" s="143">
        <v>42962</v>
      </c>
      <c r="B1060">
        <v>142.07</v>
      </c>
      <c r="C1060">
        <v>4.6815449999999998</v>
      </c>
      <c r="D1060" t="s">
        <v>852</v>
      </c>
    </row>
    <row r="1061" spans="1:4" x14ac:dyDescent="0.25">
      <c r="A1061" s="143">
        <v>42963</v>
      </c>
      <c r="B1061">
        <v>142.5</v>
      </c>
      <c r="C1061">
        <v>3.2878210000000001</v>
      </c>
      <c r="D1061" t="s">
        <v>852</v>
      </c>
    </row>
    <row r="1062" spans="1:4" x14ac:dyDescent="0.25">
      <c r="A1062" s="143">
        <v>42964</v>
      </c>
      <c r="B1062">
        <v>140.69999999999999</v>
      </c>
      <c r="C1062">
        <v>4.4220870000000003</v>
      </c>
      <c r="D1062" t="s">
        <v>852</v>
      </c>
    </row>
    <row r="1063" spans="1:4" x14ac:dyDescent="0.25">
      <c r="A1063" s="143">
        <v>42965</v>
      </c>
      <c r="B1063">
        <v>139.69999999999999</v>
      </c>
      <c r="C1063">
        <v>4.1527139999999996</v>
      </c>
      <c r="D1063" t="s">
        <v>852</v>
      </c>
    </row>
    <row r="1064" spans="1:4" x14ac:dyDescent="0.25">
      <c r="A1064" s="143">
        <v>42968</v>
      </c>
      <c r="B1064">
        <v>140.33000000000001</v>
      </c>
      <c r="C1064">
        <v>3.1906910000000002</v>
      </c>
      <c r="D1064" t="s">
        <v>852</v>
      </c>
    </row>
    <row r="1065" spans="1:4" x14ac:dyDescent="0.25">
      <c r="A1065" s="143">
        <v>42969</v>
      </c>
      <c r="B1065">
        <v>141.01</v>
      </c>
      <c r="C1065">
        <v>2.5444460000000002</v>
      </c>
      <c r="D1065" t="s">
        <v>852</v>
      </c>
    </row>
    <row r="1066" spans="1:4" x14ac:dyDescent="0.25">
      <c r="A1066" s="143">
        <v>42970</v>
      </c>
      <c r="B1066">
        <v>142.13999999999999</v>
      </c>
      <c r="C1066">
        <v>4.0483169999999999</v>
      </c>
      <c r="D1066" t="s">
        <v>852</v>
      </c>
    </row>
    <row r="1067" spans="1:4" x14ac:dyDescent="0.25">
      <c r="A1067" s="143">
        <v>42971</v>
      </c>
      <c r="B1067">
        <v>142.94</v>
      </c>
      <c r="C1067">
        <v>3.5921829999999999</v>
      </c>
      <c r="D1067" t="s">
        <v>852</v>
      </c>
    </row>
    <row r="1068" spans="1:4" x14ac:dyDescent="0.25">
      <c r="A1068" s="143">
        <v>42972</v>
      </c>
      <c r="B1068">
        <v>143.74</v>
      </c>
      <c r="C1068">
        <v>2.8728929999999999</v>
      </c>
      <c r="D1068" t="s">
        <v>852</v>
      </c>
    </row>
    <row r="1069" spans="1:4" x14ac:dyDescent="0.25">
      <c r="A1069" s="143">
        <v>42975</v>
      </c>
      <c r="B1069">
        <v>142.51</v>
      </c>
      <c r="C1069">
        <v>5.1344630000000002</v>
      </c>
      <c r="D1069" t="s">
        <v>852</v>
      </c>
    </row>
    <row r="1070" spans="1:4" x14ac:dyDescent="0.25">
      <c r="A1070" s="143">
        <v>42976</v>
      </c>
      <c r="B1070">
        <v>143.13999999999999</v>
      </c>
      <c r="C1070">
        <v>3.0095200000000002</v>
      </c>
      <c r="D1070" t="s">
        <v>852</v>
      </c>
    </row>
    <row r="1071" spans="1:4" x14ac:dyDescent="0.25">
      <c r="A1071" s="143">
        <v>42977</v>
      </c>
      <c r="B1071">
        <v>142.56</v>
      </c>
      <c r="C1071">
        <v>2.7359659999999999</v>
      </c>
      <c r="D1071" t="s">
        <v>852</v>
      </c>
    </row>
    <row r="1072" spans="1:4" x14ac:dyDescent="0.25">
      <c r="A1072" s="143">
        <v>42978</v>
      </c>
      <c r="B1072">
        <v>143.03</v>
      </c>
      <c r="C1072">
        <v>3.656428</v>
      </c>
      <c r="D1072" t="s">
        <v>852</v>
      </c>
    </row>
    <row r="1073" spans="1:4" x14ac:dyDescent="0.25">
      <c r="A1073" s="143">
        <v>42979</v>
      </c>
      <c r="B1073">
        <v>144.08000000000001</v>
      </c>
      <c r="C1073">
        <v>3.3517329999999999</v>
      </c>
      <c r="D1073" t="s">
        <v>852</v>
      </c>
    </row>
    <row r="1074" spans="1:4" x14ac:dyDescent="0.25">
      <c r="A1074" s="143">
        <v>42983</v>
      </c>
      <c r="B1074">
        <v>143.04</v>
      </c>
      <c r="C1074">
        <v>3.098735</v>
      </c>
      <c r="D1074" t="s">
        <v>852</v>
      </c>
    </row>
    <row r="1075" spans="1:4" x14ac:dyDescent="0.25">
      <c r="A1075" s="143">
        <v>42984</v>
      </c>
      <c r="B1075">
        <v>143.82</v>
      </c>
      <c r="C1075">
        <v>3.2733439999999998</v>
      </c>
      <c r="D1075" t="s">
        <v>852</v>
      </c>
    </row>
    <row r="1076" spans="1:4" x14ac:dyDescent="0.25">
      <c r="A1076" s="143">
        <v>42985</v>
      </c>
      <c r="B1076">
        <v>142.9</v>
      </c>
      <c r="C1076">
        <v>4.1881579999999996</v>
      </c>
      <c r="D1076" t="s">
        <v>852</v>
      </c>
    </row>
    <row r="1077" spans="1:4" x14ac:dyDescent="0.25">
      <c r="A1077" s="143">
        <v>42986</v>
      </c>
      <c r="B1077">
        <v>142.44999999999999</v>
      </c>
      <c r="C1077">
        <v>3.3661690000000002</v>
      </c>
      <c r="D1077" t="s">
        <v>852</v>
      </c>
    </row>
    <row r="1078" spans="1:4" x14ac:dyDescent="0.25">
      <c r="A1078" s="143">
        <v>42989</v>
      </c>
      <c r="B1078">
        <v>144.86000000000001</v>
      </c>
      <c r="C1078">
        <v>4.6133810000000004</v>
      </c>
      <c r="D1078" t="s">
        <v>852</v>
      </c>
    </row>
    <row r="1079" spans="1:4" x14ac:dyDescent="0.25">
      <c r="A1079" s="143">
        <v>42990</v>
      </c>
      <c r="B1079">
        <v>145.76</v>
      </c>
      <c r="C1079">
        <v>5.2381479999999998</v>
      </c>
      <c r="D1079" t="s">
        <v>852</v>
      </c>
    </row>
    <row r="1080" spans="1:4" x14ac:dyDescent="0.25">
      <c r="A1080" s="143">
        <v>42991</v>
      </c>
      <c r="B1080">
        <v>145.99</v>
      </c>
      <c r="C1080">
        <v>4.1009799999999998</v>
      </c>
      <c r="D1080" t="s">
        <v>852</v>
      </c>
    </row>
    <row r="1081" spans="1:4" x14ac:dyDescent="0.25">
      <c r="A1081" s="143">
        <v>42992</v>
      </c>
      <c r="B1081">
        <v>145.54</v>
      </c>
      <c r="C1081">
        <v>3.7568609999999998</v>
      </c>
      <c r="D1081" t="s">
        <v>852</v>
      </c>
    </row>
    <row r="1082" spans="1:4" x14ac:dyDescent="0.25">
      <c r="A1082" s="143">
        <v>42993</v>
      </c>
      <c r="B1082">
        <v>144.82</v>
      </c>
      <c r="C1082">
        <v>7.3972329999999999</v>
      </c>
      <c r="D1082" t="s">
        <v>852</v>
      </c>
    </row>
    <row r="1083" spans="1:4" x14ac:dyDescent="0.25">
      <c r="A1083" s="143">
        <v>42996</v>
      </c>
      <c r="B1083">
        <v>144.55000000000001</v>
      </c>
      <c r="C1083">
        <v>3.019514</v>
      </c>
      <c r="D1083" t="s">
        <v>852</v>
      </c>
    </row>
    <row r="1084" spans="1:4" x14ac:dyDescent="0.25">
      <c r="A1084" s="143">
        <v>42997</v>
      </c>
      <c r="B1084">
        <v>144.38999999999999</v>
      </c>
      <c r="C1084">
        <v>3.4643830000000002</v>
      </c>
      <c r="D1084" t="s">
        <v>852</v>
      </c>
    </row>
    <row r="1085" spans="1:4" x14ac:dyDescent="0.25">
      <c r="A1085" s="143">
        <v>42998</v>
      </c>
      <c r="B1085">
        <v>145.88</v>
      </c>
      <c r="C1085">
        <v>5.4475189999999998</v>
      </c>
      <c r="D1085" t="s">
        <v>852</v>
      </c>
    </row>
    <row r="1086" spans="1:4" x14ac:dyDescent="0.25">
      <c r="A1086" s="143">
        <v>42999</v>
      </c>
      <c r="B1086">
        <v>145.26</v>
      </c>
      <c r="C1086">
        <v>2.555596</v>
      </c>
      <c r="D1086" t="s">
        <v>852</v>
      </c>
    </row>
    <row r="1087" spans="1:4" x14ac:dyDescent="0.25">
      <c r="A1087" s="143">
        <v>43000</v>
      </c>
      <c r="B1087">
        <v>145.13</v>
      </c>
      <c r="C1087">
        <v>2.7923230000000001</v>
      </c>
      <c r="D1087" t="s">
        <v>852</v>
      </c>
    </row>
    <row r="1088" spans="1:4" x14ac:dyDescent="0.25">
      <c r="A1088" s="143">
        <v>43003</v>
      </c>
      <c r="B1088">
        <v>145.87</v>
      </c>
      <c r="C1088">
        <v>5.2131439999999998</v>
      </c>
      <c r="D1088" t="s">
        <v>852</v>
      </c>
    </row>
    <row r="1089" spans="1:4" x14ac:dyDescent="0.25">
      <c r="A1089" s="143">
        <v>43004</v>
      </c>
      <c r="B1089">
        <v>146.56</v>
      </c>
      <c r="C1089">
        <v>4.4886200000000001</v>
      </c>
      <c r="D1089" t="s">
        <v>852</v>
      </c>
    </row>
    <row r="1090" spans="1:4" x14ac:dyDescent="0.25">
      <c r="A1090" s="143">
        <v>43005</v>
      </c>
      <c r="B1090">
        <v>145.66</v>
      </c>
      <c r="C1090">
        <v>3.5027360000000001</v>
      </c>
      <c r="D1090" t="s">
        <v>852</v>
      </c>
    </row>
    <row r="1091" spans="1:4" x14ac:dyDescent="0.25">
      <c r="A1091" s="143">
        <v>43006</v>
      </c>
      <c r="B1091">
        <v>145.66</v>
      </c>
      <c r="C1091">
        <v>2.774788</v>
      </c>
      <c r="D1091" t="s">
        <v>852</v>
      </c>
    </row>
    <row r="1092" spans="1:4" x14ac:dyDescent="0.25">
      <c r="A1092" s="143">
        <v>43007</v>
      </c>
      <c r="B1092">
        <v>145.08000000000001</v>
      </c>
      <c r="C1092">
        <v>2.654731</v>
      </c>
      <c r="D1092" t="s">
        <v>852</v>
      </c>
    </row>
    <row r="1093" spans="1:4" x14ac:dyDescent="0.25">
      <c r="A1093" s="143">
        <v>43010</v>
      </c>
      <c r="B1093">
        <v>146.66</v>
      </c>
      <c r="C1093">
        <v>2.9732240000000001</v>
      </c>
      <c r="D1093" t="s">
        <v>852</v>
      </c>
    </row>
    <row r="1094" spans="1:4" x14ac:dyDescent="0.25">
      <c r="A1094" s="143">
        <v>43011</v>
      </c>
      <c r="B1094">
        <v>146.78</v>
      </c>
      <c r="C1094">
        <v>2.302724</v>
      </c>
      <c r="D1094" t="s">
        <v>852</v>
      </c>
    </row>
    <row r="1095" spans="1:4" x14ac:dyDescent="0.25">
      <c r="A1095" s="143">
        <v>43012</v>
      </c>
      <c r="B1095">
        <v>146.47999999999999</v>
      </c>
      <c r="C1095">
        <v>2.2444329999999999</v>
      </c>
      <c r="D1095" t="s">
        <v>852</v>
      </c>
    </row>
    <row r="1096" spans="1:4" x14ac:dyDescent="0.25">
      <c r="A1096" s="143">
        <v>43013</v>
      </c>
      <c r="B1096">
        <v>146.72</v>
      </c>
      <c r="C1096">
        <v>2.6865389999999998</v>
      </c>
      <c r="D1096" t="s">
        <v>852</v>
      </c>
    </row>
    <row r="1097" spans="1:4" x14ac:dyDescent="0.25">
      <c r="A1097" s="143">
        <v>43014</v>
      </c>
      <c r="B1097">
        <v>146.47999999999999</v>
      </c>
      <c r="C1097">
        <v>2.6231840000000002</v>
      </c>
      <c r="D1097" t="s">
        <v>852</v>
      </c>
    </row>
    <row r="1098" spans="1:4" x14ac:dyDescent="0.25">
      <c r="A1098" s="143">
        <v>43017</v>
      </c>
      <c r="B1098">
        <v>147.38999999999999</v>
      </c>
      <c r="C1098">
        <v>2.6825559999999999</v>
      </c>
      <c r="D1098" t="s">
        <v>852</v>
      </c>
    </row>
    <row r="1099" spans="1:4" x14ac:dyDescent="0.25">
      <c r="A1099" s="143">
        <v>43018</v>
      </c>
      <c r="B1099">
        <v>148.5</v>
      </c>
      <c r="C1099">
        <v>4.0326009999999997</v>
      </c>
      <c r="D1099" t="s">
        <v>852</v>
      </c>
    </row>
    <row r="1100" spans="1:4" x14ac:dyDescent="0.25">
      <c r="A1100" s="143">
        <v>43019</v>
      </c>
      <c r="B1100">
        <v>147.62</v>
      </c>
      <c r="C1100">
        <v>3.7022379999999999</v>
      </c>
      <c r="D1100" t="s">
        <v>852</v>
      </c>
    </row>
    <row r="1101" spans="1:4" x14ac:dyDescent="0.25">
      <c r="A1101" s="143">
        <v>43020</v>
      </c>
      <c r="B1101">
        <v>147.03</v>
      </c>
      <c r="C1101">
        <v>3.2643439999999999</v>
      </c>
      <c r="D1101" t="s">
        <v>852</v>
      </c>
    </row>
    <row r="1102" spans="1:4" x14ac:dyDescent="0.25">
      <c r="A1102" s="143">
        <v>43021</v>
      </c>
      <c r="B1102">
        <v>147.1</v>
      </c>
      <c r="C1102">
        <v>2.5065840000000001</v>
      </c>
      <c r="D1102" t="s">
        <v>852</v>
      </c>
    </row>
    <row r="1103" spans="1:4" x14ac:dyDescent="0.25">
      <c r="A1103" s="143">
        <v>43024</v>
      </c>
      <c r="B1103">
        <v>146.83000000000001</v>
      </c>
      <c r="C1103">
        <v>3.0520909999999999</v>
      </c>
      <c r="D1103" t="s">
        <v>852</v>
      </c>
    </row>
    <row r="1104" spans="1:4" x14ac:dyDescent="0.25">
      <c r="A1104" s="143">
        <v>43025</v>
      </c>
      <c r="B1104">
        <v>146.54</v>
      </c>
      <c r="C1104">
        <v>6.3723929999999998</v>
      </c>
      <c r="D1104" t="s">
        <v>852</v>
      </c>
    </row>
    <row r="1105" spans="1:4" x14ac:dyDescent="0.25">
      <c r="A1105" s="143">
        <v>43026</v>
      </c>
      <c r="B1105">
        <v>159.53</v>
      </c>
      <c r="C1105">
        <v>30.490192</v>
      </c>
      <c r="D1105" t="s">
        <v>852</v>
      </c>
    </row>
    <row r="1106" spans="1:4" x14ac:dyDescent="0.25">
      <c r="A1106" s="143">
        <v>43027</v>
      </c>
      <c r="B1106">
        <v>160.9</v>
      </c>
      <c r="C1106">
        <v>9.9141689999999993</v>
      </c>
      <c r="D1106" t="s">
        <v>852</v>
      </c>
    </row>
    <row r="1107" spans="1:4" x14ac:dyDescent="0.25">
      <c r="A1107" s="143">
        <v>43028</v>
      </c>
      <c r="B1107">
        <v>162.07</v>
      </c>
      <c r="C1107">
        <v>7.8688029999999998</v>
      </c>
      <c r="D1107" t="s">
        <v>852</v>
      </c>
    </row>
    <row r="1108" spans="1:4" x14ac:dyDescent="0.25">
      <c r="A1108" s="143">
        <v>43031</v>
      </c>
      <c r="B1108">
        <v>159.55000000000001</v>
      </c>
      <c r="C1108">
        <v>5.7793780000000003</v>
      </c>
      <c r="D1108" t="s">
        <v>852</v>
      </c>
    </row>
    <row r="1109" spans="1:4" x14ac:dyDescent="0.25">
      <c r="A1109" s="143">
        <v>43032</v>
      </c>
      <c r="B1109">
        <v>155.88</v>
      </c>
      <c r="C1109">
        <v>8.1946899999999996</v>
      </c>
      <c r="D1109" t="s">
        <v>852</v>
      </c>
    </row>
    <row r="1110" spans="1:4" x14ac:dyDescent="0.25">
      <c r="A1110" s="143">
        <v>43033</v>
      </c>
      <c r="B1110">
        <v>153.5</v>
      </c>
      <c r="C1110">
        <v>6.9211369999999999</v>
      </c>
      <c r="D1110" t="s">
        <v>852</v>
      </c>
    </row>
    <row r="1111" spans="1:4" x14ac:dyDescent="0.25">
      <c r="A1111" s="143">
        <v>43034</v>
      </c>
      <c r="B1111">
        <v>153.6</v>
      </c>
      <c r="C1111">
        <v>4.3005430000000002</v>
      </c>
      <c r="D1111" t="s">
        <v>852</v>
      </c>
    </row>
    <row r="1112" spans="1:4" x14ac:dyDescent="0.25">
      <c r="A1112" s="143">
        <v>43035</v>
      </c>
      <c r="B1112">
        <v>153.68</v>
      </c>
      <c r="C1112">
        <v>4.8951859999999998</v>
      </c>
      <c r="D1112" t="s">
        <v>852</v>
      </c>
    </row>
    <row r="1113" spans="1:4" x14ac:dyDescent="0.25">
      <c r="A1113" s="143">
        <v>43038</v>
      </c>
      <c r="B1113">
        <v>154.36000000000001</v>
      </c>
      <c r="C1113">
        <v>4.2104020000000002</v>
      </c>
      <c r="D1113" t="s">
        <v>852</v>
      </c>
    </row>
    <row r="1114" spans="1:4" x14ac:dyDescent="0.25">
      <c r="A1114" s="143">
        <v>43039</v>
      </c>
      <c r="B1114">
        <v>154.06</v>
      </c>
      <c r="C1114">
        <v>4.3282579999999999</v>
      </c>
      <c r="D1114" t="s">
        <v>852</v>
      </c>
    </row>
    <row r="1115" spans="1:4" x14ac:dyDescent="0.25">
      <c r="A1115" s="143">
        <v>43040</v>
      </c>
      <c r="B1115">
        <v>154.03</v>
      </c>
      <c r="C1115">
        <v>3.240246</v>
      </c>
      <c r="D1115" t="s">
        <v>852</v>
      </c>
    </row>
    <row r="1116" spans="1:4" x14ac:dyDescent="0.25">
      <c r="A1116" s="143">
        <v>43041</v>
      </c>
      <c r="B1116">
        <v>153.35</v>
      </c>
      <c r="C1116">
        <v>3.3976280000000001</v>
      </c>
      <c r="D1116" t="s">
        <v>852</v>
      </c>
    </row>
    <row r="1117" spans="1:4" x14ac:dyDescent="0.25">
      <c r="A1117" s="143">
        <v>43042</v>
      </c>
      <c r="B1117">
        <v>151.58000000000001</v>
      </c>
      <c r="C1117">
        <v>4.4318249999999999</v>
      </c>
      <c r="D1117" t="s">
        <v>852</v>
      </c>
    </row>
    <row r="1118" spans="1:4" x14ac:dyDescent="0.25">
      <c r="A1118" s="143">
        <v>43045</v>
      </c>
      <c r="B1118">
        <v>150.84</v>
      </c>
      <c r="C1118">
        <v>4.4988710000000003</v>
      </c>
      <c r="D1118" t="s">
        <v>852</v>
      </c>
    </row>
    <row r="1119" spans="1:4" x14ac:dyDescent="0.25">
      <c r="A1119" s="143">
        <v>43046</v>
      </c>
      <c r="B1119">
        <v>151.35</v>
      </c>
      <c r="C1119">
        <v>3.7010519999999998</v>
      </c>
      <c r="D1119" t="s">
        <v>852</v>
      </c>
    </row>
    <row r="1120" spans="1:4" x14ac:dyDescent="0.25">
      <c r="A1120" s="143">
        <v>43047</v>
      </c>
      <c r="B1120">
        <v>151.57</v>
      </c>
      <c r="C1120">
        <v>4.6344390000000004</v>
      </c>
      <c r="D1120" t="s">
        <v>852</v>
      </c>
    </row>
    <row r="1121" spans="1:4" x14ac:dyDescent="0.25">
      <c r="A1121" s="143">
        <v>43048</v>
      </c>
      <c r="B1121">
        <v>150.30000000000001</v>
      </c>
      <c r="C1121">
        <v>4.7765319999999996</v>
      </c>
      <c r="D1121" t="s">
        <v>852</v>
      </c>
    </row>
    <row r="1122" spans="1:4" x14ac:dyDescent="0.25">
      <c r="A1122" s="143">
        <v>43049</v>
      </c>
      <c r="B1122">
        <v>149.16</v>
      </c>
      <c r="C1122">
        <v>4.3072759999999999</v>
      </c>
      <c r="D1122" t="s">
        <v>852</v>
      </c>
    </row>
    <row r="1123" spans="1:4" x14ac:dyDescent="0.25">
      <c r="A1123" s="143">
        <v>43052</v>
      </c>
      <c r="B1123">
        <v>148.4</v>
      </c>
      <c r="C1123">
        <v>5.1075460000000001</v>
      </c>
      <c r="D1123" t="s">
        <v>852</v>
      </c>
    </row>
    <row r="1124" spans="1:4" x14ac:dyDescent="0.25">
      <c r="A1124" s="143">
        <v>43053</v>
      </c>
      <c r="B1124">
        <v>148.88999999999999</v>
      </c>
      <c r="C1124">
        <v>3.7579509999999998</v>
      </c>
      <c r="D1124" t="s">
        <v>852</v>
      </c>
    </row>
    <row r="1125" spans="1:4" x14ac:dyDescent="0.25">
      <c r="A1125" s="143">
        <v>43054</v>
      </c>
      <c r="B1125">
        <v>147.1</v>
      </c>
      <c r="C1125">
        <v>4.7733280000000002</v>
      </c>
      <c r="D1125" t="s">
        <v>852</v>
      </c>
    </row>
    <row r="1126" spans="1:4" x14ac:dyDescent="0.25">
      <c r="A1126" s="143">
        <v>43055</v>
      </c>
      <c r="B1126">
        <v>149.12</v>
      </c>
      <c r="C1126">
        <v>5.446453</v>
      </c>
      <c r="D1126" t="s">
        <v>852</v>
      </c>
    </row>
    <row r="1127" spans="1:4" x14ac:dyDescent="0.25">
      <c r="A1127" s="143">
        <v>43056</v>
      </c>
      <c r="B1127">
        <v>148.97</v>
      </c>
      <c r="C1127">
        <v>4.9165000000000001</v>
      </c>
      <c r="D1127" t="s">
        <v>852</v>
      </c>
    </row>
    <row r="1128" spans="1:4" x14ac:dyDescent="0.25">
      <c r="A1128" s="143">
        <v>43059</v>
      </c>
      <c r="B1128">
        <v>150.51</v>
      </c>
      <c r="C1128">
        <v>5.6764950000000001</v>
      </c>
      <c r="D1128" t="s">
        <v>852</v>
      </c>
    </row>
    <row r="1129" spans="1:4" x14ac:dyDescent="0.25">
      <c r="A1129" s="143">
        <v>43060</v>
      </c>
      <c r="B1129">
        <v>151.94999999999999</v>
      </c>
      <c r="C1129">
        <v>3.7561840000000002</v>
      </c>
      <c r="D1129" t="s">
        <v>852</v>
      </c>
    </row>
    <row r="1130" spans="1:4" x14ac:dyDescent="0.25">
      <c r="A1130" s="143">
        <v>43061</v>
      </c>
      <c r="B1130">
        <v>151.77000000000001</v>
      </c>
      <c r="C1130">
        <v>3.2135959999999999</v>
      </c>
      <c r="D1130" t="s">
        <v>852</v>
      </c>
    </row>
    <row r="1131" spans="1:4" x14ac:dyDescent="0.25">
      <c r="A1131" s="143">
        <v>43063</v>
      </c>
      <c r="B1131">
        <v>151.84</v>
      </c>
      <c r="C1131">
        <v>1.193025</v>
      </c>
      <c r="D1131" t="s">
        <v>852</v>
      </c>
    </row>
    <row r="1132" spans="1:4" x14ac:dyDescent="0.25">
      <c r="A1132" s="143">
        <v>43066</v>
      </c>
      <c r="B1132">
        <v>151.97999999999999</v>
      </c>
      <c r="C1132">
        <v>3.3740420000000002</v>
      </c>
      <c r="D1132" t="s">
        <v>852</v>
      </c>
    </row>
    <row r="1133" spans="1:4" x14ac:dyDescent="0.25">
      <c r="A1133" s="143">
        <v>43067</v>
      </c>
      <c r="B1133">
        <v>152.47</v>
      </c>
      <c r="C1133">
        <v>3.9736699999999998</v>
      </c>
      <c r="D1133" t="s">
        <v>852</v>
      </c>
    </row>
    <row r="1134" spans="1:4" x14ac:dyDescent="0.25">
      <c r="A1134" s="143">
        <v>43068</v>
      </c>
      <c r="B1134">
        <v>153.55000000000001</v>
      </c>
      <c r="C1134">
        <v>5.0987020000000003</v>
      </c>
      <c r="D1134" t="s">
        <v>852</v>
      </c>
    </row>
    <row r="1135" spans="1:4" x14ac:dyDescent="0.25">
      <c r="A1135" s="143">
        <v>43069</v>
      </c>
      <c r="B1135">
        <v>153.97</v>
      </c>
      <c r="C1135">
        <v>6.500769</v>
      </c>
      <c r="D1135" t="s">
        <v>852</v>
      </c>
    </row>
    <row r="1136" spans="1:4" x14ac:dyDescent="0.25">
      <c r="A1136" s="143">
        <v>43070</v>
      </c>
      <c r="B1136">
        <v>154.76</v>
      </c>
      <c r="C1136">
        <v>5.5678520000000002</v>
      </c>
      <c r="D1136" t="s">
        <v>852</v>
      </c>
    </row>
    <row r="1137" spans="1:4" x14ac:dyDescent="0.25">
      <c r="A1137" s="143">
        <v>43073</v>
      </c>
      <c r="B1137">
        <v>156.46</v>
      </c>
      <c r="C1137">
        <v>4.6643160000000004</v>
      </c>
      <c r="D1137" t="s">
        <v>852</v>
      </c>
    </row>
    <row r="1138" spans="1:4" x14ac:dyDescent="0.25">
      <c r="A1138" s="143">
        <v>43074</v>
      </c>
      <c r="B1138">
        <v>155.35</v>
      </c>
      <c r="C1138">
        <v>5.0680430000000003</v>
      </c>
      <c r="D1138" t="s">
        <v>852</v>
      </c>
    </row>
    <row r="1139" spans="1:4" x14ac:dyDescent="0.25">
      <c r="A1139" s="143">
        <v>43075</v>
      </c>
      <c r="B1139">
        <v>154.1</v>
      </c>
      <c r="C1139">
        <v>3.4107280000000002</v>
      </c>
      <c r="D1139" t="s">
        <v>852</v>
      </c>
    </row>
    <row r="1140" spans="1:4" x14ac:dyDescent="0.25">
      <c r="A1140" s="143">
        <v>43076</v>
      </c>
      <c r="B1140">
        <v>153.57</v>
      </c>
      <c r="C1140">
        <v>3.7714289999999999</v>
      </c>
      <c r="D1140" t="s">
        <v>852</v>
      </c>
    </row>
    <row r="1141" spans="1:4" x14ac:dyDescent="0.25">
      <c r="A1141" s="143">
        <v>43077</v>
      </c>
      <c r="B1141">
        <v>154.81</v>
      </c>
      <c r="C1141">
        <v>3.5202810000000002</v>
      </c>
      <c r="D1141" t="s">
        <v>852</v>
      </c>
    </row>
    <row r="1142" spans="1:4" x14ac:dyDescent="0.25">
      <c r="A1142" s="143">
        <v>43080</v>
      </c>
      <c r="B1142">
        <v>155.41</v>
      </c>
      <c r="C1142">
        <v>4.1027189999999996</v>
      </c>
      <c r="D1142" t="s">
        <v>852</v>
      </c>
    </row>
    <row r="1143" spans="1:4" x14ac:dyDescent="0.25">
      <c r="A1143" s="143">
        <v>43081</v>
      </c>
      <c r="B1143">
        <v>156.74</v>
      </c>
      <c r="C1143">
        <v>6.3218009999999998</v>
      </c>
      <c r="D1143" t="s">
        <v>852</v>
      </c>
    </row>
    <row r="1144" spans="1:4" x14ac:dyDescent="0.25">
      <c r="A1144" s="143">
        <v>43082</v>
      </c>
      <c r="B1144">
        <v>153.91</v>
      </c>
      <c r="C1144">
        <v>5.6616179999999998</v>
      </c>
      <c r="D1144" t="s">
        <v>852</v>
      </c>
    </row>
    <row r="1145" spans="1:4" x14ac:dyDescent="0.25">
      <c r="A1145" s="143">
        <v>43083</v>
      </c>
      <c r="B1145">
        <v>154</v>
      </c>
      <c r="C1145">
        <v>4.6374399999999998</v>
      </c>
      <c r="D1145" t="s">
        <v>852</v>
      </c>
    </row>
    <row r="1146" spans="1:4" x14ac:dyDescent="0.25">
      <c r="A1146" s="143">
        <v>43084</v>
      </c>
      <c r="B1146">
        <v>152.5</v>
      </c>
      <c r="C1146">
        <v>11.279854</v>
      </c>
      <c r="D1146" t="s">
        <v>852</v>
      </c>
    </row>
    <row r="1147" spans="1:4" x14ac:dyDescent="0.25">
      <c r="A1147" s="143">
        <v>43087</v>
      </c>
      <c r="B1147">
        <v>153.33000000000001</v>
      </c>
      <c r="C1147">
        <v>5.0928380000000004</v>
      </c>
      <c r="D1147" t="s">
        <v>852</v>
      </c>
    </row>
    <row r="1148" spans="1:4" x14ac:dyDescent="0.25">
      <c r="A1148" s="143">
        <v>43088</v>
      </c>
      <c r="B1148">
        <v>153.22999999999999</v>
      </c>
      <c r="C1148">
        <v>4.1164490000000002</v>
      </c>
      <c r="D1148" t="s">
        <v>852</v>
      </c>
    </row>
    <row r="1149" spans="1:4" x14ac:dyDescent="0.25">
      <c r="A1149" s="143">
        <v>43089</v>
      </c>
      <c r="B1149">
        <v>152.94999999999999</v>
      </c>
      <c r="C1149">
        <v>3.7856670000000001</v>
      </c>
      <c r="D1149" t="s">
        <v>852</v>
      </c>
    </row>
    <row r="1150" spans="1:4" x14ac:dyDescent="0.25">
      <c r="A1150" s="143">
        <v>43090</v>
      </c>
      <c r="B1150">
        <v>151.5</v>
      </c>
      <c r="C1150">
        <v>4.1539349999999997</v>
      </c>
      <c r="D1150" t="s">
        <v>852</v>
      </c>
    </row>
    <row r="1151" spans="1:4" x14ac:dyDescent="0.25">
      <c r="A1151" s="143">
        <v>43091</v>
      </c>
      <c r="B1151">
        <v>152.5</v>
      </c>
      <c r="C1151">
        <v>2.990583</v>
      </c>
      <c r="D1151" t="s">
        <v>852</v>
      </c>
    </row>
    <row r="1152" spans="1:4" x14ac:dyDescent="0.25">
      <c r="A1152" s="143">
        <v>43095</v>
      </c>
      <c r="B1152">
        <v>152.83000000000001</v>
      </c>
      <c r="C1152">
        <v>2.4790169999999998</v>
      </c>
      <c r="D1152" t="s">
        <v>852</v>
      </c>
    </row>
    <row r="1153" spans="1:4" x14ac:dyDescent="0.25">
      <c r="A1153" s="143">
        <v>43096</v>
      </c>
      <c r="B1153">
        <v>153.13</v>
      </c>
      <c r="C1153">
        <v>2.149257</v>
      </c>
      <c r="D1153" t="s">
        <v>852</v>
      </c>
    </row>
    <row r="1154" spans="1:4" x14ac:dyDescent="0.25">
      <c r="A1154" s="143">
        <v>43097</v>
      </c>
      <c r="B1154">
        <v>154.04</v>
      </c>
      <c r="C1154">
        <v>2.687624</v>
      </c>
      <c r="D1154" t="s">
        <v>852</v>
      </c>
    </row>
    <row r="1155" spans="1:4" x14ac:dyDescent="0.25">
      <c r="A1155" s="143">
        <v>43098</v>
      </c>
      <c r="B1155">
        <v>153.41999999999999</v>
      </c>
      <c r="C1155">
        <v>3.3270870000000001</v>
      </c>
      <c r="D1155" t="s">
        <v>852</v>
      </c>
    </row>
    <row r="1156" spans="1:4" x14ac:dyDescent="0.25">
      <c r="A1156" s="143">
        <v>43102</v>
      </c>
      <c r="B1156">
        <v>154.25</v>
      </c>
      <c r="C1156">
        <v>4.2025030000000001</v>
      </c>
      <c r="D1156" t="s">
        <v>852</v>
      </c>
    </row>
    <row r="1157" spans="1:4" x14ac:dyDescent="0.25">
      <c r="A1157" s="143">
        <v>43103</v>
      </c>
      <c r="B1157">
        <v>158.49</v>
      </c>
      <c r="C1157">
        <v>9.4415669999999992</v>
      </c>
      <c r="D1157" t="s">
        <v>852</v>
      </c>
    </row>
    <row r="1158" spans="1:4" x14ac:dyDescent="0.25">
      <c r="A1158" s="143">
        <v>43104</v>
      </c>
      <c r="B1158">
        <v>161.69999999999999</v>
      </c>
      <c r="C1158">
        <v>7.5562490000000002</v>
      </c>
      <c r="D1158" t="s">
        <v>852</v>
      </c>
    </row>
    <row r="1159" spans="1:4" x14ac:dyDescent="0.25">
      <c r="A1159" s="143">
        <v>43105</v>
      </c>
      <c r="B1159">
        <v>162.49</v>
      </c>
      <c r="C1159">
        <v>5.1957639999999996</v>
      </c>
      <c r="D1159" t="s">
        <v>852</v>
      </c>
    </row>
    <row r="1160" spans="1:4" x14ac:dyDescent="0.25">
      <c r="A1160" s="143">
        <v>43108</v>
      </c>
      <c r="B1160">
        <v>163.47</v>
      </c>
      <c r="C1160">
        <v>5.2375230000000004</v>
      </c>
      <c r="D1160" t="s">
        <v>852</v>
      </c>
    </row>
    <row r="1161" spans="1:4" x14ac:dyDescent="0.25">
      <c r="A1161" s="143">
        <v>43109</v>
      </c>
      <c r="B1161">
        <v>163.83000000000001</v>
      </c>
      <c r="C1161">
        <v>4.3418099999999997</v>
      </c>
      <c r="D1161" t="s">
        <v>852</v>
      </c>
    </row>
    <row r="1162" spans="1:4" x14ac:dyDescent="0.25">
      <c r="A1162" s="143">
        <v>43110</v>
      </c>
      <c r="B1162">
        <v>164.18</v>
      </c>
      <c r="C1162">
        <v>4.174105</v>
      </c>
      <c r="D1162" t="s">
        <v>852</v>
      </c>
    </row>
    <row r="1163" spans="1:4" x14ac:dyDescent="0.25">
      <c r="A1163" s="143">
        <v>43111</v>
      </c>
      <c r="B1163">
        <v>164.2</v>
      </c>
      <c r="C1163">
        <v>3.7944529999999999</v>
      </c>
      <c r="D1163" t="s">
        <v>852</v>
      </c>
    </row>
    <row r="1164" spans="1:4" x14ac:dyDescent="0.25">
      <c r="A1164" s="143">
        <v>43112</v>
      </c>
      <c r="B1164">
        <v>163.13999999999999</v>
      </c>
      <c r="C1164">
        <v>5.0318860000000001</v>
      </c>
      <c r="D1164" t="s">
        <v>852</v>
      </c>
    </row>
    <row r="1165" spans="1:4" x14ac:dyDescent="0.25">
      <c r="A1165" s="143">
        <v>43116</v>
      </c>
      <c r="B1165">
        <v>163.85</v>
      </c>
      <c r="C1165">
        <v>7.7941950000000002</v>
      </c>
      <c r="D1165" t="s">
        <v>852</v>
      </c>
    </row>
    <row r="1166" spans="1:4" x14ac:dyDescent="0.25">
      <c r="A1166" s="143">
        <v>43117</v>
      </c>
      <c r="B1166">
        <v>168.65</v>
      </c>
      <c r="C1166">
        <v>11.710032999999999</v>
      </c>
      <c r="D1166" t="s">
        <v>852</v>
      </c>
    </row>
    <row r="1167" spans="1:4" x14ac:dyDescent="0.25">
      <c r="A1167" s="143">
        <v>43118</v>
      </c>
      <c r="B1167">
        <v>169.12</v>
      </c>
      <c r="C1167">
        <v>14.259345</v>
      </c>
      <c r="D1167" t="s">
        <v>852</v>
      </c>
    </row>
    <row r="1168" spans="1:4" x14ac:dyDescent="0.25">
      <c r="A1168" s="143">
        <v>43119</v>
      </c>
      <c r="B1168">
        <v>162.37</v>
      </c>
      <c r="C1168">
        <v>21.172488000000001</v>
      </c>
      <c r="D1168" t="s">
        <v>852</v>
      </c>
    </row>
    <row r="1169" spans="1:4" x14ac:dyDescent="0.25">
      <c r="A1169" s="143">
        <v>43122</v>
      </c>
      <c r="B1169">
        <v>162.6</v>
      </c>
      <c r="C1169">
        <v>8.4807950000000005</v>
      </c>
      <c r="D1169" t="s">
        <v>852</v>
      </c>
    </row>
    <row r="1170" spans="1:4" x14ac:dyDescent="0.25">
      <c r="A1170" s="143">
        <v>43123</v>
      </c>
      <c r="B1170">
        <v>166.25</v>
      </c>
      <c r="C1170">
        <v>7.4662319999999998</v>
      </c>
      <c r="D1170" t="s">
        <v>852</v>
      </c>
    </row>
    <row r="1171" spans="1:4" x14ac:dyDescent="0.25">
      <c r="A1171" s="143">
        <v>43124</v>
      </c>
      <c r="B1171">
        <v>165.37</v>
      </c>
      <c r="C1171">
        <v>5.645003</v>
      </c>
      <c r="D1171" t="s">
        <v>852</v>
      </c>
    </row>
    <row r="1172" spans="1:4" x14ac:dyDescent="0.25">
      <c r="A1172" s="143">
        <v>43125</v>
      </c>
      <c r="B1172">
        <v>165.47</v>
      </c>
      <c r="C1172">
        <v>3.3025199999999999</v>
      </c>
      <c r="D1172" t="s">
        <v>852</v>
      </c>
    </row>
    <row r="1173" spans="1:4" x14ac:dyDescent="0.25">
      <c r="A1173" s="143">
        <v>43126</v>
      </c>
      <c r="B1173">
        <v>167.34</v>
      </c>
      <c r="C1173">
        <v>3.7879130000000001</v>
      </c>
      <c r="D1173" t="s">
        <v>852</v>
      </c>
    </row>
    <row r="1174" spans="1:4" x14ac:dyDescent="0.25">
      <c r="A1174" s="143">
        <v>43129</v>
      </c>
      <c r="B1174">
        <v>166.8</v>
      </c>
      <c r="C1174">
        <v>3.5169950000000001</v>
      </c>
      <c r="D1174" t="s">
        <v>852</v>
      </c>
    </row>
    <row r="1175" spans="1:4" x14ac:dyDescent="0.25">
      <c r="A1175" s="143">
        <v>43130</v>
      </c>
      <c r="B1175">
        <v>163.62</v>
      </c>
      <c r="C1175">
        <v>4.9023409999999998</v>
      </c>
      <c r="D1175" t="s">
        <v>852</v>
      </c>
    </row>
    <row r="1176" spans="1:4" x14ac:dyDescent="0.25">
      <c r="A1176" s="143">
        <v>43131</v>
      </c>
      <c r="B1176">
        <v>163.69999999999999</v>
      </c>
      <c r="C1176">
        <v>4.0728299999999997</v>
      </c>
      <c r="D1176" t="s">
        <v>852</v>
      </c>
    </row>
    <row r="1177" spans="1:4" x14ac:dyDescent="0.25">
      <c r="A1177" s="143">
        <v>43132</v>
      </c>
      <c r="B1177">
        <v>162.4</v>
      </c>
      <c r="C1177">
        <v>4.4342420000000002</v>
      </c>
      <c r="D1177" t="s">
        <v>852</v>
      </c>
    </row>
    <row r="1178" spans="1:4" x14ac:dyDescent="0.25">
      <c r="A1178" s="143">
        <v>43133</v>
      </c>
      <c r="B1178">
        <v>159.03</v>
      </c>
      <c r="C1178">
        <v>5.251938</v>
      </c>
      <c r="D1178" t="s">
        <v>852</v>
      </c>
    </row>
    <row r="1179" spans="1:4" x14ac:dyDescent="0.25">
      <c r="A1179" s="143">
        <v>43136</v>
      </c>
      <c r="B1179">
        <v>152.53</v>
      </c>
      <c r="C1179">
        <v>8.7465989999999998</v>
      </c>
      <c r="D1179" t="s">
        <v>852</v>
      </c>
    </row>
    <row r="1180" spans="1:4" x14ac:dyDescent="0.25">
      <c r="A1180" s="143">
        <v>43137</v>
      </c>
      <c r="B1180">
        <v>155.34</v>
      </c>
      <c r="C1180">
        <v>9.8676779999999997</v>
      </c>
      <c r="D1180" t="s">
        <v>852</v>
      </c>
    </row>
    <row r="1181" spans="1:4" x14ac:dyDescent="0.25">
      <c r="A1181" s="143">
        <v>43138</v>
      </c>
      <c r="B1181">
        <v>153.85</v>
      </c>
      <c r="C1181">
        <v>6.1492069999999996</v>
      </c>
      <c r="D1181" t="s">
        <v>852</v>
      </c>
    </row>
    <row r="1182" spans="1:4" x14ac:dyDescent="0.25">
      <c r="A1182" s="143">
        <v>43139</v>
      </c>
      <c r="B1182">
        <v>147.59</v>
      </c>
      <c r="C1182">
        <v>6.7790949999999999</v>
      </c>
      <c r="D1182" t="s">
        <v>852</v>
      </c>
    </row>
    <row r="1183" spans="1:4" x14ac:dyDescent="0.25">
      <c r="A1183" s="143">
        <v>43140</v>
      </c>
      <c r="B1183">
        <v>149.51</v>
      </c>
      <c r="C1183">
        <v>7.82829</v>
      </c>
      <c r="D1183" t="s">
        <v>852</v>
      </c>
    </row>
    <row r="1184" spans="1:4" x14ac:dyDescent="0.25">
      <c r="A1184" s="143">
        <v>43143</v>
      </c>
      <c r="B1184">
        <v>151.4</v>
      </c>
      <c r="C1184">
        <v>5.8813769999999996</v>
      </c>
      <c r="D1184" t="s">
        <v>852</v>
      </c>
    </row>
    <row r="1185" spans="1:4" x14ac:dyDescent="0.25">
      <c r="A1185" s="143">
        <v>43144</v>
      </c>
      <c r="B1185">
        <v>150.75</v>
      </c>
      <c r="C1185">
        <v>4.8910099999999996</v>
      </c>
      <c r="D1185" t="s">
        <v>852</v>
      </c>
    </row>
    <row r="1186" spans="1:4" x14ac:dyDescent="0.25">
      <c r="A1186" s="143">
        <v>43145</v>
      </c>
      <c r="B1186">
        <v>154.76</v>
      </c>
      <c r="C1186">
        <v>5.4790330000000003</v>
      </c>
      <c r="D1186" t="s">
        <v>852</v>
      </c>
    </row>
    <row r="1187" spans="1:4" x14ac:dyDescent="0.25">
      <c r="A1187" s="143">
        <v>43146</v>
      </c>
      <c r="B1187">
        <v>156.01</v>
      </c>
      <c r="C1187">
        <v>5.6235809999999997</v>
      </c>
      <c r="D1187" t="s">
        <v>852</v>
      </c>
    </row>
    <row r="1188" spans="1:4" x14ac:dyDescent="0.25">
      <c r="A1188" s="143">
        <v>43147</v>
      </c>
      <c r="B1188">
        <v>156.18</v>
      </c>
      <c r="C1188">
        <v>4.2829079999999999</v>
      </c>
      <c r="D1188" t="s">
        <v>852</v>
      </c>
    </row>
    <row r="1189" spans="1:4" x14ac:dyDescent="0.25">
      <c r="A1189" s="143">
        <v>43151</v>
      </c>
      <c r="B1189">
        <v>155.16</v>
      </c>
      <c r="C1189">
        <v>4.4896039999999999</v>
      </c>
      <c r="D1189" t="s">
        <v>852</v>
      </c>
    </row>
    <row r="1190" spans="1:4" x14ac:dyDescent="0.25">
      <c r="A1190" s="143">
        <v>43152</v>
      </c>
      <c r="B1190">
        <v>153.96</v>
      </c>
      <c r="C1190">
        <v>3.7285710000000001</v>
      </c>
      <c r="D1190" t="s">
        <v>852</v>
      </c>
    </row>
    <row r="1191" spans="1:4" x14ac:dyDescent="0.25">
      <c r="A1191" s="143">
        <v>43153</v>
      </c>
      <c r="B1191">
        <v>153.18</v>
      </c>
      <c r="C1191">
        <v>4.0246269999999997</v>
      </c>
      <c r="D1191" t="s">
        <v>852</v>
      </c>
    </row>
    <row r="1192" spans="1:4" x14ac:dyDescent="0.25">
      <c r="A1192" s="143">
        <v>43154</v>
      </c>
      <c r="B1192">
        <v>155.52000000000001</v>
      </c>
      <c r="C1192">
        <v>3.2560739999999999</v>
      </c>
      <c r="D1192" t="s">
        <v>852</v>
      </c>
    </row>
    <row r="1193" spans="1:4" x14ac:dyDescent="0.25">
      <c r="A1193" s="143">
        <v>43157</v>
      </c>
      <c r="B1193">
        <v>158.58000000000001</v>
      </c>
      <c r="C1193">
        <v>3.6102919999999998</v>
      </c>
      <c r="D1193" t="s">
        <v>852</v>
      </c>
    </row>
    <row r="1194" spans="1:4" x14ac:dyDescent="0.25">
      <c r="A1194" s="143">
        <v>43158</v>
      </c>
      <c r="B1194">
        <v>156.55000000000001</v>
      </c>
      <c r="C1194">
        <v>4.2372829999999997</v>
      </c>
      <c r="D1194" t="s">
        <v>852</v>
      </c>
    </row>
    <row r="1195" spans="1:4" x14ac:dyDescent="0.25">
      <c r="A1195" s="143">
        <v>43159</v>
      </c>
      <c r="B1195">
        <v>155.83000000000001</v>
      </c>
      <c r="C1195">
        <v>3.803512</v>
      </c>
      <c r="D1195" t="s">
        <v>852</v>
      </c>
    </row>
    <row r="1196" spans="1:4" x14ac:dyDescent="0.25">
      <c r="A1196" s="143">
        <v>43160</v>
      </c>
      <c r="B1196">
        <v>153.81</v>
      </c>
      <c r="C1196">
        <v>4.039339</v>
      </c>
      <c r="D1196" t="s">
        <v>852</v>
      </c>
    </row>
    <row r="1197" spans="1:4" x14ac:dyDescent="0.25">
      <c r="A1197" s="143">
        <v>43161</v>
      </c>
      <c r="B1197">
        <v>154.49</v>
      </c>
      <c r="C1197">
        <v>3.2611409999999998</v>
      </c>
      <c r="D1197" t="s">
        <v>852</v>
      </c>
    </row>
    <row r="1198" spans="1:4" x14ac:dyDescent="0.25">
      <c r="A1198" s="143">
        <v>43164</v>
      </c>
      <c r="B1198">
        <v>156.94999999999999</v>
      </c>
      <c r="C1198">
        <v>3.6706300000000001</v>
      </c>
      <c r="D1198" t="s">
        <v>852</v>
      </c>
    </row>
    <row r="1199" spans="1:4" x14ac:dyDescent="0.25">
      <c r="A1199" s="143">
        <v>43165</v>
      </c>
      <c r="B1199">
        <v>155.72</v>
      </c>
      <c r="C1199">
        <v>3.6857359999999999</v>
      </c>
      <c r="D1199" t="s">
        <v>852</v>
      </c>
    </row>
    <row r="1200" spans="1:4" x14ac:dyDescent="0.25">
      <c r="A1200" s="143">
        <v>43166</v>
      </c>
      <c r="B1200">
        <v>158.32</v>
      </c>
      <c r="C1200">
        <v>4.6076769999999998</v>
      </c>
      <c r="D1200" t="s">
        <v>852</v>
      </c>
    </row>
    <row r="1201" spans="1:4" x14ac:dyDescent="0.25">
      <c r="A1201" s="143">
        <v>43167</v>
      </c>
      <c r="B1201">
        <v>156.21</v>
      </c>
      <c r="C1201">
        <v>6.4556120000000004</v>
      </c>
      <c r="D1201" t="s">
        <v>852</v>
      </c>
    </row>
    <row r="1202" spans="1:4" x14ac:dyDescent="0.25">
      <c r="A1202" s="143">
        <v>43168</v>
      </c>
      <c r="B1202">
        <v>159.31</v>
      </c>
      <c r="C1202">
        <v>5.0222379999999998</v>
      </c>
      <c r="D1202" t="s">
        <v>852</v>
      </c>
    </row>
    <row r="1203" spans="1:4" x14ac:dyDescent="0.25">
      <c r="A1203" s="143">
        <v>43171</v>
      </c>
      <c r="B1203">
        <v>160.26</v>
      </c>
      <c r="C1203">
        <v>5.0634969999999999</v>
      </c>
      <c r="D1203" t="s">
        <v>852</v>
      </c>
    </row>
    <row r="1204" spans="1:4" x14ac:dyDescent="0.25">
      <c r="A1204" s="143">
        <v>43172</v>
      </c>
      <c r="B1204">
        <v>159.32</v>
      </c>
      <c r="C1204">
        <v>4.1855900000000004</v>
      </c>
      <c r="D1204" t="s">
        <v>852</v>
      </c>
    </row>
    <row r="1205" spans="1:4" x14ac:dyDescent="0.25">
      <c r="A1205" s="143">
        <v>43173</v>
      </c>
      <c r="B1205">
        <v>158.12</v>
      </c>
      <c r="C1205">
        <v>3.6318250000000001</v>
      </c>
      <c r="D1205" t="s">
        <v>852</v>
      </c>
    </row>
    <row r="1206" spans="1:4" x14ac:dyDescent="0.25">
      <c r="A1206" s="143">
        <v>43174</v>
      </c>
      <c r="B1206">
        <v>159.61000000000001</v>
      </c>
      <c r="C1206">
        <v>3.8705949999999998</v>
      </c>
      <c r="D1206" t="s">
        <v>852</v>
      </c>
    </row>
    <row r="1207" spans="1:4" x14ac:dyDescent="0.25">
      <c r="A1207" s="143">
        <v>43175</v>
      </c>
      <c r="B1207">
        <v>160.26</v>
      </c>
      <c r="C1207">
        <v>9.2626559999999998</v>
      </c>
      <c r="D1207" t="s">
        <v>852</v>
      </c>
    </row>
    <row r="1208" spans="1:4" x14ac:dyDescent="0.25">
      <c r="A1208" s="143">
        <v>43178</v>
      </c>
      <c r="B1208">
        <v>157.35</v>
      </c>
      <c r="C1208">
        <v>5.4819829999999996</v>
      </c>
      <c r="D1208" t="s">
        <v>852</v>
      </c>
    </row>
    <row r="1209" spans="1:4" x14ac:dyDescent="0.25">
      <c r="A1209" s="143">
        <v>43179</v>
      </c>
      <c r="B1209">
        <v>156.19999999999999</v>
      </c>
      <c r="C1209">
        <v>4.3367380000000004</v>
      </c>
      <c r="D1209" t="s">
        <v>852</v>
      </c>
    </row>
    <row r="1210" spans="1:4" x14ac:dyDescent="0.25">
      <c r="A1210" s="143">
        <v>43180</v>
      </c>
      <c r="B1210">
        <v>156.69</v>
      </c>
      <c r="C1210">
        <v>3.4821840000000002</v>
      </c>
      <c r="D1210" t="s">
        <v>852</v>
      </c>
    </row>
    <row r="1211" spans="1:4" x14ac:dyDescent="0.25">
      <c r="A1211" s="143">
        <v>43181</v>
      </c>
      <c r="B1211">
        <v>152.09</v>
      </c>
      <c r="C1211">
        <v>4.7463490000000004</v>
      </c>
      <c r="D1211" t="s">
        <v>852</v>
      </c>
    </row>
    <row r="1212" spans="1:4" x14ac:dyDescent="0.25">
      <c r="A1212" s="143">
        <v>43182</v>
      </c>
      <c r="B1212">
        <v>148.88999999999999</v>
      </c>
      <c r="C1212">
        <v>4.4408830000000004</v>
      </c>
      <c r="D1212" t="s">
        <v>852</v>
      </c>
    </row>
    <row r="1213" spans="1:4" x14ac:dyDescent="0.25">
      <c r="A1213" s="143">
        <v>43185</v>
      </c>
      <c r="B1213">
        <v>153.37</v>
      </c>
      <c r="C1213">
        <v>4.103904</v>
      </c>
      <c r="D1213" t="s">
        <v>852</v>
      </c>
    </row>
    <row r="1214" spans="1:4" x14ac:dyDescent="0.25">
      <c r="A1214" s="143">
        <v>43186</v>
      </c>
      <c r="B1214">
        <v>151.91</v>
      </c>
      <c r="C1214">
        <v>3.8837449999999998</v>
      </c>
      <c r="D1214" t="s">
        <v>852</v>
      </c>
    </row>
    <row r="1215" spans="1:4" x14ac:dyDescent="0.25">
      <c r="A1215" s="143">
        <v>43187</v>
      </c>
      <c r="B1215">
        <v>152.52000000000001</v>
      </c>
      <c r="C1215">
        <v>3.6648260000000001</v>
      </c>
      <c r="D1215" t="s">
        <v>852</v>
      </c>
    </row>
    <row r="1216" spans="1:4" x14ac:dyDescent="0.25">
      <c r="A1216" s="143">
        <v>43188</v>
      </c>
      <c r="B1216">
        <v>153.43</v>
      </c>
      <c r="C1216">
        <v>3.419959</v>
      </c>
      <c r="D1216" t="s">
        <v>852</v>
      </c>
    </row>
    <row r="1217" spans="1:4" x14ac:dyDescent="0.25">
      <c r="A1217" s="143">
        <v>43192</v>
      </c>
      <c r="B1217">
        <v>150.07</v>
      </c>
      <c r="C1217">
        <v>5.1504349999999999</v>
      </c>
      <c r="D1217" t="s">
        <v>852</v>
      </c>
    </row>
    <row r="1218" spans="1:4" x14ac:dyDescent="0.25">
      <c r="A1218" s="143">
        <v>43193</v>
      </c>
      <c r="B1218">
        <v>149.85</v>
      </c>
      <c r="C1218">
        <v>4.1356960000000003</v>
      </c>
      <c r="D1218" t="s">
        <v>852</v>
      </c>
    </row>
    <row r="1219" spans="1:4" x14ac:dyDescent="0.25">
      <c r="A1219" s="143">
        <v>43194</v>
      </c>
      <c r="B1219">
        <v>154.12</v>
      </c>
      <c r="C1219">
        <v>4.8052609999999998</v>
      </c>
      <c r="D1219" t="s">
        <v>852</v>
      </c>
    </row>
    <row r="1220" spans="1:4" x14ac:dyDescent="0.25">
      <c r="A1220" s="143">
        <v>43195</v>
      </c>
      <c r="B1220">
        <v>154.03</v>
      </c>
      <c r="C1220">
        <v>3.1853880000000001</v>
      </c>
      <c r="D1220" t="s">
        <v>852</v>
      </c>
    </row>
    <row r="1221" spans="1:4" x14ac:dyDescent="0.25">
      <c r="A1221" s="143">
        <v>43196</v>
      </c>
      <c r="B1221">
        <v>150.57</v>
      </c>
      <c r="C1221">
        <v>3.6729189999999998</v>
      </c>
      <c r="D1221" t="s">
        <v>852</v>
      </c>
    </row>
    <row r="1222" spans="1:4" x14ac:dyDescent="0.25">
      <c r="A1222" s="143">
        <v>43199</v>
      </c>
      <c r="B1222">
        <v>152.69</v>
      </c>
      <c r="C1222">
        <v>4.4131780000000003</v>
      </c>
      <c r="D1222" t="s">
        <v>852</v>
      </c>
    </row>
    <row r="1223" spans="1:4" x14ac:dyDescent="0.25">
      <c r="A1223" s="143">
        <v>43200</v>
      </c>
      <c r="B1223">
        <v>155.38999999999999</v>
      </c>
      <c r="C1223">
        <v>3.9559519999999999</v>
      </c>
      <c r="D1223" t="s">
        <v>852</v>
      </c>
    </row>
    <row r="1224" spans="1:4" x14ac:dyDescent="0.25">
      <c r="A1224" s="143">
        <v>43201</v>
      </c>
      <c r="B1224">
        <v>155.36000000000001</v>
      </c>
      <c r="C1224">
        <v>3.3065389999999999</v>
      </c>
      <c r="D1224" t="s">
        <v>852</v>
      </c>
    </row>
    <row r="1225" spans="1:4" x14ac:dyDescent="0.25">
      <c r="A1225" s="143">
        <v>43202</v>
      </c>
      <c r="B1225">
        <v>158.07</v>
      </c>
      <c r="C1225">
        <v>5.6394440000000001</v>
      </c>
      <c r="D1225" t="s">
        <v>852</v>
      </c>
    </row>
    <row r="1226" spans="1:4" x14ac:dyDescent="0.25">
      <c r="A1226" s="143">
        <v>43203</v>
      </c>
      <c r="B1226">
        <v>156.71</v>
      </c>
      <c r="C1226">
        <v>4.0570579999999996</v>
      </c>
      <c r="D1226" t="s">
        <v>852</v>
      </c>
    </row>
    <row r="1227" spans="1:4" x14ac:dyDescent="0.25">
      <c r="A1227" s="143">
        <v>43206</v>
      </c>
      <c r="B1227">
        <v>157.88999999999999</v>
      </c>
      <c r="C1227">
        <v>4.1867549999999998</v>
      </c>
      <c r="D1227" t="s">
        <v>852</v>
      </c>
    </row>
    <row r="1228" spans="1:4" x14ac:dyDescent="0.25">
      <c r="A1228" s="143">
        <v>43207</v>
      </c>
      <c r="B1228">
        <v>160.91</v>
      </c>
      <c r="C1228">
        <v>10.207534000000001</v>
      </c>
      <c r="D1228" t="s">
        <v>852</v>
      </c>
    </row>
    <row r="1229" spans="1:4" x14ac:dyDescent="0.25">
      <c r="A1229" s="143">
        <v>43208</v>
      </c>
      <c r="B1229">
        <v>148.79</v>
      </c>
      <c r="C1229">
        <v>20.381695000000001</v>
      </c>
      <c r="D1229" t="s">
        <v>852</v>
      </c>
    </row>
    <row r="1230" spans="1:4" x14ac:dyDescent="0.25">
      <c r="A1230" s="143">
        <v>43209</v>
      </c>
      <c r="B1230">
        <v>147.69999999999999</v>
      </c>
      <c r="C1230">
        <v>8.0860559999999992</v>
      </c>
      <c r="D1230" t="s">
        <v>852</v>
      </c>
    </row>
    <row r="1231" spans="1:4" x14ac:dyDescent="0.25">
      <c r="A1231" s="143">
        <v>43210</v>
      </c>
      <c r="B1231">
        <v>144.9</v>
      </c>
      <c r="C1231">
        <v>8.2656430000000007</v>
      </c>
      <c r="D1231" t="s">
        <v>852</v>
      </c>
    </row>
    <row r="1232" spans="1:4" x14ac:dyDescent="0.25">
      <c r="A1232" s="143">
        <v>43213</v>
      </c>
      <c r="B1232">
        <v>145.86000000000001</v>
      </c>
      <c r="C1232">
        <v>5.3156249999999998</v>
      </c>
      <c r="D1232" t="s">
        <v>852</v>
      </c>
    </row>
    <row r="1233" spans="1:4" x14ac:dyDescent="0.25">
      <c r="A1233" s="143">
        <v>43214</v>
      </c>
      <c r="B1233">
        <v>145.56</v>
      </c>
      <c r="C1233">
        <v>4.9164760000000003</v>
      </c>
      <c r="D1233" t="s">
        <v>852</v>
      </c>
    </row>
    <row r="1234" spans="1:4" x14ac:dyDescent="0.25">
      <c r="A1234" s="143">
        <v>43215</v>
      </c>
      <c r="B1234">
        <v>145.94</v>
      </c>
      <c r="C1234">
        <v>7.3263790000000002</v>
      </c>
      <c r="D1234" t="s">
        <v>852</v>
      </c>
    </row>
    <row r="1235" spans="1:4" x14ac:dyDescent="0.25">
      <c r="A1235" s="143">
        <v>43216</v>
      </c>
      <c r="B1235">
        <v>146.72</v>
      </c>
      <c r="C1235">
        <v>4.2658120000000004</v>
      </c>
      <c r="D1235" t="s">
        <v>852</v>
      </c>
    </row>
    <row r="1236" spans="1:4" x14ac:dyDescent="0.25">
      <c r="A1236" s="143">
        <v>43217</v>
      </c>
      <c r="B1236">
        <v>146.47999999999999</v>
      </c>
      <c r="C1236">
        <v>3.2054819999999999</v>
      </c>
      <c r="D1236" t="s">
        <v>852</v>
      </c>
    </row>
    <row r="1237" spans="1:4" x14ac:dyDescent="0.25">
      <c r="A1237" s="143">
        <v>43220</v>
      </c>
      <c r="B1237">
        <v>144.96</v>
      </c>
      <c r="C1237">
        <v>4.4155329999999999</v>
      </c>
      <c r="D1237" t="s">
        <v>852</v>
      </c>
    </row>
    <row r="1238" spans="1:4" x14ac:dyDescent="0.25">
      <c r="A1238" s="143">
        <v>43221</v>
      </c>
      <c r="B1238">
        <v>145</v>
      </c>
      <c r="C1238">
        <v>4.4333929999999997</v>
      </c>
      <c r="D1238" t="s">
        <v>852</v>
      </c>
    </row>
    <row r="1239" spans="1:4" x14ac:dyDescent="0.25">
      <c r="A1239" s="143">
        <v>43222</v>
      </c>
      <c r="B1239">
        <v>142.44999999999999</v>
      </c>
      <c r="C1239">
        <v>5.1949170000000002</v>
      </c>
      <c r="D1239" t="s">
        <v>852</v>
      </c>
    </row>
    <row r="1240" spans="1:4" x14ac:dyDescent="0.25">
      <c r="A1240" s="143">
        <v>43223</v>
      </c>
      <c r="B1240">
        <v>141.99</v>
      </c>
      <c r="C1240">
        <v>5.0185919999999999</v>
      </c>
      <c r="D1240" t="s">
        <v>852</v>
      </c>
    </row>
    <row r="1241" spans="1:4" x14ac:dyDescent="0.25">
      <c r="A1241" s="143">
        <v>43224</v>
      </c>
      <c r="B1241">
        <v>143.91</v>
      </c>
      <c r="C1241">
        <v>4.4021699999999999</v>
      </c>
      <c r="D1241" t="s">
        <v>852</v>
      </c>
    </row>
    <row r="1242" spans="1:4" x14ac:dyDescent="0.25">
      <c r="A1242" s="143">
        <v>43227</v>
      </c>
      <c r="B1242">
        <v>143.22</v>
      </c>
      <c r="C1242">
        <v>3.657009</v>
      </c>
      <c r="D1242" t="s">
        <v>852</v>
      </c>
    </row>
    <row r="1243" spans="1:4" x14ac:dyDescent="0.25">
      <c r="A1243" s="143">
        <v>43228</v>
      </c>
      <c r="B1243">
        <v>143</v>
      </c>
      <c r="C1243">
        <v>5.3691190000000004</v>
      </c>
      <c r="D1243" t="s">
        <v>852</v>
      </c>
    </row>
    <row r="1244" spans="1:4" x14ac:dyDescent="0.25">
      <c r="A1244" s="143">
        <v>43229</v>
      </c>
      <c r="B1244">
        <v>142.61000000000001</v>
      </c>
      <c r="C1244">
        <v>4.1959530000000003</v>
      </c>
      <c r="D1244" t="s">
        <v>852</v>
      </c>
    </row>
    <row r="1245" spans="1:4" x14ac:dyDescent="0.25">
      <c r="A1245" s="143">
        <v>43230</v>
      </c>
      <c r="B1245">
        <v>144.24</v>
      </c>
      <c r="C1245">
        <v>3.7266080000000001</v>
      </c>
      <c r="D1245" t="s">
        <v>852</v>
      </c>
    </row>
    <row r="1246" spans="1:4" x14ac:dyDescent="0.25">
      <c r="A1246" s="143">
        <v>43231</v>
      </c>
      <c r="B1246">
        <v>144.13999999999999</v>
      </c>
      <c r="C1246">
        <v>3.0731670000000002</v>
      </c>
      <c r="D1246" t="s">
        <v>852</v>
      </c>
    </row>
    <row r="1247" spans="1:4" x14ac:dyDescent="0.25">
      <c r="A1247" s="143">
        <v>43234</v>
      </c>
      <c r="B1247">
        <v>144.30000000000001</v>
      </c>
      <c r="C1247">
        <v>3.216062</v>
      </c>
      <c r="D1247" t="s">
        <v>852</v>
      </c>
    </row>
    <row r="1248" spans="1:4" x14ac:dyDescent="0.25">
      <c r="A1248" s="143">
        <v>43235</v>
      </c>
      <c r="B1248">
        <v>143.74</v>
      </c>
      <c r="C1248">
        <v>4.0893969999999999</v>
      </c>
      <c r="D1248" t="s">
        <v>852</v>
      </c>
    </row>
    <row r="1249" spans="1:4" x14ac:dyDescent="0.25">
      <c r="A1249" s="143">
        <v>43236</v>
      </c>
      <c r="B1249">
        <v>144.63</v>
      </c>
      <c r="C1249">
        <v>3.1686589999999999</v>
      </c>
      <c r="D1249" t="s">
        <v>852</v>
      </c>
    </row>
    <row r="1250" spans="1:4" x14ac:dyDescent="0.25">
      <c r="A1250" s="143">
        <v>43237</v>
      </c>
      <c r="B1250">
        <v>144.5</v>
      </c>
      <c r="C1250">
        <v>3.147659</v>
      </c>
      <c r="D1250" t="s">
        <v>852</v>
      </c>
    </row>
    <row r="1251" spans="1:4" x14ac:dyDescent="0.25">
      <c r="A1251" s="143">
        <v>43238</v>
      </c>
      <c r="B1251">
        <v>144.08000000000001</v>
      </c>
      <c r="C1251">
        <v>2.6822430000000002</v>
      </c>
      <c r="D1251" t="s">
        <v>852</v>
      </c>
    </row>
    <row r="1252" spans="1:4" x14ac:dyDescent="0.25">
      <c r="A1252" s="143">
        <v>43241</v>
      </c>
      <c r="B1252">
        <v>145.49</v>
      </c>
      <c r="C1252">
        <v>2.894698</v>
      </c>
      <c r="D1252" t="s">
        <v>852</v>
      </c>
    </row>
    <row r="1253" spans="1:4" x14ac:dyDescent="0.25">
      <c r="A1253" s="143">
        <v>43242</v>
      </c>
      <c r="B1253">
        <v>145.09</v>
      </c>
      <c r="C1253">
        <v>2.2840199999999999</v>
      </c>
      <c r="D1253" t="s">
        <v>852</v>
      </c>
    </row>
    <row r="1254" spans="1:4" x14ac:dyDescent="0.25">
      <c r="A1254" s="143">
        <v>43243</v>
      </c>
      <c r="B1254">
        <v>144.66999999999999</v>
      </c>
      <c r="C1254">
        <v>3.4597470000000001</v>
      </c>
      <c r="D1254" t="s">
        <v>852</v>
      </c>
    </row>
    <row r="1255" spans="1:4" x14ac:dyDescent="0.25">
      <c r="A1255" s="143">
        <v>43244</v>
      </c>
      <c r="B1255">
        <v>144.07</v>
      </c>
      <c r="C1255">
        <v>3.398701</v>
      </c>
      <c r="D1255" t="s">
        <v>852</v>
      </c>
    </row>
    <row r="1256" spans="1:4" x14ac:dyDescent="0.25">
      <c r="A1256" s="143">
        <v>43245</v>
      </c>
      <c r="B1256">
        <v>143.63999999999999</v>
      </c>
      <c r="C1256">
        <v>4.9142939999999999</v>
      </c>
      <c r="D1256" t="s">
        <v>852</v>
      </c>
    </row>
    <row r="1257" spans="1:4" x14ac:dyDescent="0.25">
      <c r="A1257" s="143">
        <v>43249</v>
      </c>
      <c r="B1257">
        <v>141.22</v>
      </c>
      <c r="C1257">
        <v>4.5376380000000003</v>
      </c>
      <c r="D1257" t="s">
        <v>852</v>
      </c>
    </row>
    <row r="1258" spans="1:4" x14ac:dyDescent="0.25">
      <c r="A1258" s="143">
        <v>43250</v>
      </c>
      <c r="B1258">
        <v>142.62</v>
      </c>
      <c r="C1258">
        <v>5.1185299999999998</v>
      </c>
      <c r="D1258" t="s">
        <v>852</v>
      </c>
    </row>
    <row r="1259" spans="1:4" x14ac:dyDescent="0.25">
      <c r="A1259" s="143">
        <v>43251</v>
      </c>
      <c r="B1259">
        <v>141.31</v>
      </c>
      <c r="C1259">
        <v>6.8302560000000003</v>
      </c>
      <c r="D1259" t="s">
        <v>852</v>
      </c>
    </row>
    <row r="1260" spans="1:4" x14ac:dyDescent="0.25">
      <c r="A1260" s="143">
        <v>43252</v>
      </c>
      <c r="B1260">
        <v>141.94999999999999</v>
      </c>
      <c r="C1260">
        <v>3.8575300000000001</v>
      </c>
      <c r="D1260" t="s">
        <v>852</v>
      </c>
    </row>
    <row r="1261" spans="1:4" x14ac:dyDescent="0.25">
      <c r="A1261" s="143">
        <v>43255</v>
      </c>
      <c r="B1261">
        <v>143.04</v>
      </c>
      <c r="C1261">
        <v>3.0352570000000001</v>
      </c>
      <c r="D1261" t="s">
        <v>852</v>
      </c>
    </row>
    <row r="1262" spans="1:4" x14ac:dyDescent="0.25">
      <c r="A1262" s="143">
        <v>43256</v>
      </c>
      <c r="B1262">
        <v>143.69999999999999</v>
      </c>
      <c r="C1262">
        <v>2.836017</v>
      </c>
      <c r="D1262" t="s">
        <v>852</v>
      </c>
    </row>
    <row r="1263" spans="1:4" x14ac:dyDescent="0.25">
      <c r="A1263" s="143">
        <v>43257</v>
      </c>
      <c r="B1263">
        <v>144.71</v>
      </c>
      <c r="C1263">
        <v>3.2201390000000001</v>
      </c>
      <c r="D1263" t="s">
        <v>852</v>
      </c>
    </row>
    <row r="1264" spans="1:4" x14ac:dyDescent="0.25">
      <c r="A1264" s="143">
        <v>43258</v>
      </c>
      <c r="B1264">
        <v>145.36000000000001</v>
      </c>
      <c r="C1264">
        <v>4.316484</v>
      </c>
      <c r="D1264" t="s">
        <v>852</v>
      </c>
    </row>
    <row r="1265" spans="1:4" x14ac:dyDescent="0.25">
      <c r="A1265" s="143">
        <v>43259</v>
      </c>
      <c r="B1265">
        <v>146.13999999999999</v>
      </c>
      <c r="C1265">
        <v>5.2104679999999997</v>
      </c>
      <c r="D1265" t="s">
        <v>852</v>
      </c>
    </row>
    <row r="1266" spans="1:4" x14ac:dyDescent="0.25">
      <c r="A1266" s="143">
        <v>43262</v>
      </c>
      <c r="B1266">
        <v>146.58000000000001</v>
      </c>
      <c r="C1266">
        <v>3.2599860000000001</v>
      </c>
      <c r="D1266" t="s">
        <v>852</v>
      </c>
    </row>
    <row r="1267" spans="1:4" x14ac:dyDescent="0.25">
      <c r="A1267" s="143">
        <v>43263</v>
      </c>
      <c r="B1267">
        <v>146.87</v>
      </c>
      <c r="C1267">
        <v>2.6405150000000002</v>
      </c>
      <c r="D1267" t="s">
        <v>852</v>
      </c>
    </row>
    <row r="1268" spans="1:4" x14ac:dyDescent="0.25">
      <c r="A1268" s="143">
        <v>43264</v>
      </c>
      <c r="B1268">
        <v>146.35</v>
      </c>
      <c r="C1268">
        <v>2.9681799999999998</v>
      </c>
      <c r="D1268" t="s">
        <v>852</v>
      </c>
    </row>
    <row r="1269" spans="1:4" x14ac:dyDescent="0.25">
      <c r="A1269" s="143">
        <v>43265</v>
      </c>
      <c r="B1269">
        <v>145.19999999999999</v>
      </c>
      <c r="C1269">
        <v>3.326343</v>
      </c>
      <c r="D1269" t="s">
        <v>852</v>
      </c>
    </row>
    <row r="1270" spans="1:4" x14ac:dyDescent="0.25">
      <c r="A1270" s="143">
        <v>43266</v>
      </c>
      <c r="B1270">
        <v>145.38999999999999</v>
      </c>
      <c r="C1270">
        <v>9.1160479999999993</v>
      </c>
      <c r="D1270" t="s">
        <v>852</v>
      </c>
    </row>
    <row r="1271" spans="1:4" x14ac:dyDescent="0.25">
      <c r="A1271" s="143">
        <v>43269</v>
      </c>
      <c r="B1271">
        <v>144.47999999999999</v>
      </c>
      <c r="C1271">
        <v>4.2864060000000004</v>
      </c>
      <c r="D1271" t="s">
        <v>852</v>
      </c>
    </row>
    <row r="1272" spans="1:4" x14ac:dyDescent="0.25">
      <c r="A1272" s="143">
        <v>43270</v>
      </c>
      <c r="B1272">
        <v>143.9</v>
      </c>
      <c r="C1272">
        <v>3.487015</v>
      </c>
      <c r="D1272" t="s">
        <v>852</v>
      </c>
    </row>
    <row r="1273" spans="1:4" x14ac:dyDescent="0.25">
      <c r="A1273" s="143">
        <v>43271</v>
      </c>
      <c r="B1273">
        <v>142.63</v>
      </c>
      <c r="C1273">
        <v>3.329917</v>
      </c>
      <c r="D1273" t="s">
        <v>852</v>
      </c>
    </row>
    <row r="1274" spans="1:4" x14ac:dyDescent="0.25">
      <c r="A1274" s="143">
        <v>43272</v>
      </c>
      <c r="B1274">
        <v>141.25</v>
      </c>
      <c r="C1274">
        <v>3.8876499999999998</v>
      </c>
      <c r="D1274" t="s">
        <v>852</v>
      </c>
    </row>
    <row r="1275" spans="1:4" x14ac:dyDescent="0.25">
      <c r="A1275" s="143">
        <v>43273</v>
      </c>
      <c r="B1275">
        <v>141.28</v>
      </c>
      <c r="C1275">
        <v>6.0136779999999996</v>
      </c>
      <c r="D1275" t="s">
        <v>852</v>
      </c>
    </row>
    <row r="1276" spans="1:4" x14ac:dyDescent="0.25">
      <c r="A1276" s="143">
        <v>43276</v>
      </c>
      <c r="B1276">
        <v>138.79</v>
      </c>
      <c r="C1276">
        <v>8.9370849999999997</v>
      </c>
      <c r="D1276" t="s">
        <v>852</v>
      </c>
    </row>
    <row r="1277" spans="1:4" x14ac:dyDescent="0.25">
      <c r="A1277" s="143">
        <v>43277</v>
      </c>
      <c r="B1277">
        <v>139.08000000000001</v>
      </c>
      <c r="C1277">
        <v>4.1394549999999999</v>
      </c>
      <c r="D1277" t="s">
        <v>852</v>
      </c>
    </row>
    <row r="1278" spans="1:4" x14ac:dyDescent="0.25">
      <c r="A1278" s="143">
        <v>43278</v>
      </c>
      <c r="B1278">
        <v>137.47999999999999</v>
      </c>
      <c r="C1278">
        <v>4.1018280000000003</v>
      </c>
      <c r="D1278" t="s">
        <v>852</v>
      </c>
    </row>
    <row r="1279" spans="1:4" x14ac:dyDescent="0.25">
      <c r="A1279" s="143">
        <v>43279</v>
      </c>
      <c r="B1279">
        <v>140.04</v>
      </c>
      <c r="C1279">
        <v>4.5236660000000004</v>
      </c>
      <c r="D1279" t="s">
        <v>852</v>
      </c>
    </row>
    <row r="1280" spans="1:4" x14ac:dyDescent="0.25">
      <c r="A1280" s="143">
        <v>43280</v>
      </c>
      <c r="B1280">
        <v>139.69999999999999</v>
      </c>
      <c r="C1280">
        <v>3.7536839999999998</v>
      </c>
      <c r="D1280" t="s">
        <v>852</v>
      </c>
    </row>
    <row r="1281" spans="1:4" x14ac:dyDescent="0.25">
      <c r="A1281" s="143">
        <v>43283</v>
      </c>
      <c r="B1281">
        <v>139.86000000000001</v>
      </c>
      <c r="C1281">
        <v>3.4056419999999998</v>
      </c>
      <c r="D1281" t="s">
        <v>852</v>
      </c>
    </row>
    <row r="1282" spans="1:4" x14ac:dyDescent="0.25">
      <c r="A1282" s="143">
        <v>43284</v>
      </c>
      <c r="B1282">
        <v>139.57</v>
      </c>
      <c r="C1282">
        <v>1.9632320000000001</v>
      </c>
      <c r="D1282" t="s">
        <v>852</v>
      </c>
    </row>
    <row r="1283" spans="1:4" x14ac:dyDescent="0.25">
      <c r="A1283" s="143">
        <v>43286</v>
      </c>
      <c r="B1283">
        <v>141.43</v>
      </c>
      <c r="C1283">
        <v>3.7447300000000001</v>
      </c>
      <c r="D1283" t="s">
        <v>852</v>
      </c>
    </row>
    <row r="1284" spans="1:4" x14ac:dyDescent="0.25">
      <c r="A1284" s="143">
        <v>43287</v>
      </c>
      <c r="B1284">
        <v>142.47999999999999</v>
      </c>
      <c r="C1284">
        <v>2.9104260000000002</v>
      </c>
      <c r="D1284" t="s">
        <v>852</v>
      </c>
    </row>
    <row r="1285" spans="1:4" x14ac:dyDescent="0.25">
      <c r="A1285" s="143">
        <v>43290</v>
      </c>
      <c r="B1285">
        <v>144.38999999999999</v>
      </c>
      <c r="C1285">
        <v>3.904652</v>
      </c>
      <c r="D1285" t="s">
        <v>852</v>
      </c>
    </row>
    <row r="1286" spans="1:4" x14ac:dyDescent="0.25">
      <c r="A1286" s="143">
        <v>43291</v>
      </c>
      <c r="B1286">
        <v>144.71</v>
      </c>
      <c r="C1286">
        <v>3.7769910000000002</v>
      </c>
      <c r="D1286" t="s">
        <v>852</v>
      </c>
    </row>
    <row r="1287" spans="1:4" x14ac:dyDescent="0.25">
      <c r="A1287" s="143">
        <v>43292</v>
      </c>
      <c r="B1287">
        <v>144.94</v>
      </c>
      <c r="C1287">
        <v>3.5265650000000002</v>
      </c>
      <c r="D1287" t="s">
        <v>852</v>
      </c>
    </row>
    <row r="1288" spans="1:4" x14ac:dyDescent="0.25">
      <c r="A1288" s="143">
        <v>43293</v>
      </c>
      <c r="B1288">
        <v>146.44999999999999</v>
      </c>
      <c r="C1288">
        <v>3.1195050000000002</v>
      </c>
      <c r="D1288" t="s">
        <v>852</v>
      </c>
    </row>
    <row r="1289" spans="1:4" x14ac:dyDescent="0.25">
      <c r="A1289" s="143">
        <v>43294</v>
      </c>
      <c r="B1289">
        <v>145.9</v>
      </c>
      <c r="C1289">
        <v>3.0676380000000001</v>
      </c>
      <c r="D1289" t="s">
        <v>852</v>
      </c>
    </row>
    <row r="1290" spans="1:4" x14ac:dyDescent="0.25">
      <c r="A1290" s="143">
        <v>43297</v>
      </c>
      <c r="B1290">
        <v>145.46</v>
      </c>
      <c r="C1290">
        <v>3.468817</v>
      </c>
      <c r="D1290" t="s">
        <v>852</v>
      </c>
    </row>
    <row r="1291" spans="1:4" x14ac:dyDescent="0.25">
      <c r="A1291" s="143">
        <v>43298</v>
      </c>
      <c r="B1291">
        <v>143.49</v>
      </c>
      <c r="C1291">
        <v>5.0967409999999997</v>
      </c>
      <c r="D1291" t="s">
        <v>852</v>
      </c>
    </row>
    <row r="1292" spans="1:4" x14ac:dyDescent="0.25">
      <c r="A1292" s="143">
        <v>43299</v>
      </c>
      <c r="B1292">
        <v>144.52000000000001</v>
      </c>
      <c r="C1292">
        <v>6.9352879999999999</v>
      </c>
      <c r="D1292" t="s">
        <v>852</v>
      </c>
    </row>
    <row r="1293" spans="1:4" x14ac:dyDescent="0.25">
      <c r="A1293" s="143">
        <v>43300</v>
      </c>
      <c r="B1293">
        <v>149.24</v>
      </c>
      <c r="C1293">
        <v>14.655804</v>
      </c>
      <c r="D1293" t="s">
        <v>852</v>
      </c>
    </row>
    <row r="1294" spans="1:4" x14ac:dyDescent="0.25">
      <c r="A1294" s="143">
        <v>43301</v>
      </c>
      <c r="B1294">
        <v>146.35</v>
      </c>
      <c r="C1294">
        <v>6.415972</v>
      </c>
      <c r="D1294" t="s">
        <v>852</v>
      </c>
    </row>
    <row r="1295" spans="1:4" x14ac:dyDescent="0.25">
      <c r="A1295" s="143">
        <v>43304</v>
      </c>
      <c r="B1295">
        <v>145.69999999999999</v>
      </c>
      <c r="C1295">
        <v>3.8978920000000001</v>
      </c>
      <c r="D1295" t="s">
        <v>852</v>
      </c>
    </row>
    <row r="1296" spans="1:4" x14ac:dyDescent="0.25">
      <c r="A1296" s="143">
        <v>43305</v>
      </c>
      <c r="B1296">
        <v>146.38</v>
      </c>
      <c r="C1296">
        <v>3.8916249999999999</v>
      </c>
      <c r="D1296" t="s">
        <v>852</v>
      </c>
    </row>
    <row r="1297" spans="1:4" x14ac:dyDescent="0.25">
      <c r="A1297" s="143">
        <v>43306</v>
      </c>
      <c r="B1297">
        <v>146.62</v>
      </c>
      <c r="C1297">
        <v>3.6231819999999999</v>
      </c>
      <c r="D1297" t="s">
        <v>852</v>
      </c>
    </row>
    <row r="1298" spans="1:4" x14ac:dyDescent="0.25">
      <c r="A1298" s="143">
        <v>43307</v>
      </c>
      <c r="B1298">
        <v>146.71</v>
      </c>
      <c r="C1298">
        <v>4.778022</v>
      </c>
      <c r="D1298" t="s">
        <v>852</v>
      </c>
    </row>
    <row r="1299" spans="1:4" x14ac:dyDescent="0.25">
      <c r="A1299" s="143">
        <v>43308</v>
      </c>
      <c r="B1299">
        <v>145.15</v>
      </c>
      <c r="C1299">
        <v>3.7496420000000001</v>
      </c>
      <c r="D1299" t="s">
        <v>852</v>
      </c>
    </row>
    <row r="1300" spans="1:4" x14ac:dyDescent="0.25">
      <c r="A1300" s="143">
        <v>43311</v>
      </c>
      <c r="B1300">
        <v>145.49</v>
      </c>
      <c r="C1300">
        <v>3.6082830000000001</v>
      </c>
      <c r="D1300" t="s">
        <v>852</v>
      </c>
    </row>
    <row r="1301" spans="1:4" x14ac:dyDescent="0.25">
      <c r="A1301" s="143">
        <v>43312</v>
      </c>
      <c r="B1301">
        <v>144.93</v>
      </c>
      <c r="C1301">
        <v>5.4744780000000004</v>
      </c>
      <c r="D1301" t="s">
        <v>852</v>
      </c>
    </row>
    <row r="1302" spans="1:4" x14ac:dyDescent="0.25">
      <c r="A1302" s="143">
        <v>43313</v>
      </c>
      <c r="B1302">
        <v>143.5</v>
      </c>
      <c r="C1302">
        <v>3.3883860000000001</v>
      </c>
      <c r="D1302" t="s">
        <v>852</v>
      </c>
    </row>
    <row r="1303" spans="1:4" x14ac:dyDescent="0.25">
      <c r="A1303" s="143">
        <v>43314</v>
      </c>
      <c r="B1303">
        <v>142.96</v>
      </c>
      <c r="C1303">
        <v>3.8414470000000001</v>
      </c>
      <c r="D1303" t="s">
        <v>852</v>
      </c>
    </row>
    <row r="1304" spans="1:4" x14ac:dyDescent="0.25">
      <c r="A1304" s="143">
        <v>43315</v>
      </c>
      <c r="B1304">
        <v>147.69999999999999</v>
      </c>
      <c r="C1304">
        <v>8.0535669999999993</v>
      </c>
      <c r="D1304" t="s">
        <v>852</v>
      </c>
    </row>
    <row r="1305" spans="1:4" x14ac:dyDescent="0.25">
      <c r="A1305" s="143">
        <v>43318</v>
      </c>
      <c r="B1305">
        <v>146.03</v>
      </c>
      <c r="C1305">
        <v>3.9137430000000002</v>
      </c>
      <c r="D1305" t="s">
        <v>852</v>
      </c>
    </row>
    <row r="1306" spans="1:4" x14ac:dyDescent="0.25">
      <c r="A1306" s="143">
        <v>43319</v>
      </c>
      <c r="B1306">
        <v>147.01</v>
      </c>
      <c r="C1306">
        <v>3.5087579999999998</v>
      </c>
      <c r="D1306" t="s">
        <v>852</v>
      </c>
    </row>
    <row r="1307" spans="1:4" x14ac:dyDescent="0.25">
      <c r="A1307" s="143">
        <v>43320</v>
      </c>
      <c r="B1307">
        <v>146.88999999999999</v>
      </c>
      <c r="C1307">
        <v>3.5817459999999999</v>
      </c>
      <c r="D1307" t="s">
        <v>852</v>
      </c>
    </row>
    <row r="1308" spans="1:4" x14ac:dyDescent="0.25">
      <c r="A1308" s="143">
        <v>43321</v>
      </c>
      <c r="B1308">
        <v>144.77000000000001</v>
      </c>
      <c r="C1308">
        <v>3.0935039999999998</v>
      </c>
      <c r="D1308" t="s">
        <v>852</v>
      </c>
    </row>
    <row r="1309" spans="1:4" x14ac:dyDescent="0.25">
      <c r="A1309" s="143">
        <v>43322</v>
      </c>
      <c r="B1309">
        <v>144.47999999999999</v>
      </c>
      <c r="C1309">
        <v>3.003158</v>
      </c>
      <c r="D1309" t="s">
        <v>852</v>
      </c>
    </row>
    <row r="1310" spans="1:4" x14ac:dyDescent="0.25">
      <c r="A1310" s="143">
        <v>43325</v>
      </c>
      <c r="B1310">
        <v>142.71</v>
      </c>
      <c r="C1310">
        <v>2.8588420000000001</v>
      </c>
      <c r="D1310" t="s">
        <v>852</v>
      </c>
    </row>
    <row r="1311" spans="1:4" x14ac:dyDescent="0.25">
      <c r="A1311" s="143">
        <v>43326</v>
      </c>
      <c r="B1311">
        <v>143.36000000000001</v>
      </c>
      <c r="C1311">
        <v>2.8600409999999998</v>
      </c>
      <c r="D1311" t="s">
        <v>852</v>
      </c>
    </row>
    <row r="1312" spans="1:4" x14ac:dyDescent="0.25">
      <c r="A1312" s="143">
        <v>43327</v>
      </c>
      <c r="B1312">
        <v>143.91</v>
      </c>
      <c r="C1312">
        <v>4.2414959999999997</v>
      </c>
      <c r="D1312" t="s">
        <v>852</v>
      </c>
    </row>
    <row r="1313" spans="1:4" x14ac:dyDescent="0.25">
      <c r="A1313" s="143">
        <v>43328</v>
      </c>
      <c r="B1313">
        <v>145.34</v>
      </c>
      <c r="C1313">
        <v>5.2508780000000002</v>
      </c>
      <c r="D1313" t="s">
        <v>852</v>
      </c>
    </row>
    <row r="1314" spans="1:4" x14ac:dyDescent="0.25">
      <c r="A1314" s="143">
        <v>43329</v>
      </c>
      <c r="B1314">
        <v>146.06</v>
      </c>
      <c r="C1314">
        <v>2.67882</v>
      </c>
      <c r="D1314" t="s">
        <v>852</v>
      </c>
    </row>
    <row r="1315" spans="1:4" x14ac:dyDescent="0.25">
      <c r="A1315" s="143">
        <v>43332</v>
      </c>
      <c r="B1315">
        <v>146.51</v>
      </c>
      <c r="C1315">
        <v>2.499654</v>
      </c>
      <c r="D1315" t="s">
        <v>852</v>
      </c>
    </row>
    <row r="1316" spans="1:4" x14ac:dyDescent="0.25">
      <c r="A1316" s="143">
        <v>43333</v>
      </c>
      <c r="B1316">
        <v>145.97</v>
      </c>
      <c r="C1316">
        <v>3.1068760000000002</v>
      </c>
      <c r="D1316" t="s">
        <v>852</v>
      </c>
    </row>
    <row r="1317" spans="1:4" x14ac:dyDescent="0.25">
      <c r="A1317" s="143">
        <v>43334</v>
      </c>
      <c r="B1317">
        <v>145.24</v>
      </c>
      <c r="C1317">
        <v>2.3889610000000001</v>
      </c>
      <c r="D1317" t="s">
        <v>852</v>
      </c>
    </row>
    <row r="1318" spans="1:4" x14ac:dyDescent="0.25">
      <c r="A1318" s="143">
        <v>43335</v>
      </c>
      <c r="B1318">
        <v>145.37</v>
      </c>
      <c r="C1318">
        <v>2.2206030000000001</v>
      </c>
      <c r="D1318" t="s">
        <v>852</v>
      </c>
    </row>
    <row r="1319" spans="1:4" x14ac:dyDescent="0.25">
      <c r="A1319" s="143">
        <v>43336</v>
      </c>
      <c r="B1319">
        <v>146.04</v>
      </c>
      <c r="C1319">
        <v>2.7768130000000002</v>
      </c>
      <c r="D1319" t="s">
        <v>852</v>
      </c>
    </row>
    <row r="1320" spans="1:4" x14ac:dyDescent="0.25">
      <c r="A1320" s="143">
        <v>43339</v>
      </c>
      <c r="B1320">
        <v>146.69</v>
      </c>
      <c r="C1320">
        <v>3.491565</v>
      </c>
      <c r="D1320" t="s">
        <v>852</v>
      </c>
    </row>
    <row r="1321" spans="1:4" x14ac:dyDescent="0.25">
      <c r="A1321" s="143">
        <v>43340</v>
      </c>
      <c r="B1321">
        <v>146.59</v>
      </c>
      <c r="C1321">
        <v>2.4553280000000002</v>
      </c>
      <c r="D1321" t="s">
        <v>852</v>
      </c>
    </row>
    <row r="1322" spans="1:4" x14ac:dyDescent="0.25">
      <c r="A1322" s="143">
        <v>43341</v>
      </c>
      <c r="B1322">
        <v>147.54</v>
      </c>
      <c r="C1322">
        <v>3.153845</v>
      </c>
      <c r="D1322" t="s">
        <v>852</v>
      </c>
    </row>
    <row r="1323" spans="1:4" x14ac:dyDescent="0.25">
      <c r="A1323" s="143">
        <v>43342</v>
      </c>
      <c r="B1323">
        <v>145.93</v>
      </c>
      <c r="C1323">
        <v>3.3403689999999999</v>
      </c>
      <c r="D1323" t="s">
        <v>852</v>
      </c>
    </row>
    <row r="1324" spans="1:4" x14ac:dyDescent="0.25">
      <c r="A1324" s="143">
        <v>43343</v>
      </c>
      <c r="B1324">
        <v>146.47999999999999</v>
      </c>
      <c r="C1324">
        <v>3.4884759999999999</v>
      </c>
      <c r="D1324" t="s">
        <v>852</v>
      </c>
    </row>
    <row r="1325" spans="1:4" x14ac:dyDescent="0.25">
      <c r="A1325" s="143">
        <v>43347</v>
      </c>
      <c r="B1325">
        <v>145.68</v>
      </c>
      <c r="C1325">
        <v>3.3261530000000001</v>
      </c>
      <c r="D1325" t="s">
        <v>852</v>
      </c>
    </row>
    <row r="1326" spans="1:4" x14ac:dyDescent="0.25">
      <c r="A1326" s="143">
        <v>43348</v>
      </c>
      <c r="B1326">
        <v>146.66</v>
      </c>
      <c r="C1326">
        <v>3.1265399999999999</v>
      </c>
      <c r="D1326" t="s">
        <v>852</v>
      </c>
    </row>
    <row r="1327" spans="1:4" x14ac:dyDescent="0.25">
      <c r="A1327" s="143">
        <v>43349</v>
      </c>
      <c r="B1327">
        <v>146.38999999999999</v>
      </c>
      <c r="C1327">
        <v>4.248831</v>
      </c>
      <c r="D1327" t="s">
        <v>852</v>
      </c>
    </row>
    <row r="1328" spans="1:4" x14ac:dyDescent="0.25">
      <c r="A1328" s="143">
        <v>43350</v>
      </c>
      <c r="B1328">
        <v>145.44999999999999</v>
      </c>
      <c r="C1328">
        <v>4.6931269999999996</v>
      </c>
      <c r="D1328" t="s">
        <v>852</v>
      </c>
    </row>
    <row r="1329" spans="1:4" x14ac:dyDescent="0.25">
      <c r="A1329" s="143">
        <v>43353</v>
      </c>
      <c r="B1329">
        <v>145.65</v>
      </c>
      <c r="C1329">
        <v>3.6182919999999998</v>
      </c>
      <c r="D1329" t="s">
        <v>852</v>
      </c>
    </row>
    <row r="1330" spans="1:4" x14ac:dyDescent="0.25">
      <c r="A1330" s="143">
        <v>43354</v>
      </c>
      <c r="B1330">
        <v>146.49</v>
      </c>
      <c r="C1330">
        <v>3.3747739999999999</v>
      </c>
      <c r="D1330" t="s">
        <v>852</v>
      </c>
    </row>
    <row r="1331" spans="1:4" x14ac:dyDescent="0.25">
      <c r="A1331" s="143">
        <v>43355</v>
      </c>
      <c r="B1331">
        <v>146.57</v>
      </c>
      <c r="C1331">
        <v>4.5066790000000001</v>
      </c>
      <c r="D1331" t="s">
        <v>852</v>
      </c>
    </row>
    <row r="1332" spans="1:4" x14ac:dyDescent="0.25">
      <c r="A1332" s="143">
        <v>43356</v>
      </c>
      <c r="B1332">
        <v>148.94999999999999</v>
      </c>
      <c r="C1332">
        <v>5.3465400000000001</v>
      </c>
      <c r="D1332" t="s">
        <v>852</v>
      </c>
    </row>
    <row r="1333" spans="1:4" x14ac:dyDescent="0.25">
      <c r="A1333" s="143">
        <v>43357</v>
      </c>
      <c r="B1333">
        <v>148.33000000000001</v>
      </c>
      <c r="C1333">
        <v>3.4521440000000001</v>
      </c>
      <c r="D1333" t="s">
        <v>852</v>
      </c>
    </row>
    <row r="1334" spans="1:4" x14ac:dyDescent="0.25">
      <c r="A1334" s="143">
        <v>43360</v>
      </c>
      <c r="B1334">
        <v>147.94</v>
      </c>
      <c r="C1334">
        <v>3.551882</v>
      </c>
      <c r="D1334" t="s">
        <v>852</v>
      </c>
    </row>
    <row r="1335" spans="1:4" x14ac:dyDescent="0.25">
      <c r="A1335" s="143">
        <v>43361</v>
      </c>
      <c r="B1335">
        <v>148.56</v>
      </c>
      <c r="C1335">
        <v>3.6295959999999998</v>
      </c>
      <c r="D1335" t="s">
        <v>852</v>
      </c>
    </row>
    <row r="1336" spans="1:4" x14ac:dyDescent="0.25">
      <c r="A1336" s="143">
        <v>43362</v>
      </c>
      <c r="B1336">
        <v>149.06</v>
      </c>
      <c r="C1336">
        <v>4.2463819999999997</v>
      </c>
      <c r="D1336" t="s">
        <v>852</v>
      </c>
    </row>
    <row r="1337" spans="1:4" x14ac:dyDescent="0.25">
      <c r="A1337" s="143">
        <v>43363</v>
      </c>
      <c r="B1337">
        <v>151.15</v>
      </c>
      <c r="C1337">
        <v>5.952223</v>
      </c>
      <c r="D1337" t="s">
        <v>852</v>
      </c>
    </row>
    <row r="1338" spans="1:4" x14ac:dyDescent="0.25">
      <c r="A1338" s="143">
        <v>43364</v>
      </c>
      <c r="B1338">
        <v>151.35</v>
      </c>
      <c r="C1338">
        <v>19.947877999999999</v>
      </c>
      <c r="D1338" t="s">
        <v>852</v>
      </c>
    </row>
    <row r="1339" spans="1:4" x14ac:dyDescent="0.25">
      <c r="A1339" s="143">
        <v>43367</v>
      </c>
      <c r="B1339">
        <v>150.03</v>
      </c>
      <c r="C1339">
        <v>4.2649840000000001</v>
      </c>
      <c r="D1339" t="s">
        <v>852</v>
      </c>
    </row>
    <row r="1340" spans="1:4" x14ac:dyDescent="0.25">
      <c r="A1340" s="143">
        <v>43368</v>
      </c>
      <c r="B1340">
        <v>148.91</v>
      </c>
      <c r="C1340">
        <v>4.3974570000000002</v>
      </c>
      <c r="D1340" t="s">
        <v>852</v>
      </c>
    </row>
    <row r="1341" spans="1:4" x14ac:dyDescent="0.25">
      <c r="A1341" s="143">
        <v>43369</v>
      </c>
      <c r="B1341">
        <v>151.61000000000001</v>
      </c>
      <c r="C1341">
        <v>7.4018620000000004</v>
      </c>
      <c r="D1341" t="s">
        <v>852</v>
      </c>
    </row>
    <row r="1342" spans="1:4" x14ac:dyDescent="0.25">
      <c r="A1342" s="143">
        <v>43370</v>
      </c>
      <c r="B1342">
        <v>151.5</v>
      </c>
      <c r="C1342">
        <v>3.477643</v>
      </c>
      <c r="D1342" t="s">
        <v>852</v>
      </c>
    </row>
    <row r="1343" spans="1:4" x14ac:dyDescent="0.25">
      <c r="A1343" s="143">
        <v>43371</v>
      </c>
      <c r="B1343">
        <v>151.21</v>
      </c>
      <c r="C1343">
        <v>3.3057979999999998</v>
      </c>
      <c r="D1343" t="s">
        <v>852</v>
      </c>
    </row>
    <row r="1344" spans="1:4" x14ac:dyDescent="0.25">
      <c r="A1344" s="143">
        <v>43374</v>
      </c>
      <c r="B1344">
        <v>153</v>
      </c>
      <c r="C1344">
        <v>3.7574190000000001</v>
      </c>
      <c r="D1344" t="s">
        <v>852</v>
      </c>
    </row>
    <row r="1345" spans="1:4" x14ac:dyDescent="0.25">
      <c r="A1345" s="143">
        <v>43375</v>
      </c>
      <c r="B1345">
        <v>153.75</v>
      </c>
      <c r="C1345">
        <v>3.030125</v>
      </c>
      <c r="D1345" t="s">
        <v>852</v>
      </c>
    </row>
    <row r="1346" spans="1:4" x14ac:dyDescent="0.25">
      <c r="A1346" s="143">
        <v>43376</v>
      </c>
      <c r="B1346">
        <v>153.22</v>
      </c>
      <c r="C1346">
        <v>3.3152979999999999</v>
      </c>
      <c r="D1346" t="s">
        <v>852</v>
      </c>
    </row>
    <row r="1347" spans="1:4" x14ac:dyDescent="0.25">
      <c r="A1347" s="143">
        <v>43377</v>
      </c>
      <c r="B1347">
        <v>151.31</v>
      </c>
      <c r="C1347">
        <v>4.238143</v>
      </c>
      <c r="D1347" t="s">
        <v>852</v>
      </c>
    </row>
    <row r="1348" spans="1:4" x14ac:dyDescent="0.25">
      <c r="A1348" s="143">
        <v>43378</v>
      </c>
      <c r="B1348">
        <v>149.03</v>
      </c>
      <c r="C1348">
        <v>4.602252</v>
      </c>
      <c r="D1348" t="s">
        <v>852</v>
      </c>
    </row>
    <row r="1349" spans="1:4" x14ac:dyDescent="0.25">
      <c r="A1349" s="143">
        <v>43381</v>
      </c>
      <c r="B1349">
        <v>148.38999999999999</v>
      </c>
      <c r="C1349">
        <v>3.239347</v>
      </c>
      <c r="D1349" t="s">
        <v>852</v>
      </c>
    </row>
    <row r="1350" spans="1:4" x14ac:dyDescent="0.25">
      <c r="A1350" s="143">
        <v>43382</v>
      </c>
      <c r="B1350">
        <v>147.24</v>
      </c>
      <c r="C1350">
        <v>3.642496</v>
      </c>
      <c r="D1350" t="s">
        <v>852</v>
      </c>
    </row>
    <row r="1351" spans="1:4" x14ac:dyDescent="0.25">
      <c r="A1351" s="143">
        <v>43383</v>
      </c>
      <c r="B1351">
        <v>142.69</v>
      </c>
      <c r="C1351">
        <v>5.5476970000000003</v>
      </c>
      <c r="D1351" t="s">
        <v>852</v>
      </c>
    </row>
    <row r="1352" spans="1:4" x14ac:dyDescent="0.25">
      <c r="A1352" s="143">
        <v>43384</v>
      </c>
      <c r="B1352">
        <v>139.02000000000001</v>
      </c>
      <c r="C1352">
        <v>8.7104909999999993</v>
      </c>
      <c r="D1352" t="s">
        <v>852</v>
      </c>
    </row>
    <row r="1353" spans="1:4" x14ac:dyDescent="0.25">
      <c r="A1353" s="143">
        <v>43385</v>
      </c>
      <c r="B1353">
        <v>140.85</v>
      </c>
      <c r="C1353">
        <v>6.5634030000000001</v>
      </c>
      <c r="D1353" t="s">
        <v>852</v>
      </c>
    </row>
    <row r="1354" spans="1:4" x14ac:dyDescent="0.25">
      <c r="A1354" s="143">
        <v>43388</v>
      </c>
      <c r="B1354">
        <v>141.13</v>
      </c>
      <c r="C1354">
        <v>4.9655329999999998</v>
      </c>
      <c r="D1354" t="s">
        <v>852</v>
      </c>
    </row>
    <row r="1355" spans="1:4" x14ac:dyDescent="0.25">
      <c r="A1355" s="143">
        <v>43389</v>
      </c>
      <c r="B1355">
        <v>145.12</v>
      </c>
      <c r="C1355">
        <v>8.6954890000000002</v>
      </c>
      <c r="D1355" t="s">
        <v>852</v>
      </c>
    </row>
    <row r="1356" spans="1:4" x14ac:dyDescent="0.25">
      <c r="A1356" s="143">
        <v>43390</v>
      </c>
      <c r="B1356">
        <v>134.05000000000001</v>
      </c>
      <c r="C1356">
        <v>19.463961999999999</v>
      </c>
      <c r="D1356" t="s">
        <v>852</v>
      </c>
    </row>
    <row r="1357" spans="1:4" x14ac:dyDescent="0.25">
      <c r="A1357" s="143">
        <v>43391</v>
      </c>
      <c r="B1357">
        <v>130.55000000000001</v>
      </c>
      <c r="C1357">
        <v>10.011678</v>
      </c>
      <c r="D1357" t="s">
        <v>852</v>
      </c>
    </row>
    <row r="1358" spans="1:4" x14ac:dyDescent="0.25">
      <c r="A1358" s="143">
        <v>43392</v>
      </c>
      <c r="B1358">
        <v>129.1</v>
      </c>
      <c r="C1358">
        <v>7.7916359999999996</v>
      </c>
      <c r="D1358" t="s">
        <v>852</v>
      </c>
    </row>
    <row r="1359" spans="1:4" x14ac:dyDescent="0.25">
      <c r="A1359" s="143">
        <v>43395</v>
      </c>
      <c r="B1359">
        <v>130.02000000000001</v>
      </c>
      <c r="C1359">
        <v>5.7195179999999999</v>
      </c>
      <c r="D1359" t="s">
        <v>852</v>
      </c>
    </row>
    <row r="1360" spans="1:4" x14ac:dyDescent="0.25">
      <c r="A1360" s="143">
        <v>43396</v>
      </c>
      <c r="B1360">
        <v>131.21</v>
      </c>
      <c r="C1360">
        <v>6.4635800000000003</v>
      </c>
      <c r="D1360" t="s">
        <v>852</v>
      </c>
    </row>
    <row r="1361" spans="1:4" x14ac:dyDescent="0.25">
      <c r="A1361" s="143">
        <v>43397</v>
      </c>
      <c r="B1361">
        <v>127.21</v>
      </c>
      <c r="C1361">
        <v>5.7103200000000003</v>
      </c>
      <c r="D1361" t="s">
        <v>852</v>
      </c>
    </row>
    <row r="1362" spans="1:4" x14ac:dyDescent="0.25">
      <c r="A1362" s="143">
        <v>43398</v>
      </c>
      <c r="B1362">
        <v>126.45</v>
      </c>
      <c r="C1362">
        <v>10.304327000000001</v>
      </c>
      <c r="D1362" t="s">
        <v>852</v>
      </c>
    </row>
    <row r="1363" spans="1:4" x14ac:dyDescent="0.25">
      <c r="A1363" s="143">
        <v>43399</v>
      </c>
      <c r="B1363">
        <v>124.79</v>
      </c>
      <c r="C1363">
        <v>8.7670290000000008</v>
      </c>
      <c r="D1363" t="s">
        <v>852</v>
      </c>
    </row>
    <row r="1364" spans="1:4" x14ac:dyDescent="0.25">
      <c r="A1364" s="143">
        <v>43402</v>
      </c>
      <c r="B1364">
        <v>119.64</v>
      </c>
      <c r="C1364">
        <v>20.450448000000002</v>
      </c>
      <c r="D1364" t="s">
        <v>852</v>
      </c>
    </row>
    <row r="1365" spans="1:4" x14ac:dyDescent="0.25">
      <c r="A1365" s="143">
        <v>43403</v>
      </c>
      <c r="B1365">
        <v>115.4</v>
      </c>
      <c r="C1365">
        <v>21.458594000000002</v>
      </c>
      <c r="D1365" t="s">
        <v>852</v>
      </c>
    </row>
    <row r="1366" spans="1:4" x14ac:dyDescent="0.25">
      <c r="A1366" s="143">
        <v>43404</v>
      </c>
      <c r="B1366">
        <v>115.43</v>
      </c>
      <c r="C1366">
        <v>21.644977999999998</v>
      </c>
      <c r="D1366" t="s">
        <v>852</v>
      </c>
    </row>
    <row r="1367" spans="1:4" x14ac:dyDescent="0.25">
      <c r="A1367" s="143">
        <v>43405</v>
      </c>
      <c r="B1367">
        <v>116.83</v>
      </c>
      <c r="C1367">
        <v>13.62673</v>
      </c>
      <c r="D1367" t="s">
        <v>852</v>
      </c>
    </row>
    <row r="1368" spans="1:4" x14ac:dyDescent="0.25">
      <c r="A1368" s="143">
        <v>43406</v>
      </c>
      <c r="B1368">
        <v>115.67</v>
      </c>
      <c r="C1368">
        <v>10.592681000000001</v>
      </c>
      <c r="D1368" t="s">
        <v>852</v>
      </c>
    </row>
    <row r="1369" spans="1:4" x14ac:dyDescent="0.25">
      <c r="A1369" s="143">
        <v>43409</v>
      </c>
      <c r="B1369">
        <v>120.06</v>
      </c>
      <c r="C1369">
        <v>9.1445980000000002</v>
      </c>
      <c r="D1369" t="s">
        <v>852</v>
      </c>
    </row>
    <row r="1370" spans="1:4" x14ac:dyDescent="0.25">
      <c r="A1370" s="143">
        <v>43410</v>
      </c>
      <c r="B1370">
        <v>123.12</v>
      </c>
      <c r="C1370">
        <v>9.5973919999999993</v>
      </c>
      <c r="D1370" t="s">
        <v>852</v>
      </c>
    </row>
    <row r="1371" spans="1:4" x14ac:dyDescent="0.25">
      <c r="A1371" s="143">
        <v>43411</v>
      </c>
      <c r="B1371">
        <v>124.84</v>
      </c>
      <c r="C1371">
        <v>12.382666</v>
      </c>
      <c r="D1371" t="s">
        <v>852</v>
      </c>
    </row>
    <row r="1372" spans="1:4" x14ac:dyDescent="0.25">
      <c r="A1372" s="143">
        <v>43412</v>
      </c>
      <c r="B1372">
        <v>123.38</v>
      </c>
      <c r="C1372">
        <v>10.396439000000001</v>
      </c>
      <c r="D1372" t="s">
        <v>852</v>
      </c>
    </row>
    <row r="1373" spans="1:4" x14ac:dyDescent="0.25">
      <c r="A1373" s="143">
        <v>43413</v>
      </c>
      <c r="B1373">
        <v>123.54</v>
      </c>
      <c r="C1373">
        <v>6.9619020000000003</v>
      </c>
      <c r="D1373" t="s">
        <v>852</v>
      </c>
    </row>
    <row r="1374" spans="1:4" x14ac:dyDescent="0.25">
      <c r="A1374" s="143">
        <v>43416</v>
      </c>
      <c r="B1374">
        <v>120.9</v>
      </c>
      <c r="C1374">
        <v>5.3791130000000003</v>
      </c>
      <c r="D1374" t="s">
        <v>852</v>
      </c>
    </row>
    <row r="1375" spans="1:4" x14ac:dyDescent="0.25">
      <c r="A1375" s="143">
        <v>43417</v>
      </c>
      <c r="B1375">
        <v>120.84</v>
      </c>
      <c r="C1375">
        <v>4.0843850000000002</v>
      </c>
      <c r="D1375" t="s">
        <v>852</v>
      </c>
    </row>
    <row r="1376" spans="1:4" x14ac:dyDescent="0.25">
      <c r="A1376" s="143">
        <v>43418</v>
      </c>
      <c r="B1376">
        <v>120.2</v>
      </c>
      <c r="C1376">
        <v>4.7622749999999998</v>
      </c>
      <c r="D1376" t="s">
        <v>852</v>
      </c>
    </row>
    <row r="1377" spans="1:4" x14ac:dyDescent="0.25">
      <c r="A1377" s="143">
        <v>43419</v>
      </c>
      <c r="B1377">
        <v>121.44</v>
      </c>
      <c r="C1377">
        <v>5.207973</v>
      </c>
      <c r="D1377" t="s">
        <v>852</v>
      </c>
    </row>
    <row r="1378" spans="1:4" x14ac:dyDescent="0.25">
      <c r="A1378" s="143">
        <v>43420</v>
      </c>
      <c r="B1378">
        <v>121.57</v>
      </c>
      <c r="C1378">
        <v>4.0763150000000001</v>
      </c>
      <c r="D1378" t="s">
        <v>852</v>
      </c>
    </row>
    <row r="1379" spans="1:4" x14ac:dyDescent="0.25">
      <c r="A1379" s="143">
        <v>43423</v>
      </c>
      <c r="B1379">
        <v>120.31</v>
      </c>
      <c r="C1379">
        <v>4.1312379999999997</v>
      </c>
      <c r="D1379" t="s">
        <v>852</v>
      </c>
    </row>
    <row r="1380" spans="1:4" x14ac:dyDescent="0.25">
      <c r="A1380" s="143">
        <v>43424</v>
      </c>
      <c r="B1380">
        <v>117.2</v>
      </c>
      <c r="C1380">
        <v>6.2337769999999999</v>
      </c>
      <c r="D1380" t="s">
        <v>852</v>
      </c>
    </row>
    <row r="1381" spans="1:4" x14ac:dyDescent="0.25">
      <c r="A1381" s="143">
        <v>43425</v>
      </c>
      <c r="B1381">
        <v>118.57</v>
      </c>
      <c r="C1381">
        <v>5.3358420000000004</v>
      </c>
      <c r="D1381" t="s">
        <v>852</v>
      </c>
    </row>
    <row r="1382" spans="1:4" x14ac:dyDescent="0.25">
      <c r="A1382" s="143">
        <v>43427</v>
      </c>
      <c r="B1382">
        <v>117.19</v>
      </c>
      <c r="C1382">
        <v>2.33473</v>
      </c>
      <c r="D1382" t="s">
        <v>852</v>
      </c>
    </row>
    <row r="1383" spans="1:4" x14ac:dyDescent="0.25">
      <c r="A1383" s="143">
        <v>43430</v>
      </c>
      <c r="B1383">
        <v>119.56</v>
      </c>
      <c r="C1383">
        <v>5.0111299999999996</v>
      </c>
      <c r="D1383" t="s">
        <v>852</v>
      </c>
    </row>
    <row r="1384" spans="1:4" x14ac:dyDescent="0.25">
      <c r="A1384" s="143">
        <v>43431</v>
      </c>
      <c r="B1384">
        <v>120.03</v>
      </c>
      <c r="C1384">
        <v>4.9037709999999999</v>
      </c>
      <c r="D1384" t="s">
        <v>852</v>
      </c>
    </row>
    <row r="1385" spans="1:4" x14ac:dyDescent="0.25">
      <c r="A1385" s="143">
        <v>43432</v>
      </c>
      <c r="B1385">
        <v>123</v>
      </c>
      <c r="C1385">
        <v>5.1045199999999999</v>
      </c>
      <c r="D1385" t="s">
        <v>852</v>
      </c>
    </row>
    <row r="1386" spans="1:4" x14ac:dyDescent="0.25">
      <c r="A1386" s="143">
        <v>43433</v>
      </c>
      <c r="B1386">
        <v>121.48</v>
      </c>
      <c r="C1386">
        <v>5.200113</v>
      </c>
      <c r="D1386" t="s">
        <v>852</v>
      </c>
    </row>
    <row r="1387" spans="1:4" x14ac:dyDescent="0.25">
      <c r="A1387" s="143">
        <v>43434</v>
      </c>
      <c r="B1387">
        <v>124.27</v>
      </c>
      <c r="C1387">
        <v>7.2515900000000002</v>
      </c>
      <c r="D1387" t="s">
        <v>852</v>
      </c>
    </row>
    <row r="1388" spans="1:4" x14ac:dyDescent="0.25">
      <c r="A1388" s="143">
        <v>43437</v>
      </c>
      <c r="B1388">
        <v>125.31</v>
      </c>
      <c r="C1388">
        <v>5.8431119999999996</v>
      </c>
      <c r="D1388" t="s">
        <v>852</v>
      </c>
    </row>
    <row r="1389" spans="1:4" x14ac:dyDescent="0.25">
      <c r="A1389" s="143">
        <v>43438</v>
      </c>
      <c r="B1389">
        <v>121.6</v>
      </c>
      <c r="C1389">
        <v>6.0006969999999997</v>
      </c>
      <c r="D1389" t="s">
        <v>852</v>
      </c>
    </row>
    <row r="1390" spans="1:4" x14ac:dyDescent="0.25">
      <c r="A1390" s="143">
        <v>43440</v>
      </c>
      <c r="B1390">
        <v>123.91</v>
      </c>
      <c r="C1390">
        <v>6.9380490000000004</v>
      </c>
      <c r="D1390" t="s">
        <v>852</v>
      </c>
    </row>
    <row r="1391" spans="1:4" x14ac:dyDescent="0.25">
      <c r="A1391" s="143">
        <v>43441</v>
      </c>
      <c r="B1391">
        <v>119.34</v>
      </c>
      <c r="C1391">
        <v>7.0196160000000001</v>
      </c>
      <c r="D1391" t="s">
        <v>852</v>
      </c>
    </row>
    <row r="1392" spans="1:4" x14ac:dyDescent="0.25">
      <c r="A1392" s="143">
        <v>43444</v>
      </c>
      <c r="B1392">
        <v>121.13</v>
      </c>
      <c r="C1392">
        <v>6.549506</v>
      </c>
      <c r="D1392" t="s">
        <v>852</v>
      </c>
    </row>
    <row r="1393" spans="1:4" x14ac:dyDescent="0.25">
      <c r="A1393" s="143">
        <v>43445</v>
      </c>
      <c r="B1393">
        <v>120.89</v>
      </c>
      <c r="C1393">
        <v>5.0430809999999999</v>
      </c>
      <c r="D1393" t="s">
        <v>852</v>
      </c>
    </row>
    <row r="1394" spans="1:4" x14ac:dyDescent="0.25">
      <c r="A1394" s="143">
        <v>43446</v>
      </c>
      <c r="B1394">
        <v>121.16</v>
      </c>
      <c r="C1394">
        <v>3.5607899999999999</v>
      </c>
      <c r="D1394" t="s">
        <v>852</v>
      </c>
    </row>
    <row r="1395" spans="1:4" x14ac:dyDescent="0.25">
      <c r="A1395" s="143">
        <v>43447</v>
      </c>
      <c r="B1395">
        <v>120.73</v>
      </c>
      <c r="C1395">
        <v>3.9935969999999998</v>
      </c>
      <c r="D1395" t="s">
        <v>852</v>
      </c>
    </row>
    <row r="1396" spans="1:4" x14ac:dyDescent="0.25">
      <c r="A1396" s="143">
        <v>43448</v>
      </c>
      <c r="B1396">
        <v>119.9</v>
      </c>
      <c r="C1396">
        <v>4.5542040000000004</v>
      </c>
      <c r="D1396" t="s">
        <v>852</v>
      </c>
    </row>
    <row r="1397" spans="1:4" x14ac:dyDescent="0.25">
      <c r="A1397" s="143">
        <v>43451</v>
      </c>
      <c r="B1397">
        <v>116.1</v>
      </c>
      <c r="C1397">
        <v>7.3744759999999996</v>
      </c>
      <c r="D1397" t="s">
        <v>852</v>
      </c>
    </row>
    <row r="1398" spans="1:4" x14ac:dyDescent="0.25">
      <c r="A1398" s="143">
        <v>43452</v>
      </c>
      <c r="B1398">
        <v>116.65</v>
      </c>
      <c r="C1398">
        <v>6.2901860000000003</v>
      </c>
      <c r="D1398" t="s">
        <v>852</v>
      </c>
    </row>
    <row r="1399" spans="1:4" x14ac:dyDescent="0.25">
      <c r="A1399" s="143">
        <v>43453</v>
      </c>
      <c r="B1399">
        <v>116.43</v>
      </c>
      <c r="C1399">
        <v>6.9798229999999997</v>
      </c>
      <c r="D1399" t="s">
        <v>852</v>
      </c>
    </row>
    <row r="1400" spans="1:4" x14ac:dyDescent="0.25">
      <c r="A1400" s="143">
        <v>43454</v>
      </c>
      <c r="B1400">
        <v>113.02</v>
      </c>
      <c r="C1400">
        <v>8.4543499999999998</v>
      </c>
      <c r="D1400" t="s">
        <v>852</v>
      </c>
    </row>
    <row r="1401" spans="1:4" x14ac:dyDescent="0.25">
      <c r="A1401" s="143">
        <v>43455</v>
      </c>
      <c r="B1401">
        <v>110.94</v>
      </c>
      <c r="C1401">
        <v>10.386452999999999</v>
      </c>
      <c r="D1401" t="s">
        <v>852</v>
      </c>
    </row>
    <row r="1402" spans="1:4" x14ac:dyDescent="0.25">
      <c r="A1402" s="143">
        <v>43458</v>
      </c>
      <c r="B1402">
        <v>107.57</v>
      </c>
      <c r="C1402">
        <v>3.8213759999999999</v>
      </c>
      <c r="D1402" t="s">
        <v>852</v>
      </c>
    </row>
    <row r="1403" spans="1:4" x14ac:dyDescent="0.25">
      <c r="A1403" s="143">
        <v>43460</v>
      </c>
      <c r="B1403">
        <v>111.39</v>
      </c>
      <c r="C1403">
        <v>6.6457940000000004</v>
      </c>
      <c r="D1403" t="s">
        <v>852</v>
      </c>
    </row>
    <row r="1404" spans="1:4" x14ac:dyDescent="0.25">
      <c r="A1404" s="143">
        <v>43461</v>
      </c>
      <c r="B1404">
        <v>113.78</v>
      </c>
      <c r="C1404">
        <v>6.0455899999999998</v>
      </c>
      <c r="D1404" t="s">
        <v>852</v>
      </c>
    </row>
    <row r="1405" spans="1:4" x14ac:dyDescent="0.25">
      <c r="A1405" s="143">
        <v>43462</v>
      </c>
      <c r="B1405">
        <v>113.03</v>
      </c>
      <c r="C1405">
        <v>5.1175329999999999</v>
      </c>
      <c r="D1405" t="s">
        <v>852</v>
      </c>
    </row>
    <row r="1406" spans="1:4" x14ac:dyDescent="0.25">
      <c r="A1406" s="143">
        <v>43465</v>
      </c>
      <c r="B1406">
        <v>113.67</v>
      </c>
      <c r="C1406">
        <v>4.982755</v>
      </c>
      <c r="D1406" t="s">
        <v>852</v>
      </c>
    </row>
    <row r="1407" spans="1:4" x14ac:dyDescent="0.25">
      <c r="A1407" s="143">
        <v>43467</v>
      </c>
      <c r="B1407">
        <v>115.21</v>
      </c>
      <c r="C1407">
        <v>4.2399240000000002</v>
      </c>
      <c r="D1407" t="s">
        <v>852</v>
      </c>
    </row>
    <row r="1408" spans="1:4" x14ac:dyDescent="0.25">
      <c r="A1408" s="143">
        <v>43468</v>
      </c>
      <c r="B1408">
        <v>112.91</v>
      </c>
      <c r="C1408">
        <v>4.3466589999999998</v>
      </c>
      <c r="D1408" t="s">
        <v>852</v>
      </c>
    </row>
    <row r="1409" spans="1:4" x14ac:dyDescent="0.25">
      <c r="A1409" s="143">
        <v>43469</v>
      </c>
      <c r="B1409">
        <v>117.32</v>
      </c>
      <c r="C1409">
        <v>4.4777550000000002</v>
      </c>
      <c r="D1409" t="s">
        <v>852</v>
      </c>
    </row>
    <row r="1410" spans="1:4" x14ac:dyDescent="0.25">
      <c r="A1410" s="143">
        <v>43472</v>
      </c>
      <c r="B1410">
        <v>118.15</v>
      </c>
      <c r="C1410">
        <v>3.751204</v>
      </c>
      <c r="D1410" t="s">
        <v>852</v>
      </c>
    </row>
    <row r="1411" spans="1:4" x14ac:dyDescent="0.25">
      <c r="A1411" s="143">
        <v>43473</v>
      </c>
      <c r="B1411">
        <v>119.83</v>
      </c>
      <c r="C1411">
        <v>4.763636</v>
      </c>
      <c r="D1411" t="s">
        <v>852</v>
      </c>
    </row>
    <row r="1412" spans="1:4" x14ac:dyDescent="0.25">
      <c r="A1412" s="143">
        <v>43474</v>
      </c>
      <c r="B1412">
        <v>120.69</v>
      </c>
      <c r="C1412">
        <v>3.6336629999999999</v>
      </c>
      <c r="D1412" t="s">
        <v>852</v>
      </c>
    </row>
    <row r="1413" spans="1:4" x14ac:dyDescent="0.25">
      <c r="A1413" s="143">
        <v>43475</v>
      </c>
      <c r="B1413">
        <v>121.79</v>
      </c>
      <c r="C1413">
        <v>3.9099710000000001</v>
      </c>
      <c r="D1413" t="s">
        <v>852</v>
      </c>
    </row>
    <row r="1414" spans="1:4" x14ac:dyDescent="0.25">
      <c r="A1414" s="143">
        <v>43476</v>
      </c>
      <c r="B1414">
        <v>121.46</v>
      </c>
      <c r="C1414">
        <v>3.7223700000000002</v>
      </c>
      <c r="D1414" t="s">
        <v>852</v>
      </c>
    </row>
    <row r="1415" spans="1:4" x14ac:dyDescent="0.25">
      <c r="A1415" s="143">
        <v>43479</v>
      </c>
      <c r="B1415">
        <v>120.39</v>
      </c>
      <c r="C1415">
        <v>5.2289089999999998</v>
      </c>
      <c r="D1415" t="s">
        <v>852</v>
      </c>
    </row>
    <row r="1416" spans="1:4" x14ac:dyDescent="0.25">
      <c r="A1416" s="143">
        <v>43480</v>
      </c>
      <c r="B1416">
        <v>121.73</v>
      </c>
      <c r="C1416">
        <v>3.5077189999999998</v>
      </c>
      <c r="D1416" t="s">
        <v>852</v>
      </c>
    </row>
    <row r="1417" spans="1:4" x14ac:dyDescent="0.25">
      <c r="A1417" s="143">
        <v>43481</v>
      </c>
      <c r="B1417">
        <v>121.62</v>
      </c>
      <c r="C1417">
        <v>3.8411</v>
      </c>
      <c r="D1417" t="s">
        <v>852</v>
      </c>
    </row>
    <row r="1418" spans="1:4" x14ac:dyDescent="0.25">
      <c r="A1418" s="143">
        <v>43482</v>
      </c>
      <c r="B1418">
        <v>122.19</v>
      </c>
      <c r="C1418">
        <v>5.029871</v>
      </c>
      <c r="D1418" t="s">
        <v>852</v>
      </c>
    </row>
    <row r="1419" spans="1:4" x14ac:dyDescent="0.25">
      <c r="A1419" s="143">
        <v>43483</v>
      </c>
      <c r="B1419">
        <v>123.82</v>
      </c>
      <c r="C1419">
        <v>6.0085090000000001</v>
      </c>
      <c r="D1419" t="s">
        <v>852</v>
      </c>
    </row>
    <row r="1420" spans="1:4" x14ac:dyDescent="0.25">
      <c r="A1420" s="143">
        <v>43487</v>
      </c>
      <c r="B1420">
        <v>122.52</v>
      </c>
      <c r="C1420">
        <v>10.052384</v>
      </c>
      <c r="D1420" t="s">
        <v>852</v>
      </c>
    </row>
    <row r="1421" spans="1:4" x14ac:dyDescent="0.25">
      <c r="A1421" s="143">
        <v>43488</v>
      </c>
      <c r="B1421">
        <v>132.88999999999999</v>
      </c>
      <c r="C1421">
        <v>22.063666000000001</v>
      </c>
      <c r="D1421" t="s">
        <v>852</v>
      </c>
    </row>
    <row r="1422" spans="1:4" x14ac:dyDescent="0.25">
      <c r="A1422" s="143">
        <v>43489</v>
      </c>
      <c r="B1422">
        <v>132.53</v>
      </c>
      <c r="C1422">
        <v>6.3229280000000001</v>
      </c>
      <c r="D1422" t="s">
        <v>852</v>
      </c>
    </row>
    <row r="1423" spans="1:4" x14ac:dyDescent="0.25">
      <c r="A1423" s="143">
        <v>43490</v>
      </c>
      <c r="B1423">
        <v>133.97</v>
      </c>
      <c r="C1423">
        <v>5.7084999999999999</v>
      </c>
      <c r="D1423" t="s">
        <v>852</v>
      </c>
    </row>
    <row r="1424" spans="1:4" x14ac:dyDescent="0.25">
      <c r="A1424" s="143">
        <v>43493</v>
      </c>
      <c r="B1424">
        <v>134.27000000000001</v>
      </c>
      <c r="C1424">
        <v>5.3577360000000001</v>
      </c>
      <c r="D1424" t="s">
        <v>852</v>
      </c>
    </row>
    <row r="1425" spans="1:4" x14ac:dyDescent="0.25">
      <c r="A1425" s="143">
        <v>43494</v>
      </c>
      <c r="B1425">
        <v>134.33000000000001</v>
      </c>
      <c r="C1425">
        <v>5.0371290000000002</v>
      </c>
      <c r="D1425" t="s">
        <v>852</v>
      </c>
    </row>
    <row r="1426" spans="1:4" x14ac:dyDescent="0.25">
      <c r="A1426" s="143">
        <v>43495</v>
      </c>
      <c r="B1426">
        <v>134.38</v>
      </c>
      <c r="C1426">
        <v>4.5009189999999997</v>
      </c>
      <c r="D1426" t="s">
        <v>852</v>
      </c>
    </row>
    <row r="1427" spans="1:4" x14ac:dyDescent="0.25">
      <c r="A1427" s="143">
        <v>43496</v>
      </c>
      <c r="B1427">
        <v>134.41999999999999</v>
      </c>
      <c r="C1427">
        <v>4.8840310000000002</v>
      </c>
      <c r="D1427" t="s">
        <v>852</v>
      </c>
    </row>
    <row r="1428" spans="1:4" x14ac:dyDescent="0.25">
      <c r="A1428" s="143">
        <v>43497</v>
      </c>
      <c r="B1428">
        <v>134.1</v>
      </c>
      <c r="C1428">
        <v>3.806047</v>
      </c>
      <c r="D1428" t="s">
        <v>852</v>
      </c>
    </row>
    <row r="1429" spans="1:4" x14ac:dyDescent="0.25">
      <c r="A1429" s="143">
        <v>43500</v>
      </c>
      <c r="B1429">
        <v>135.19</v>
      </c>
      <c r="C1429">
        <v>3.9665970000000002</v>
      </c>
      <c r="D1429" t="s">
        <v>852</v>
      </c>
    </row>
    <row r="1430" spans="1:4" x14ac:dyDescent="0.25">
      <c r="A1430" s="143">
        <v>43501</v>
      </c>
      <c r="B1430">
        <v>135.55000000000001</v>
      </c>
      <c r="C1430">
        <v>5.3989070000000003</v>
      </c>
      <c r="D1430" t="s">
        <v>852</v>
      </c>
    </row>
    <row r="1431" spans="1:4" x14ac:dyDescent="0.25">
      <c r="A1431" s="143">
        <v>43502</v>
      </c>
      <c r="B1431">
        <v>136.32</v>
      </c>
      <c r="C1431">
        <v>4.87967</v>
      </c>
      <c r="D1431" t="s">
        <v>852</v>
      </c>
    </row>
    <row r="1432" spans="1:4" x14ac:dyDescent="0.25">
      <c r="A1432" s="143">
        <v>43503</v>
      </c>
      <c r="B1432">
        <v>133.19</v>
      </c>
      <c r="C1432">
        <v>4.3794389999999996</v>
      </c>
      <c r="D1432" t="s">
        <v>852</v>
      </c>
    </row>
    <row r="1433" spans="1:4" x14ac:dyDescent="0.25">
      <c r="A1433" s="143">
        <v>43504</v>
      </c>
      <c r="B1433">
        <v>133.71</v>
      </c>
      <c r="C1433">
        <v>3.2500740000000001</v>
      </c>
      <c r="D1433" t="s">
        <v>852</v>
      </c>
    </row>
    <row r="1434" spans="1:4" x14ac:dyDescent="0.25">
      <c r="A1434" s="143">
        <v>43507</v>
      </c>
      <c r="B1434">
        <v>133.99</v>
      </c>
      <c r="C1434">
        <v>3.0950690000000001</v>
      </c>
      <c r="D1434" t="s">
        <v>852</v>
      </c>
    </row>
    <row r="1435" spans="1:4" x14ac:dyDescent="0.25">
      <c r="A1435" s="143">
        <v>43508</v>
      </c>
      <c r="B1435">
        <v>136.05000000000001</v>
      </c>
      <c r="C1435">
        <v>3.317161</v>
      </c>
      <c r="D1435" t="s">
        <v>852</v>
      </c>
    </row>
    <row r="1436" spans="1:4" x14ac:dyDescent="0.25">
      <c r="A1436" s="143">
        <v>43509</v>
      </c>
      <c r="B1436">
        <v>137.52000000000001</v>
      </c>
      <c r="C1436">
        <v>4.2530419999999998</v>
      </c>
      <c r="D1436" t="s">
        <v>852</v>
      </c>
    </row>
    <row r="1437" spans="1:4" x14ac:dyDescent="0.25">
      <c r="A1437" s="143">
        <v>43510</v>
      </c>
      <c r="B1437">
        <v>136.47999999999999</v>
      </c>
      <c r="C1437">
        <v>2.7898390000000002</v>
      </c>
      <c r="D1437" t="s">
        <v>852</v>
      </c>
    </row>
    <row r="1438" spans="1:4" x14ac:dyDescent="0.25">
      <c r="A1438" s="143">
        <v>43511</v>
      </c>
      <c r="B1438">
        <v>138.03</v>
      </c>
      <c r="C1438">
        <v>3.8440620000000001</v>
      </c>
      <c r="D1438" t="s">
        <v>852</v>
      </c>
    </row>
    <row r="1439" spans="1:4" x14ac:dyDescent="0.25">
      <c r="A1439" s="143">
        <v>43515</v>
      </c>
      <c r="B1439">
        <v>138.69999999999999</v>
      </c>
      <c r="C1439">
        <v>3.385675</v>
      </c>
      <c r="D1439" t="s">
        <v>852</v>
      </c>
    </row>
    <row r="1440" spans="1:4" x14ac:dyDescent="0.25">
      <c r="A1440" s="143">
        <v>43516</v>
      </c>
      <c r="B1440">
        <v>138</v>
      </c>
      <c r="C1440">
        <v>3.8019790000000002</v>
      </c>
      <c r="D1440" t="s">
        <v>852</v>
      </c>
    </row>
    <row r="1441" spans="1:4" x14ac:dyDescent="0.25">
      <c r="A1441" s="143">
        <v>43517</v>
      </c>
      <c r="B1441">
        <v>137.84</v>
      </c>
      <c r="C1441">
        <v>2.9374669999999998</v>
      </c>
      <c r="D1441" t="s">
        <v>852</v>
      </c>
    </row>
    <row r="1442" spans="1:4" x14ac:dyDescent="0.25">
      <c r="A1442" s="143">
        <v>43518</v>
      </c>
      <c r="B1442">
        <v>139.25</v>
      </c>
      <c r="C1442">
        <v>3.1136979999999999</v>
      </c>
      <c r="D1442" t="s">
        <v>852</v>
      </c>
    </row>
    <row r="1443" spans="1:4" x14ac:dyDescent="0.25">
      <c r="A1443" s="143">
        <v>43521</v>
      </c>
      <c r="B1443">
        <v>139.46</v>
      </c>
      <c r="C1443">
        <v>3.1941609999999998</v>
      </c>
      <c r="D1443" t="s">
        <v>852</v>
      </c>
    </row>
    <row r="1444" spans="1:4" x14ac:dyDescent="0.25">
      <c r="A1444" s="143">
        <v>43522</v>
      </c>
      <c r="B1444">
        <v>139.72</v>
      </c>
      <c r="C1444">
        <v>3.060381</v>
      </c>
      <c r="D1444" t="s">
        <v>852</v>
      </c>
    </row>
    <row r="1445" spans="1:4" x14ac:dyDescent="0.25">
      <c r="A1445" s="143">
        <v>43523</v>
      </c>
      <c r="B1445">
        <v>139.16999999999999</v>
      </c>
      <c r="C1445">
        <v>2.5309680000000001</v>
      </c>
      <c r="D1445" t="s">
        <v>852</v>
      </c>
    </row>
    <row r="1446" spans="1:4" x14ac:dyDescent="0.25">
      <c r="A1446" s="143">
        <v>43524</v>
      </c>
      <c r="B1446">
        <v>138.13</v>
      </c>
      <c r="C1446">
        <v>3.4577879999999999</v>
      </c>
      <c r="D1446" t="s">
        <v>852</v>
      </c>
    </row>
    <row r="1447" spans="1:4" x14ac:dyDescent="0.25">
      <c r="A1447" s="143">
        <v>43525</v>
      </c>
      <c r="B1447">
        <v>139.19999999999999</v>
      </c>
      <c r="C1447">
        <v>3.0300440000000002</v>
      </c>
      <c r="D1447" t="s">
        <v>852</v>
      </c>
    </row>
    <row r="1448" spans="1:4" x14ac:dyDescent="0.25">
      <c r="A1448" s="143">
        <v>43528</v>
      </c>
      <c r="B1448">
        <v>138.43</v>
      </c>
      <c r="C1448">
        <v>3.4072170000000002</v>
      </c>
      <c r="D1448" t="s">
        <v>852</v>
      </c>
    </row>
    <row r="1449" spans="1:4" x14ac:dyDescent="0.25">
      <c r="A1449" s="143">
        <v>43529</v>
      </c>
      <c r="B1449">
        <v>137.88</v>
      </c>
      <c r="C1449">
        <v>4.2506500000000003</v>
      </c>
      <c r="D1449" t="s">
        <v>852</v>
      </c>
    </row>
    <row r="1450" spans="1:4" x14ac:dyDescent="0.25">
      <c r="A1450" s="143">
        <v>43530</v>
      </c>
      <c r="B1450">
        <v>136.97999999999999</v>
      </c>
      <c r="C1450">
        <v>2.768256</v>
      </c>
      <c r="D1450" t="s">
        <v>852</v>
      </c>
    </row>
    <row r="1451" spans="1:4" x14ac:dyDescent="0.25">
      <c r="A1451" s="143">
        <v>43531</v>
      </c>
      <c r="B1451">
        <v>135.36000000000001</v>
      </c>
      <c r="C1451">
        <v>4.3588019999999998</v>
      </c>
      <c r="D1451" t="s">
        <v>852</v>
      </c>
    </row>
    <row r="1452" spans="1:4" x14ac:dyDescent="0.25">
      <c r="A1452" s="143">
        <v>43532</v>
      </c>
      <c r="B1452">
        <v>135.09</v>
      </c>
      <c r="C1452">
        <v>3.7737219999999998</v>
      </c>
      <c r="D1452" t="s">
        <v>852</v>
      </c>
    </row>
    <row r="1453" spans="1:4" x14ac:dyDescent="0.25">
      <c r="A1453" s="143">
        <v>43535</v>
      </c>
      <c r="B1453">
        <v>137.71</v>
      </c>
      <c r="C1453">
        <v>3.9395169999999999</v>
      </c>
      <c r="D1453" t="s">
        <v>852</v>
      </c>
    </row>
    <row r="1454" spans="1:4" x14ac:dyDescent="0.25">
      <c r="A1454" s="143">
        <v>43536</v>
      </c>
      <c r="B1454">
        <v>138.28</v>
      </c>
      <c r="C1454">
        <v>3.954653</v>
      </c>
      <c r="D1454" t="s">
        <v>852</v>
      </c>
    </row>
    <row r="1455" spans="1:4" x14ac:dyDescent="0.25">
      <c r="A1455" s="143">
        <v>43537</v>
      </c>
      <c r="B1455">
        <v>138.56</v>
      </c>
      <c r="C1455">
        <v>3.1731790000000002</v>
      </c>
      <c r="D1455" t="s">
        <v>852</v>
      </c>
    </row>
    <row r="1456" spans="1:4" x14ac:dyDescent="0.25">
      <c r="A1456" s="143">
        <v>43538</v>
      </c>
      <c r="B1456">
        <v>138.79</v>
      </c>
      <c r="C1456">
        <v>2.7387899999999998</v>
      </c>
      <c r="D1456" t="s">
        <v>852</v>
      </c>
    </row>
    <row r="1457" spans="1:4" x14ac:dyDescent="0.25">
      <c r="A1457" s="143">
        <v>43539</v>
      </c>
      <c r="B1457">
        <v>139.43</v>
      </c>
      <c r="C1457">
        <v>7.1536869999999997</v>
      </c>
      <c r="D1457" t="s">
        <v>852</v>
      </c>
    </row>
    <row r="1458" spans="1:4" x14ac:dyDescent="0.25">
      <c r="A1458" s="143">
        <v>43542</v>
      </c>
      <c r="B1458">
        <v>140.21</v>
      </c>
      <c r="C1458">
        <v>3.26851</v>
      </c>
      <c r="D1458" t="s">
        <v>852</v>
      </c>
    </row>
    <row r="1459" spans="1:4" x14ac:dyDescent="0.25">
      <c r="A1459" s="143">
        <v>43543</v>
      </c>
      <c r="B1459">
        <v>140.49</v>
      </c>
      <c r="C1459">
        <v>3.4823360000000001</v>
      </c>
      <c r="D1459" t="s">
        <v>852</v>
      </c>
    </row>
    <row r="1460" spans="1:4" x14ac:dyDescent="0.25">
      <c r="A1460" s="143">
        <v>43544</v>
      </c>
      <c r="B1460">
        <v>139.6</v>
      </c>
      <c r="C1460">
        <v>3.6494550000000001</v>
      </c>
      <c r="D1460" t="s">
        <v>852</v>
      </c>
    </row>
    <row r="1461" spans="1:4" x14ac:dyDescent="0.25">
      <c r="A1461" s="143">
        <v>43545</v>
      </c>
      <c r="B1461">
        <v>141.44</v>
      </c>
      <c r="C1461">
        <v>3.6054200000000001</v>
      </c>
      <c r="D1461" t="s">
        <v>852</v>
      </c>
    </row>
    <row r="1462" spans="1:4" x14ac:dyDescent="0.25">
      <c r="A1462" s="143">
        <v>43546</v>
      </c>
      <c r="B1462">
        <v>139.44999999999999</v>
      </c>
      <c r="C1462">
        <v>3.8776160000000002</v>
      </c>
      <c r="D1462" t="s">
        <v>852</v>
      </c>
    </row>
    <row r="1463" spans="1:4" x14ac:dyDescent="0.25">
      <c r="A1463" s="143">
        <v>43549</v>
      </c>
      <c r="B1463">
        <v>139.18</v>
      </c>
      <c r="C1463">
        <v>2.839766</v>
      </c>
      <c r="D1463" t="s">
        <v>852</v>
      </c>
    </row>
    <row r="1464" spans="1:4" x14ac:dyDescent="0.25">
      <c r="A1464" s="143">
        <v>43550</v>
      </c>
      <c r="B1464">
        <v>140.22</v>
      </c>
      <c r="C1464">
        <v>2.5537079999999999</v>
      </c>
      <c r="D1464" t="s">
        <v>852</v>
      </c>
    </row>
    <row r="1465" spans="1:4" x14ac:dyDescent="0.25">
      <c r="A1465" s="143">
        <v>43551</v>
      </c>
      <c r="B1465">
        <v>139.24</v>
      </c>
      <c r="C1465">
        <v>3.098233</v>
      </c>
      <c r="D1465" t="s">
        <v>852</v>
      </c>
    </row>
    <row r="1466" spans="1:4" x14ac:dyDescent="0.25">
      <c r="A1466" s="143">
        <v>43552</v>
      </c>
      <c r="B1466">
        <v>139.91999999999999</v>
      </c>
      <c r="C1466">
        <v>2.6638839999999999</v>
      </c>
      <c r="D1466" t="s">
        <v>852</v>
      </c>
    </row>
    <row r="1467" spans="1:4" x14ac:dyDescent="0.25">
      <c r="A1467" s="143">
        <v>43553</v>
      </c>
      <c r="B1467">
        <v>141.1</v>
      </c>
      <c r="C1467">
        <v>3.1014539999999999</v>
      </c>
      <c r="D1467" t="s">
        <v>852</v>
      </c>
    </row>
    <row r="1468" spans="1:4" x14ac:dyDescent="0.25">
      <c r="A1468" s="143">
        <v>43556</v>
      </c>
      <c r="B1468">
        <v>143.30000000000001</v>
      </c>
      <c r="C1468">
        <v>3.9842499999999998</v>
      </c>
      <c r="D1468" t="s">
        <v>852</v>
      </c>
    </row>
    <row r="1469" spans="1:4" x14ac:dyDescent="0.25">
      <c r="A1469" s="143">
        <v>43557</v>
      </c>
      <c r="B1469">
        <v>143</v>
      </c>
      <c r="C1469">
        <v>2.4049200000000002</v>
      </c>
      <c r="D1469" t="s">
        <v>852</v>
      </c>
    </row>
    <row r="1470" spans="1:4" x14ac:dyDescent="0.25">
      <c r="A1470" s="143">
        <v>43558</v>
      </c>
      <c r="B1470">
        <v>143.63</v>
      </c>
      <c r="C1470">
        <v>2.6816450000000001</v>
      </c>
      <c r="D1470" t="s">
        <v>852</v>
      </c>
    </row>
    <row r="1471" spans="1:4" x14ac:dyDescent="0.25">
      <c r="A1471" s="143">
        <v>43559</v>
      </c>
      <c r="B1471">
        <v>142.78</v>
      </c>
      <c r="C1471">
        <v>2.7714620000000001</v>
      </c>
      <c r="D1471" t="s">
        <v>852</v>
      </c>
    </row>
    <row r="1472" spans="1:4" x14ac:dyDescent="0.25">
      <c r="A1472" s="143">
        <v>43560</v>
      </c>
      <c r="B1472">
        <v>143.28</v>
      </c>
      <c r="C1472">
        <v>2.7319849999999999</v>
      </c>
      <c r="D1472" t="s">
        <v>852</v>
      </c>
    </row>
    <row r="1473" spans="1:4" x14ac:dyDescent="0.25">
      <c r="A1473" s="143">
        <v>43563</v>
      </c>
      <c r="B1473">
        <v>143.38999999999999</v>
      </c>
      <c r="C1473">
        <v>2.1182280000000002</v>
      </c>
      <c r="D1473" t="s">
        <v>852</v>
      </c>
    </row>
    <row r="1474" spans="1:4" x14ac:dyDescent="0.25">
      <c r="A1474" s="143">
        <v>43564</v>
      </c>
      <c r="B1474">
        <v>142.11000000000001</v>
      </c>
      <c r="C1474">
        <v>3.0384600000000002</v>
      </c>
      <c r="D1474" t="s">
        <v>852</v>
      </c>
    </row>
    <row r="1475" spans="1:4" x14ac:dyDescent="0.25">
      <c r="A1475" s="143">
        <v>43565</v>
      </c>
      <c r="B1475">
        <v>143.02000000000001</v>
      </c>
      <c r="C1475">
        <v>2.6783100000000002</v>
      </c>
      <c r="D1475" t="s">
        <v>852</v>
      </c>
    </row>
    <row r="1476" spans="1:4" x14ac:dyDescent="0.25">
      <c r="A1476" s="143">
        <v>43566</v>
      </c>
      <c r="B1476">
        <v>143.78</v>
      </c>
      <c r="C1476">
        <v>2.9419849999999999</v>
      </c>
      <c r="D1476" t="s">
        <v>852</v>
      </c>
    </row>
    <row r="1477" spans="1:4" x14ac:dyDescent="0.25">
      <c r="A1477" s="143">
        <v>43567</v>
      </c>
      <c r="B1477">
        <v>144.35</v>
      </c>
      <c r="C1477">
        <v>2.8988990000000001</v>
      </c>
      <c r="D1477" t="s">
        <v>852</v>
      </c>
    </row>
    <row r="1478" spans="1:4" x14ac:dyDescent="0.25">
      <c r="A1478" s="143">
        <v>43570</v>
      </c>
      <c r="B1478">
        <v>143.9</v>
      </c>
      <c r="C1478">
        <v>3.6031580000000001</v>
      </c>
      <c r="D1478" t="s">
        <v>852</v>
      </c>
    </row>
    <row r="1479" spans="1:4" x14ac:dyDescent="0.25">
      <c r="A1479" s="143">
        <v>43571</v>
      </c>
      <c r="B1479">
        <v>145.13999999999999</v>
      </c>
      <c r="C1479">
        <v>6.3016709999999998</v>
      </c>
      <c r="D1479" t="s">
        <v>852</v>
      </c>
    </row>
    <row r="1480" spans="1:4" x14ac:dyDescent="0.25">
      <c r="A1480" s="143">
        <v>43572</v>
      </c>
      <c r="B1480">
        <v>139.11000000000001</v>
      </c>
      <c r="C1480">
        <v>12.525693</v>
      </c>
      <c r="D1480" t="s">
        <v>852</v>
      </c>
    </row>
    <row r="1481" spans="1:4" x14ac:dyDescent="0.25">
      <c r="A1481" s="143">
        <v>43573</v>
      </c>
      <c r="B1481">
        <v>140.33000000000001</v>
      </c>
      <c r="C1481">
        <v>4.9600150000000003</v>
      </c>
      <c r="D1481" t="s">
        <v>852</v>
      </c>
    </row>
    <row r="1482" spans="1:4" x14ac:dyDescent="0.25">
      <c r="A1482" s="143">
        <v>43577</v>
      </c>
      <c r="B1482">
        <v>138.88999999999999</v>
      </c>
      <c r="C1482">
        <v>4.4943330000000001</v>
      </c>
      <c r="D1482" t="s">
        <v>852</v>
      </c>
    </row>
    <row r="1483" spans="1:4" x14ac:dyDescent="0.25">
      <c r="A1483" s="143">
        <v>43578</v>
      </c>
      <c r="B1483">
        <v>140.44</v>
      </c>
      <c r="C1483">
        <v>4.4622400000000004</v>
      </c>
      <c r="D1483" t="s">
        <v>852</v>
      </c>
    </row>
    <row r="1484" spans="1:4" x14ac:dyDescent="0.25">
      <c r="A1484" s="143">
        <v>43579</v>
      </c>
      <c r="B1484">
        <v>139.94999999999999</v>
      </c>
      <c r="C1484">
        <v>2.774867</v>
      </c>
      <c r="D1484" t="s">
        <v>852</v>
      </c>
    </row>
    <row r="1485" spans="1:4" x14ac:dyDescent="0.25">
      <c r="A1485" s="143">
        <v>43580</v>
      </c>
      <c r="B1485">
        <v>138.63</v>
      </c>
      <c r="C1485">
        <v>2.9101129999999999</v>
      </c>
      <c r="D1485" t="s">
        <v>852</v>
      </c>
    </row>
    <row r="1486" spans="1:4" x14ac:dyDescent="0.25">
      <c r="A1486" s="143">
        <v>43581</v>
      </c>
      <c r="B1486">
        <v>139.44</v>
      </c>
      <c r="C1486">
        <v>2.3198340000000002</v>
      </c>
      <c r="D1486" t="s">
        <v>852</v>
      </c>
    </row>
    <row r="1487" spans="1:4" x14ac:dyDescent="0.25">
      <c r="A1487" s="143">
        <v>43584</v>
      </c>
      <c r="B1487">
        <v>139.05000000000001</v>
      </c>
      <c r="C1487">
        <v>2.9583330000000001</v>
      </c>
      <c r="D1487" t="s">
        <v>852</v>
      </c>
    </row>
    <row r="1488" spans="1:4" x14ac:dyDescent="0.25">
      <c r="A1488" s="143">
        <v>43585</v>
      </c>
      <c r="B1488">
        <v>140.27000000000001</v>
      </c>
      <c r="C1488">
        <v>4.6388280000000002</v>
      </c>
      <c r="D1488" t="s">
        <v>852</v>
      </c>
    </row>
    <row r="1489" spans="1:4" x14ac:dyDescent="0.25">
      <c r="A1489" s="143">
        <v>43586</v>
      </c>
      <c r="B1489">
        <v>140.56</v>
      </c>
      <c r="C1489">
        <v>3.0536829999999999</v>
      </c>
      <c r="D1489" t="s">
        <v>852</v>
      </c>
    </row>
    <row r="1490" spans="1:4" x14ac:dyDescent="0.25">
      <c r="A1490" s="143">
        <v>43587</v>
      </c>
      <c r="B1490">
        <v>139.59</v>
      </c>
      <c r="C1490">
        <v>3.5413519999999998</v>
      </c>
      <c r="D1490" t="s">
        <v>852</v>
      </c>
    </row>
    <row r="1491" spans="1:4" x14ac:dyDescent="0.25">
      <c r="A1491" s="143">
        <v>43588</v>
      </c>
      <c r="B1491">
        <v>140.25</v>
      </c>
      <c r="C1491">
        <v>2.5800339999999999</v>
      </c>
      <c r="D1491" t="s">
        <v>852</v>
      </c>
    </row>
    <row r="1492" spans="1:4" x14ac:dyDescent="0.25">
      <c r="A1492" s="143">
        <v>43591</v>
      </c>
      <c r="B1492">
        <v>140.38</v>
      </c>
      <c r="C1492">
        <v>2.7936550000000002</v>
      </c>
      <c r="D1492" t="s">
        <v>852</v>
      </c>
    </row>
    <row r="1493" spans="1:4" x14ac:dyDescent="0.25">
      <c r="A1493" s="143">
        <v>43592</v>
      </c>
      <c r="B1493">
        <v>137.63999999999999</v>
      </c>
      <c r="C1493">
        <v>4.7267710000000003</v>
      </c>
      <c r="D1493" t="s">
        <v>852</v>
      </c>
    </row>
    <row r="1494" spans="1:4" x14ac:dyDescent="0.25">
      <c r="A1494" s="143">
        <v>43593</v>
      </c>
      <c r="B1494">
        <v>138</v>
      </c>
      <c r="C1494">
        <v>3.8189090000000001</v>
      </c>
      <c r="D1494" t="s">
        <v>852</v>
      </c>
    </row>
    <row r="1495" spans="1:4" x14ac:dyDescent="0.25">
      <c r="A1495" s="143">
        <v>43594</v>
      </c>
      <c r="B1495">
        <v>135.34</v>
      </c>
      <c r="C1495">
        <v>4.1929420000000004</v>
      </c>
      <c r="D1495" t="s">
        <v>852</v>
      </c>
    </row>
    <row r="1496" spans="1:4" x14ac:dyDescent="0.25">
      <c r="A1496" s="143">
        <v>43595</v>
      </c>
      <c r="B1496">
        <v>135.32</v>
      </c>
      <c r="C1496">
        <v>3.9776859999999998</v>
      </c>
      <c r="D1496" t="s">
        <v>852</v>
      </c>
    </row>
    <row r="1497" spans="1:4" x14ac:dyDescent="0.25">
      <c r="A1497" s="143">
        <v>43598</v>
      </c>
      <c r="B1497">
        <v>131.41999999999999</v>
      </c>
      <c r="C1497">
        <v>4.9580209999999996</v>
      </c>
      <c r="D1497" t="s">
        <v>852</v>
      </c>
    </row>
    <row r="1498" spans="1:4" x14ac:dyDescent="0.25">
      <c r="A1498" s="143">
        <v>43599</v>
      </c>
      <c r="B1498">
        <v>133.31</v>
      </c>
      <c r="C1498">
        <v>3.2803740000000001</v>
      </c>
      <c r="D1498" t="s">
        <v>852</v>
      </c>
    </row>
    <row r="1499" spans="1:4" x14ac:dyDescent="0.25">
      <c r="A1499" s="143">
        <v>43600</v>
      </c>
      <c r="B1499">
        <v>134.4</v>
      </c>
      <c r="C1499">
        <v>2.5510090000000001</v>
      </c>
      <c r="D1499" t="s">
        <v>852</v>
      </c>
    </row>
    <row r="1500" spans="1:4" x14ac:dyDescent="0.25">
      <c r="A1500" s="143">
        <v>43601</v>
      </c>
      <c r="B1500">
        <v>135.88</v>
      </c>
      <c r="C1500">
        <v>3.0174720000000002</v>
      </c>
      <c r="D1500" t="s">
        <v>852</v>
      </c>
    </row>
    <row r="1501" spans="1:4" x14ac:dyDescent="0.25">
      <c r="A1501" s="143">
        <v>43602</v>
      </c>
      <c r="B1501">
        <v>134.32</v>
      </c>
      <c r="C1501">
        <v>2.619135</v>
      </c>
      <c r="D1501" t="s">
        <v>852</v>
      </c>
    </row>
    <row r="1502" spans="1:4" x14ac:dyDescent="0.25">
      <c r="A1502" s="143">
        <v>43605</v>
      </c>
      <c r="B1502">
        <v>135.12</v>
      </c>
      <c r="C1502">
        <v>3.2646489999999999</v>
      </c>
      <c r="D1502" t="s">
        <v>852</v>
      </c>
    </row>
    <row r="1503" spans="1:4" x14ac:dyDescent="0.25">
      <c r="A1503" s="143">
        <v>43606</v>
      </c>
      <c r="B1503">
        <v>136.44999999999999</v>
      </c>
      <c r="C1503">
        <v>2.503504</v>
      </c>
      <c r="D1503" t="s">
        <v>852</v>
      </c>
    </row>
    <row r="1504" spans="1:4" x14ac:dyDescent="0.25">
      <c r="A1504" s="143">
        <v>43607</v>
      </c>
      <c r="B1504">
        <v>136.35</v>
      </c>
      <c r="C1504">
        <v>1.8498209999999999</v>
      </c>
      <c r="D1504" t="s">
        <v>852</v>
      </c>
    </row>
    <row r="1505" spans="1:4" x14ac:dyDescent="0.25">
      <c r="A1505" s="143">
        <v>43608</v>
      </c>
      <c r="B1505">
        <v>132.38999999999999</v>
      </c>
      <c r="C1505">
        <v>5.3434369999999998</v>
      </c>
      <c r="D1505" t="s">
        <v>852</v>
      </c>
    </row>
    <row r="1506" spans="1:4" x14ac:dyDescent="0.25">
      <c r="A1506" s="143">
        <v>43609</v>
      </c>
      <c r="B1506">
        <v>132.28</v>
      </c>
      <c r="C1506">
        <v>2.5961210000000001</v>
      </c>
      <c r="D1506" t="s">
        <v>852</v>
      </c>
    </row>
    <row r="1507" spans="1:4" x14ac:dyDescent="0.25">
      <c r="A1507" s="143">
        <v>43613</v>
      </c>
      <c r="B1507">
        <v>130.46</v>
      </c>
      <c r="C1507">
        <v>4.9091209999999998</v>
      </c>
      <c r="D1507" t="s">
        <v>852</v>
      </c>
    </row>
    <row r="1508" spans="1:4" x14ac:dyDescent="0.25">
      <c r="A1508" s="143">
        <v>43614</v>
      </c>
      <c r="B1508">
        <v>129.69</v>
      </c>
      <c r="C1508">
        <v>3.6789779999999999</v>
      </c>
      <c r="D1508" t="s">
        <v>852</v>
      </c>
    </row>
    <row r="1509" spans="1:4" x14ac:dyDescent="0.25">
      <c r="A1509" s="143">
        <v>43615</v>
      </c>
      <c r="B1509">
        <v>129.57</v>
      </c>
      <c r="C1509">
        <v>2.7418800000000001</v>
      </c>
      <c r="D1509" t="s">
        <v>852</v>
      </c>
    </row>
    <row r="1510" spans="1:4" x14ac:dyDescent="0.25">
      <c r="A1510" s="143">
        <v>43616</v>
      </c>
      <c r="B1510">
        <v>126.99</v>
      </c>
      <c r="C1510">
        <v>3.5393430000000001</v>
      </c>
      <c r="D1510" t="s">
        <v>852</v>
      </c>
    </row>
    <row r="1511" spans="1:4" x14ac:dyDescent="0.25">
      <c r="A1511" s="143">
        <v>43619</v>
      </c>
      <c r="B1511">
        <v>128.27000000000001</v>
      </c>
      <c r="C1511">
        <v>4.26708</v>
      </c>
      <c r="D1511" t="s">
        <v>852</v>
      </c>
    </row>
    <row r="1512" spans="1:4" x14ac:dyDescent="0.25">
      <c r="A1512" s="143">
        <v>43620</v>
      </c>
      <c r="B1512">
        <v>132.69</v>
      </c>
      <c r="C1512">
        <v>3.913535</v>
      </c>
      <c r="D1512" t="s">
        <v>852</v>
      </c>
    </row>
    <row r="1513" spans="1:4" x14ac:dyDescent="0.25">
      <c r="A1513" s="143">
        <v>43621</v>
      </c>
      <c r="B1513">
        <v>131.49</v>
      </c>
      <c r="C1513">
        <v>3.1615839999999999</v>
      </c>
      <c r="D1513" t="s">
        <v>852</v>
      </c>
    </row>
    <row r="1514" spans="1:4" x14ac:dyDescent="0.25">
      <c r="A1514" s="143">
        <v>43622</v>
      </c>
      <c r="B1514">
        <v>132.22</v>
      </c>
      <c r="C1514">
        <v>2.2982480000000001</v>
      </c>
      <c r="D1514" t="s">
        <v>852</v>
      </c>
    </row>
    <row r="1515" spans="1:4" x14ac:dyDescent="0.25">
      <c r="A1515" s="143">
        <v>43623</v>
      </c>
      <c r="B1515">
        <v>133.31</v>
      </c>
      <c r="C1515">
        <v>2.5533980000000001</v>
      </c>
      <c r="D1515" t="s">
        <v>852</v>
      </c>
    </row>
    <row r="1516" spans="1:4" x14ac:dyDescent="0.25">
      <c r="A1516" s="143">
        <v>43626</v>
      </c>
      <c r="B1516">
        <v>134.74</v>
      </c>
      <c r="C1516">
        <v>2.911327</v>
      </c>
      <c r="D1516" t="s">
        <v>852</v>
      </c>
    </row>
    <row r="1517" spans="1:4" x14ac:dyDescent="0.25">
      <c r="A1517" s="143">
        <v>43627</v>
      </c>
      <c r="B1517">
        <v>135.94999999999999</v>
      </c>
      <c r="C1517">
        <v>3.4073449999999998</v>
      </c>
      <c r="D1517" t="s">
        <v>852</v>
      </c>
    </row>
    <row r="1518" spans="1:4" x14ac:dyDescent="0.25">
      <c r="A1518" s="143">
        <v>43628</v>
      </c>
      <c r="B1518">
        <v>134.87</v>
      </c>
      <c r="C1518">
        <v>2.2547410000000001</v>
      </c>
      <c r="D1518" t="s">
        <v>852</v>
      </c>
    </row>
    <row r="1519" spans="1:4" x14ac:dyDescent="0.25">
      <c r="A1519" s="143">
        <v>43629</v>
      </c>
      <c r="B1519">
        <v>135.76</v>
      </c>
      <c r="C1519">
        <v>2.955419</v>
      </c>
      <c r="D1519" t="s">
        <v>852</v>
      </c>
    </row>
    <row r="1520" spans="1:4" x14ac:dyDescent="0.25">
      <c r="A1520" s="143">
        <v>43630</v>
      </c>
      <c r="B1520">
        <v>135.15</v>
      </c>
      <c r="C1520">
        <v>2.1933669999999998</v>
      </c>
      <c r="D1520" t="s">
        <v>852</v>
      </c>
    </row>
    <row r="1521" spans="1:4" x14ac:dyDescent="0.25">
      <c r="A1521" s="143">
        <v>43633</v>
      </c>
      <c r="B1521">
        <v>134.94999999999999</v>
      </c>
      <c r="C1521">
        <v>2.1941290000000002</v>
      </c>
      <c r="D1521" t="s">
        <v>852</v>
      </c>
    </row>
    <row r="1522" spans="1:4" x14ac:dyDescent="0.25">
      <c r="A1522" s="143">
        <v>43634</v>
      </c>
      <c r="B1522">
        <v>136.38</v>
      </c>
      <c r="C1522">
        <v>2.914698</v>
      </c>
      <c r="D1522" t="s">
        <v>852</v>
      </c>
    </row>
    <row r="1523" spans="1:4" x14ac:dyDescent="0.25">
      <c r="A1523" s="143">
        <v>43635</v>
      </c>
      <c r="B1523">
        <v>137.08000000000001</v>
      </c>
      <c r="C1523">
        <v>2.38252</v>
      </c>
      <c r="D1523" t="s">
        <v>852</v>
      </c>
    </row>
    <row r="1524" spans="1:4" x14ac:dyDescent="0.25">
      <c r="A1524" s="143">
        <v>43636</v>
      </c>
      <c r="B1524">
        <v>138.85</v>
      </c>
      <c r="C1524">
        <v>3.0710169999999999</v>
      </c>
      <c r="D1524" t="s">
        <v>852</v>
      </c>
    </row>
    <row r="1525" spans="1:4" x14ac:dyDescent="0.25">
      <c r="A1525" s="143">
        <v>43637</v>
      </c>
      <c r="B1525">
        <v>139.19999999999999</v>
      </c>
      <c r="C1525">
        <v>5.2887589999999998</v>
      </c>
      <c r="D1525" t="s">
        <v>852</v>
      </c>
    </row>
    <row r="1526" spans="1:4" x14ac:dyDescent="0.25">
      <c r="A1526" s="143">
        <v>43640</v>
      </c>
      <c r="B1526">
        <v>139.35</v>
      </c>
      <c r="C1526">
        <v>2.186137</v>
      </c>
      <c r="D1526" t="s">
        <v>852</v>
      </c>
    </row>
    <row r="1527" spans="1:4" x14ac:dyDescent="0.25">
      <c r="A1527" s="143">
        <v>43641</v>
      </c>
      <c r="B1527">
        <v>138.36000000000001</v>
      </c>
      <c r="C1527">
        <v>2.8012510000000002</v>
      </c>
      <c r="D1527" t="s">
        <v>852</v>
      </c>
    </row>
    <row r="1528" spans="1:4" x14ac:dyDescent="0.25">
      <c r="A1528" s="143">
        <v>43642</v>
      </c>
      <c r="B1528">
        <v>138.52000000000001</v>
      </c>
      <c r="C1528">
        <v>2.284567</v>
      </c>
      <c r="D1528" t="s">
        <v>852</v>
      </c>
    </row>
    <row r="1529" spans="1:4" x14ac:dyDescent="0.25">
      <c r="A1529" s="143">
        <v>43643</v>
      </c>
      <c r="B1529">
        <v>138.52000000000001</v>
      </c>
      <c r="C1529">
        <v>2.1498240000000002</v>
      </c>
      <c r="D1529" t="s">
        <v>852</v>
      </c>
    </row>
    <row r="1530" spans="1:4" x14ac:dyDescent="0.25">
      <c r="A1530" s="143">
        <v>43644</v>
      </c>
      <c r="B1530">
        <v>137.9</v>
      </c>
      <c r="C1530">
        <v>6.154039</v>
      </c>
      <c r="D1530" t="s">
        <v>852</v>
      </c>
    </row>
    <row r="1531" spans="1:4" x14ac:dyDescent="0.25">
      <c r="A1531" s="143">
        <v>43647</v>
      </c>
      <c r="B1531">
        <v>139.88</v>
      </c>
      <c r="C1531">
        <v>3.387184</v>
      </c>
      <c r="D1531" t="s">
        <v>852</v>
      </c>
    </row>
    <row r="1532" spans="1:4" x14ac:dyDescent="0.25">
      <c r="A1532" s="143">
        <v>43648</v>
      </c>
      <c r="B1532">
        <v>140.22</v>
      </c>
      <c r="C1532">
        <v>2.4100920000000001</v>
      </c>
      <c r="D1532" t="s">
        <v>852</v>
      </c>
    </row>
    <row r="1533" spans="1:4" x14ac:dyDescent="0.25">
      <c r="A1533" s="143">
        <v>43649</v>
      </c>
      <c r="B1533">
        <v>141.54</v>
      </c>
      <c r="C1533">
        <v>1.930361</v>
      </c>
      <c r="D1533" t="s">
        <v>852</v>
      </c>
    </row>
    <row r="1534" spans="1:4" x14ac:dyDescent="0.25">
      <c r="A1534" s="143">
        <v>43651</v>
      </c>
      <c r="B1534">
        <v>141.38</v>
      </c>
      <c r="C1534">
        <v>2.1350850000000001</v>
      </c>
      <c r="D1534" t="s">
        <v>852</v>
      </c>
    </row>
    <row r="1535" spans="1:4" x14ac:dyDescent="0.25">
      <c r="A1535" s="143">
        <v>43654</v>
      </c>
      <c r="B1535">
        <v>140.57</v>
      </c>
      <c r="C1535">
        <v>2.3954870000000001</v>
      </c>
      <c r="D1535" t="s">
        <v>852</v>
      </c>
    </row>
    <row r="1536" spans="1:4" x14ac:dyDescent="0.25">
      <c r="A1536" s="143">
        <v>43655</v>
      </c>
      <c r="B1536">
        <v>139.33000000000001</v>
      </c>
      <c r="C1536">
        <v>3.365227</v>
      </c>
      <c r="D1536" t="s">
        <v>852</v>
      </c>
    </row>
    <row r="1537" spans="1:4" x14ac:dyDescent="0.25">
      <c r="A1537" s="143">
        <v>43656</v>
      </c>
      <c r="B1537">
        <v>140.47</v>
      </c>
      <c r="C1537">
        <v>2.5139309999999999</v>
      </c>
      <c r="D1537" t="s">
        <v>852</v>
      </c>
    </row>
    <row r="1538" spans="1:4" x14ac:dyDescent="0.25">
      <c r="A1538" s="143">
        <v>43657</v>
      </c>
      <c r="B1538">
        <v>141.24</v>
      </c>
      <c r="C1538">
        <v>2.133327</v>
      </c>
      <c r="D1538" t="s">
        <v>852</v>
      </c>
    </row>
    <row r="1539" spans="1:4" x14ac:dyDescent="0.25">
      <c r="A1539" s="143">
        <v>43658</v>
      </c>
      <c r="B1539">
        <v>142.74</v>
      </c>
      <c r="C1539">
        <v>2.786276</v>
      </c>
      <c r="D1539" t="s">
        <v>852</v>
      </c>
    </row>
    <row r="1540" spans="1:4" x14ac:dyDescent="0.25">
      <c r="A1540" s="143">
        <v>43661</v>
      </c>
      <c r="B1540">
        <v>143.32</v>
      </c>
      <c r="C1540">
        <v>2.368309</v>
      </c>
      <c r="D1540" t="s">
        <v>852</v>
      </c>
    </row>
    <row r="1541" spans="1:4" x14ac:dyDescent="0.25">
      <c r="A1541" s="143">
        <v>43662</v>
      </c>
      <c r="B1541">
        <v>143.53</v>
      </c>
      <c r="C1541">
        <v>3.474688</v>
      </c>
      <c r="D1541" t="s">
        <v>852</v>
      </c>
    </row>
    <row r="1542" spans="1:4" x14ac:dyDescent="0.25">
      <c r="A1542" s="143">
        <v>43663</v>
      </c>
      <c r="B1542">
        <v>143.07</v>
      </c>
      <c r="C1542">
        <v>6.0642649999999998</v>
      </c>
      <c r="D1542" t="s">
        <v>852</v>
      </c>
    </row>
    <row r="1543" spans="1:4" x14ac:dyDescent="0.25">
      <c r="A1543" s="143">
        <v>43664</v>
      </c>
      <c r="B1543">
        <v>149.63</v>
      </c>
      <c r="C1543">
        <v>12.695387</v>
      </c>
      <c r="D1543" t="s">
        <v>852</v>
      </c>
    </row>
    <row r="1544" spans="1:4" x14ac:dyDescent="0.25">
      <c r="A1544" s="143">
        <v>43665</v>
      </c>
      <c r="B1544">
        <v>149.68</v>
      </c>
      <c r="C1544">
        <v>7.2906779999999998</v>
      </c>
      <c r="D1544" t="s">
        <v>852</v>
      </c>
    </row>
    <row r="1545" spans="1:4" x14ac:dyDescent="0.25">
      <c r="A1545" s="143">
        <v>43668</v>
      </c>
      <c r="B1545">
        <v>149.74</v>
      </c>
      <c r="C1545">
        <v>4.0932389999999996</v>
      </c>
      <c r="D1545" t="s">
        <v>852</v>
      </c>
    </row>
    <row r="1546" spans="1:4" x14ac:dyDescent="0.25">
      <c r="A1546" s="143">
        <v>43669</v>
      </c>
      <c r="B1546">
        <v>150.38</v>
      </c>
      <c r="C1546">
        <v>3.7422040000000001</v>
      </c>
      <c r="D1546" t="s">
        <v>852</v>
      </c>
    </row>
    <row r="1547" spans="1:4" x14ac:dyDescent="0.25">
      <c r="A1547" s="143">
        <v>43670</v>
      </c>
      <c r="B1547">
        <v>150.03</v>
      </c>
      <c r="C1547">
        <v>2.9524349999999999</v>
      </c>
      <c r="D1547" t="s">
        <v>852</v>
      </c>
    </row>
    <row r="1548" spans="1:4" x14ac:dyDescent="0.25">
      <c r="A1548" s="143">
        <v>43671</v>
      </c>
      <c r="B1548">
        <v>150.38999999999999</v>
      </c>
      <c r="C1548">
        <v>3.1021130000000001</v>
      </c>
      <c r="D1548" t="s">
        <v>852</v>
      </c>
    </row>
    <row r="1549" spans="1:4" x14ac:dyDescent="0.25">
      <c r="A1549" s="143">
        <v>43672</v>
      </c>
      <c r="B1549">
        <v>151.36000000000001</v>
      </c>
      <c r="C1549">
        <v>2.9044940000000001</v>
      </c>
      <c r="D1549" t="s">
        <v>852</v>
      </c>
    </row>
    <row r="1550" spans="1:4" x14ac:dyDescent="0.25">
      <c r="A1550" s="143">
        <v>43675</v>
      </c>
      <c r="B1550">
        <v>150.88</v>
      </c>
      <c r="C1550">
        <v>2.0755279999999998</v>
      </c>
      <c r="D1550" t="s">
        <v>852</v>
      </c>
    </row>
    <row r="1551" spans="1:4" x14ac:dyDescent="0.25">
      <c r="A1551" s="143">
        <v>43676</v>
      </c>
      <c r="B1551">
        <v>149.77000000000001</v>
      </c>
      <c r="C1551">
        <v>2.6327259999999999</v>
      </c>
      <c r="D1551" t="s">
        <v>852</v>
      </c>
    </row>
    <row r="1552" spans="1:4" x14ac:dyDescent="0.25">
      <c r="A1552" s="143">
        <v>43677</v>
      </c>
      <c r="B1552">
        <v>148.24</v>
      </c>
      <c r="C1552">
        <v>3.7229070000000002</v>
      </c>
      <c r="D1552" t="s">
        <v>852</v>
      </c>
    </row>
    <row r="1553" spans="1:4" x14ac:dyDescent="0.25">
      <c r="A1553" s="143">
        <v>43678</v>
      </c>
      <c r="B1553">
        <v>150.32</v>
      </c>
      <c r="C1553">
        <v>6.3440060000000003</v>
      </c>
      <c r="D1553" t="s">
        <v>852</v>
      </c>
    </row>
    <row r="1554" spans="1:4" x14ac:dyDescent="0.25">
      <c r="A1554" s="143">
        <v>43679</v>
      </c>
      <c r="B1554">
        <v>147.25</v>
      </c>
      <c r="C1554">
        <v>8.1017200000000003</v>
      </c>
      <c r="D1554" t="s">
        <v>852</v>
      </c>
    </row>
    <row r="1555" spans="1:4" x14ac:dyDescent="0.25">
      <c r="A1555" s="143">
        <v>43682</v>
      </c>
      <c r="B1555">
        <v>140.76</v>
      </c>
      <c r="C1555">
        <v>7.1148709999999999</v>
      </c>
      <c r="D1555" t="s">
        <v>852</v>
      </c>
    </row>
    <row r="1556" spans="1:4" x14ac:dyDescent="0.25">
      <c r="A1556" s="143">
        <v>43683</v>
      </c>
      <c r="B1556">
        <v>140.72999999999999</v>
      </c>
      <c r="C1556">
        <v>5.0706499999999997</v>
      </c>
      <c r="D1556" t="s">
        <v>852</v>
      </c>
    </row>
    <row r="1557" spans="1:4" x14ac:dyDescent="0.25">
      <c r="A1557" s="143">
        <v>43684</v>
      </c>
      <c r="B1557">
        <v>139.11000000000001</v>
      </c>
      <c r="C1557">
        <v>5.931883</v>
      </c>
      <c r="D1557" t="s">
        <v>852</v>
      </c>
    </row>
    <row r="1558" spans="1:4" x14ac:dyDescent="0.25">
      <c r="A1558" s="143">
        <v>43685</v>
      </c>
      <c r="B1558">
        <v>140.1</v>
      </c>
      <c r="C1558">
        <v>5.261444</v>
      </c>
      <c r="D1558" t="s">
        <v>852</v>
      </c>
    </row>
    <row r="1559" spans="1:4" x14ac:dyDescent="0.25">
      <c r="A1559" s="143">
        <v>43686</v>
      </c>
      <c r="B1559">
        <v>136.13</v>
      </c>
      <c r="C1559">
        <v>5.2445940000000002</v>
      </c>
      <c r="D1559" t="s">
        <v>852</v>
      </c>
    </row>
    <row r="1560" spans="1:4" x14ac:dyDescent="0.25">
      <c r="A1560" s="143">
        <v>43689</v>
      </c>
      <c r="B1560">
        <v>133.66999999999999</v>
      </c>
      <c r="C1560">
        <v>4.08385</v>
      </c>
      <c r="D1560" t="s">
        <v>852</v>
      </c>
    </row>
    <row r="1561" spans="1:4" x14ac:dyDescent="0.25">
      <c r="A1561" s="143">
        <v>43690</v>
      </c>
      <c r="B1561">
        <v>135.79</v>
      </c>
      <c r="C1561">
        <v>4.5511699999999999</v>
      </c>
      <c r="D1561" t="s">
        <v>852</v>
      </c>
    </row>
    <row r="1562" spans="1:4" x14ac:dyDescent="0.25">
      <c r="A1562" s="143">
        <v>43691</v>
      </c>
      <c r="B1562">
        <v>131.25</v>
      </c>
      <c r="C1562">
        <v>5.1141589999999999</v>
      </c>
      <c r="D1562" t="s">
        <v>852</v>
      </c>
    </row>
    <row r="1563" spans="1:4" x14ac:dyDescent="0.25">
      <c r="A1563" s="143">
        <v>43692</v>
      </c>
      <c r="B1563">
        <v>131.91999999999999</v>
      </c>
      <c r="C1563">
        <v>3.7389450000000002</v>
      </c>
      <c r="D1563" t="s">
        <v>852</v>
      </c>
    </row>
    <row r="1564" spans="1:4" x14ac:dyDescent="0.25">
      <c r="A1564" s="143">
        <v>43693</v>
      </c>
      <c r="B1564">
        <v>133.76</v>
      </c>
      <c r="C1564">
        <v>3.0119929999999999</v>
      </c>
      <c r="D1564" t="s">
        <v>852</v>
      </c>
    </row>
    <row r="1565" spans="1:4" x14ac:dyDescent="0.25">
      <c r="A1565" s="143">
        <v>43696</v>
      </c>
      <c r="B1565">
        <v>135.04</v>
      </c>
      <c r="C1565">
        <v>3.1654360000000001</v>
      </c>
      <c r="D1565" t="s">
        <v>852</v>
      </c>
    </row>
    <row r="1566" spans="1:4" x14ac:dyDescent="0.25">
      <c r="A1566" s="143">
        <v>43697</v>
      </c>
      <c r="B1566">
        <v>133</v>
      </c>
      <c r="C1566">
        <v>3.0189339999999998</v>
      </c>
      <c r="D1566" t="s">
        <v>852</v>
      </c>
    </row>
    <row r="1567" spans="1:4" x14ac:dyDescent="0.25">
      <c r="A1567" s="143">
        <v>43698</v>
      </c>
      <c r="B1567">
        <v>134.25</v>
      </c>
      <c r="C1567">
        <v>2.8067739999999999</v>
      </c>
      <c r="D1567" t="s">
        <v>852</v>
      </c>
    </row>
    <row r="1568" spans="1:4" x14ac:dyDescent="0.25">
      <c r="A1568" s="143">
        <v>43699</v>
      </c>
      <c r="B1568">
        <v>134.32</v>
      </c>
      <c r="C1568">
        <v>2.6950090000000002</v>
      </c>
      <c r="D1568" t="s">
        <v>852</v>
      </c>
    </row>
    <row r="1569" spans="1:4" x14ac:dyDescent="0.25">
      <c r="A1569" s="143">
        <v>43700</v>
      </c>
      <c r="B1569">
        <v>129.57</v>
      </c>
      <c r="C1569">
        <v>4.818759</v>
      </c>
      <c r="D1569" t="s">
        <v>852</v>
      </c>
    </row>
    <row r="1570" spans="1:4" x14ac:dyDescent="0.25">
      <c r="A1570" s="143">
        <v>43703</v>
      </c>
      <c r="B1570">
        <v>129.99</v>
      </c>
      <c r="C1570">
        <v>2.8368370000000001</v>
      </c>
      <c r="D1570" t="s">
        <v>852</v>
      </c>
    </row>
    <row r="1571" spans="1:4" x14ac:dyDescent="0.25">
      <c r="A1571" s="143">
        <v>43704</v>
      </c>
      <c r="B1571">
        <v>131.16999999999999</v>
      </c>
      <c r="C1571">
        <v>4.7283920000000004</v>
      </c>
      <c r="D1571" t="s">
        <v>852</v>
      </c>
    </row>
    <row r="1572" spans="1:4" x14ac:dyDescent="0.25">
      <c r="A1572" s="143">
        <v>43705</v>
      </c>
      <c r="B1572">
        <v>132.76</v>
      </c>
      <c r="C1572">
        <v>2.7203620000000002</v>
      </c>
      <c r="D1572" t="s">
        <v>852</v>
      </c>
    </row>
    <row r="1573" spans="1:4" x14ac:dyDescent="0.25">
      <c r="A1573" s="143">
        <v>43706</v>
      </c>
      <c r="B1573">
        <v>134.88</v>
      </c>
      <c r="C1573">
        <v>2.972842</v>
      </c>
      <c r="D1573" t="s">
        <v>852</v>
      </c>
    </row>
    <row r="1574" spans="1:4" x14ac:dyDescent="0.25">
      <c r="A1574" s="143">
        <v>43707</v>
      </c>
      <c r="B1574">
        <v>135.53</v>
      </c>
      <c r="C1574">
        <v>2.9605939999999999</v>
      </c>
      <c r="D1574" t="s">
        <v>852</v>
      </c>
    </row>
    <row r="1575" spans="1:4" x14ac:dyDescent="0.25">
      <c r="A1575" s="143">
        <v>43711</v>
      </c>
      <c r="B1575">
        <v>134.1</v>
      </c>
      <c r="C1575">
        <v>2.8282419999999999</v>
      </c>
      <c r="D1575" t="s">
        <v>852</v>
      </c>
    </row>
    <row r="1576" spans="1:4" x14ac:dyDescent="0.25">
      <c r="A1576" s="143">
        <v>43712</v>
      </c>
      <c r="B1576">
        <v>136.32</v>
      </c>
      <c r="C1576">
        <v>2.2620809999999998</v>
      </c>
      <c r="D1576" t="s">
        <v>852</v>
      </c>
    </row>
    <row r="1577" spans="1:4" x14ac:dyDescent="0.25">
      <c r="A1577" s="143">
        <v>43713</v>
      </c>
      <c r="B1577">
        <v>140.97</v>
      </c>
      <c r="C1577">
        <v>5.0129140000000003</v>
      </c>
      <c r="D1577" t="s">
        <v>852</v>
      </c>
    </row>
    <row r="1578" spans="1:4" x14ac:dyDescent="0.25">
      <c r="A1578" s="143">
        <v>43714</v>
      </c>
      <c r="B1578">
        <v>140.57</v>
      </c>
      <c r="C1578">
        <v>2.5771999999999999</v>
      </c>
      <c r="D1578" t="s">
        <v>852</v>
      </c>
    </row>
    <row r="1579" spans="1:4" x14ac:dyDescent="0.25">
      <c r="A1579" s="143">
        <v>43717</v>
      </c>
      <c r="B1579">
        <v>142.6</v>
      </c>
      <c r="C1579">
        <v>4.2269439999999996</v>
      </c>
      <c r="D1579" t="s">
        <v>852</v>
      </c>
    </row>
    <row r="1580" spans="1:4" x14ac:dyDescent="0.25">
      <c r="A1580" s="143">
        <v>43718</v>
      </c>
      <c r="B1580">
        <v>145.05000000000001</v>
      </c>
      <c r="C1580">
        <v>4.9797409999999998</v>
      </c>
      <c r="D1580" t="s">
        <v>852</v>
      </c>
    </row>
    <row r="1581" spans="1:4" x14ac:dyDescent="0.25">
      <c r="A1581" s="143">
        <v>43719</v>
      </c>
      <c r="B1581">
        <v>143.6</v>
      </c>
      <c r="C1581">
        <v>3.8697309999999998</v>
      </c>
      <c r="D1581" t="s">
        <v>852</v>
      </c>
    </row>
    <row r="1582" spans="1:4" x14ac:dyDescent="0.25">
      <c r="A1582" s="143">
        <v>43720</v>
      </c>
      <c r="B1582">
        <v>143.62</v>
      </c>
      <c r="C1582">
        <v>2.5054319999999999</v>
      </c>
      <c r="D1582" t="s">
        <v>852</v>
      </c>
    </row>
    <row r="1583" spans="1:4" x14ac:dyDescent="0.25">
      <c r="A1583" s="143">
        <v>43721</v>
      </c>
      <c r="B1583">
        <v>143.66999999999999</v>
      </c>
      <c r="C1583">
        <v>2.2066119999999998</v>
      </c>
      <c r="D1583" t="s">
        <v>852</v>
      </c>
    </row>
    <row r="1584" spans="1:4" x14ac:dyDescent="0.25">
      <c r="A1584" s="143">
        <v>43724</v>
      </c>
      <c r="B1584">
        <v>142.47999999999999</v>
      </c>
      <c r="C1584">
        <v>1.9285000000000001</v>
      </c>
      <c r="D1584" t="s">
        <v>852</v>
      </c>
    </row>
    <row r="1585" spans="1:4" x14ac:dyDescent="0.25">
      <c r="A1585" s="143">
        <v>43725</v>
      </c>
      <c r="B1585">
        <v>142.19999999999999</v>
      </c>
      <c r="C1585">
        <v>2.9404940000000002</v>
      </c>
      <c r="D1585" t="s">
        <v>852</v>
      </c>
    </row>
    <row r="1586" spans="1:4" x14ac:dyDescent="0.25">
      <c r="A1586" s="143">
        <v>43726</v>
      </c>
      <c r="B1586">
        <v>142.22</v>
      </c>
      <c r="C1586">
        <v>1.9951589999999999</v>
      </c>
      <c r="D1586" t="s">
        <v>852</v>
      </c>
    </row>
    <row r="1587" spans="1:4" x14ac:dyDescent="0.25">
      <c r="A1587" s="143">
        <v>43727</v>
      </c>
      <c r="B1587">
        <v>142.97</v>
      </c>
      <c r="C1587">
        <v>3.1820919999999999</v>
      </c>
      <c r="D1587" t="s">
        <v>852</v>
      </c>
    </row>
    <row r="1588" spans="1:4" x14ac:dyDescent="0.25">
      <c r="A1588" s="143">
        <v>43728</v>
      </c>
      <c r="B1588">
        <v>141.88</v>
      </c>
      <c r="C1588">
        <v>5.2178810000000002</v>
      </c>
      <c r="D1588" t="s">
        <v>852</v>
      </c>
    </row>
    <row r="1589" spans="1:4" x14ac:dyDescent="0.25">
      <c r="A1589" s="143">
        <v>43731</v>
      </c>
      <c r="B1589">
        <v>142.07</v>
      </c>
      <c r="C1589">
        <v>1.850061</v>
      </c>
      <c r="D1589" t="s">
        <v>852</v>
      </c>
    </row>
    <row r="1590" spans="1:4" x14ac:dyDescent="0.25">
      <c r="A1590" s="143">
        <v>43732</v>
      </c>
      <c r="B1590">
        <v>141.68</v>
      </c>
      <c r="C1590">
        <v>3.3111709999999999</v>
      </c>
      <c r="D1590" t="s">
        <v>852</v>
      </c>
    </row>
    <row r="1591" spans="1:4" x14ac:dyDescent="0.25">
      <c r="A1591" s="143">
        <v>43733</v>
      </c>
      <c r="B1591">
        <v>143.16</v>
      </c>
      <c r="C1591">
        <v>2.5462050000000001</v>
      </c>
      <c r="D1591" t="s">
        <v>852</v>
      </c>
    </row>
    <row r="1592" spans="1:4" x14ac:dyDescent="0.25">
      <c r="A1592" s="143">
        <v>43734</v>
      </c>
      <c r="B1592">
        <v>143.55000000000001</v>
      </c>
      <c r="C1592">
        <v>2.3145419999999999</v>
      </c>
      <c r="D1592" t="s">
        <v>852</v>
      </c>
    </row>
    <row r="1593" spans="1:4" x14ac:dyDescent="0.25">
      <c r="A1593" s="143">
        <v>43735</v>
      </c>
      <c r="B1593">
        <v>143.24</v>
      </c>
      <c r="C1593">
        <v>2.3570820000000001</v>
      </c>
      <c r="D1593" t="s">
        <v>852</v>
      </c>
    </row>
    <row r="1594" spans="1:4" x14ac:dyDescent="0.25">
      <c r="A1594" s="143">
        <v>43738</v>
      </c>
      <c r="B1594">
        <v>145.41999999999999</v>
      </c>
      <c r="C1594">
        <v>4.004429</v>
      </c>
      <c r="D1594" t="s">
        <v>852</v>
      </c>
    </row>
    <row r="1595" spans="1:4" x14ac:dyDescent="0.25">
      <c r="A1595" s="143">
        <v>43739</v>
      </c>
      <c r="B1595">
        <v>143.66</v>
      </c>
      <c r="C1595">
        <v>2.9737140000000002</v>
      </c>
      <c r="D1595" t="s">
        <v>852</v>
      </c>
    </row>
    <row r="1596" spans="1:4" x14ac:dyDescent="0.25">
      <c r="A1596" s="143">
        <v>43740</v>
      </c>
      <c r="B1596">
        <v>141.69</v>
      </c>
      <c r="C1596">
        <v>3.3472759999999999</v>
      </c>
      <c r="D1596" t="s">
        <v>852</v>
      </c>
    </row>
    <row r="1597" spans="1:4" x14ac:dyDescent="0.25">
      <c r="A1597" s="143">
        <v>43741</v>
      </c>
      <c r="B1597">
        <v>142.02000000000001</v>
      </c>
      <c r="C1597">
        <v>3.161718</v>
      </c>
      <c r="D1597" t="s">
        <v>852</v>
      </c>
    </row>
    <row r="1598" spans="1:4" x14ac:dyDescent="0.25">
      <c r="A1598" s="143">
        <v>43742</v>
      </c>
      <c r="B1598">
        <v>142.99</v>
      </c>
      <c r="C1598">
        <v>2.4494829999999999</v>
      </c>
      <c r="D1598" t="s">
        <v>852</v>
      </c>
    </row>
    <row r="1599" spans="1:4" x14ac:dyDescent="0.25">
      <c r="A1599" s="143">
        <v>43745</v>
      </c>
      <c r="B1599">
        <v>141.28</v>
      </c>
      <c r="C1599">
        <v>2.4887990000000002</v>
      </c>
      <c r="D1599" t="s">
        <v>852</v>
      </c>
    </row>
    <row r="1600" spans="1:4" x14ac:dyDescent="0.25">
      <c r="A1600" s="143">
        <v>43746</v>
      </c>
      <c r="B1600">
        <v>138.38</v>
      </c>
      <c r="C1600">
        <v>3.3440829999999999</v>
      </c>
      <c r="D1600" t="s">
        <v>852</v>
      </c>
    </row>
    <row r="1601" spans="1:4" x14ac:dyDescent="0.25">
      <c r="A1601" s="143">
        <v>43747</v>
      </c>
      <c r="B1601">
        <v>139.66999999999999</v>
      </c>
      <c r="C1601">
        <v>2.6334719999999998</v>
      </c>
      <c r="D1601" t="s">
        <v>852</v>
      </c>
    </row>
    <row r="1602" spans="1:4" x14ac:dyDescent="0.25">
      <c r="A1602" s="143">
        <v>43748</v>
      </c>
      <c r="B1602">
        <v>141.13</v>
      </c>
      <c r="C1602">
        <v>2.646693</v>
      </c>
      <c r="D1602" t="s">
        <v>852</v>
      </c>
    </row>
    <row r="1603" spans="1:4" x14ac:dyDescent="0.25">
      <c r="A1603" s="143">
        <v>43749</v>
      </c>
      <c r="B1603">
        <v>142.76</v>
      </c>
      <c r="C1603">
        <v>3.018669</v>
      </c>
      <c r="D1603" t="s">
        <v>852</v>
      </c>
    </row>
    <row r="1604" spans="1:4" x14ac:dyDescent="0.25">
      <c r="A1604" s="143">
        <v>43752</v>
      </c>
      <c r="B1604">
        <v>142.04</v>
      </c>
      <c r="C1604">
        <v>2.325609</v>
      </c>
      <c r="D1604" t="s">
        <v>852</v>
      </c>
    </row>
    <row r="1605" spans="1:4" x14ac:dyDescent="0.25">
      <c r="A1605" s="143">
        <v>43753</v>
      </c>
      <c r="B1605">
        <v>143</v>
      </c>
      <c r="C1605">
        <v>3.046999</v>
      </c>
      <c r="D1605" t="s">
        <v>852</v>
      </c>
    </row>
    <row r="1606" spans="1:4" x14ac:dyDescent="0.25">
      <c r="A1606" s="143">
        <v>43754</v>
      </c>
      <c r="B1606">
        <v>142.11000000000001</v>
      </c>
      <c r="C1606">
        <v>5.915705</v>
      </c>
      <c r="D1606" t="s">
        <v>852</v>
      </c>
    </row>
    <row r="1607" spans="1:4" x14ac:dyDescent="0.25">
      <c r="A1607" s="143">
        <v>43755</v>
      </c>
      <c r="B1607">
        <v>134.26</v>
      </c>
      <c r="C1607">
        <v>15.83081</v>
      </c>
      <c r="D1607" t="s">
        <v>852</v>
      </c>
    </row>
    <row r="1608" spans="1:4" x14ac:dyDescent="0.25">
      <c r="A1608" s="143">
        <v>43756</v>
      </c>
      <c r="B1608">
        <v>134.09</v>
      </c>
      <c r="C1608">
        <v>7.1783789999999996</v>
      </c>
      <c r="D1608" t="s">
        <v>852</v>
      </c>
    </row>
    <row r="1609" spans="1:4" x14ac:dyDescent="0.25">
      <c r="A1609" s="143">
        <v>43759</v>
      </c>
      <c r="B1609">
        <v>132.58000000000001</v>
      </c>
      <c r="C1609">
        <v>6.3729829999999996</v>
      </c>
      <c r="D1609" t="s">
        <v>852</v>
      </c>
    </row>
    <row r="1610" spans="1:4" x14ac:dyDescent="0.25">
      <c r="A1610" s="143">
        <v>43760</v>
      </c>
      <c r="B1610">
        <v>133.96</v>
      </c>
      <c r="C1610">
        <v>4.1958029999999997</v>
      </c>
      <c r="D1610" t="s">
        <v>852</v>
      </c>
    </row>
    <row r="1611" spans="1:4" x14ac:dyDescent="0.25">
      <c r="A1611" s="143">
        <v>43761</v>
      </c>
      <c r="B1611">
        <v>134.38</v>
      </c>
      <c r="C1611">
        <v>3.627345</v>
      </c>
      <c r="D1611" t="s">
        <v>852</v>
      </c>
    </row>
    <row r="1612" spans="1:4" x14ac:dyDescent="0.25">
      <c r="A1612" s="143">
        <v>43762</v>
      </c>
      <c r="B1612">
        <v>134.07</v>
      </c>
      <c r="C1612">
        <v>2.6193089999999999</v>
      </c>
      <c r="D1612" t="s">
        <v>852</v>
      </c>
    </row>
    <row r="1613" spans="1:4" x14ac:dyDescent="0.25">
      <c r="A1613" s="143">
        <v>43763</v>
      </c>
      <c r="B1613">
        <v>135.44</v>
      </c>
      <c r="C1613">
        <v>2.5790549999999999</v>
      </c>
      <c r="D1613" t="s">
        <v>852</v>
      </c>
    </row>
    <row r="1614" spans="1:4" x14ac:dyDescent="0.25">
      <c r="A1614" s="143">
        <v>43766</v>
      </c>
      <c r="B1614">
        <v>135.97</v>
      </c>
      <c r="C1614">
        <v>3.2261320000000002</v>
      </c>
      <c r="D1614" t="s">
        <v>852</v>
      </c>
    </row>
    <row r="1615" spans="1:4" x14ac:dyDescent="0.25">
      <c r="A1615" s="143">
        <v>43767</v>
      </c>
      <c r="B1615">
        <v>133.82</v>
      </c>
      <c r="C1615">
        <v>4.1607180000000001</v>
      </c>
      <c r="D1615" t="s">
        <v>852</v>
      </c>
    </row>
    <row r="1616" spans="1:4" x14ac:dyDescent="0.25">
      <c r="A1616" s="143">
        <v>43768</v>
      </c>
      <c r="B1616">
        <v>135.25</v>
      </c>
      <c r="C1616">
        <v>2.2529889999999999</v>
      </c>
      <c r="D1616" t="s">
        <v>852</v>
      </c>
    </row>
    <row r="1617" spans="1:4" x14ac:dyDescent="0.25">
      <c r="A1617" s="143">
        <v>43769</v>
      </c>
      <c r="B1617">
        <v>133.72999999999999</v>
      </c>
      <c r="C1617">
        <v>3.4121190000000001</v>
      </c>
      <c r="D1617" t="s">
        <v>852</v>
      </c>
    </row>
    <row r="1618" spans="1:4" x14ac:dyDescent="0.25">
      <c r="A1618" s="143">
        <v>43770</v>
      </c>
      <c r="B1618">
        <v>135.53</v>
      </c>
      <c r="C1618">
        <v>3.0897890000000001</v>
      </c>
      <c r="D1618" t="s">
        <v>852</v>
      </c>
    </row>
    <row r="1619" spans="1:4" x14ac:dyDescent="0.25">
      <c r="A1619" s="143">
        <v>43773</v>
      </c>
      <c r="B1619">
        <v>137.66999999999999</v>
      </c>
      <c r="C1619">
        <v>3.3353890000000002</v>
      </c>
      <c r="D1619" t="s">
        <v>852</v>
      </c>
    </row>
    <row r="1620" spans="1:4" x14ac:dyDescent="0.25">
      <c r="A1620" s="143">
        <v>43774</v>
      </c>
      <c r="B1620">
        <v>137.88999999999999</v>
      </c>
      <c r="C1620">
        <v>3.014961</v>
      </c>
      <c r="D1620" t="s">
        <v>852</v>
      </c>
    </row>
    <row r="1621" spans="1:4" x14ac:dyDescent="0.25">
      <c r="A1621" s="143">
        <v>43775</v>
      </c>
      <c r="B1621">
        <v>138.78</v>
      </c>
      <c r="C1621">
        <v>4.4772910000000001</v>
      </c>
      <c r="D1621" t="s">
        <v>852</v>
      </c>
    </row>
    <row r="1622" spans="1:4" x14ac:dyDescent="0.25">
      <c r="A1622" s="143">
        <v>43776</v>
      </c>
      <c r="B1622">
        <v>137.69</v>
      </c>
      <c r="C1622">
        <v>4.0739080000000003</v>
      </c>
      <c r="D1622" t="s">
        <v>852</v>
      </c>
    </row>
    <row r="1623" spans="1:4" x14ac:dyDescent="0.25">
      <c r="A1623" s="143">
        <v>43777</v>
      </c>
      <c r="B1623">
        <v>137.61000000000001</v>
      </c>
      <c r="C1623">
        <v>2.2786019999999998</v>
      </c>
      <c r="D1623" t="s">
        <v>852</v>
      </c>
    </row>
    <row r="1624" spans="1:4" x14ac:dyDescent="0.25">
      <c r="A1624" s="143">
        <v>43780</v>
      </c>
      <c r="B1624">
        <v>135.47</v>
      </c>
      <c r="C1624">
        <v>2.5687549999999999</v>
      </c>
      <c r="D1624" t="s">
        <v>852</v>
      </c>
    </row>
    <row r="1625" spans="1:4" x14ac:dyDescent="0.25">
      <c r="A1625" s="143">
        <v>43781</v>
      </c>
      <c r="B1625">
        <v>135.59</v>
      </c>
      <c r="C1625">
        <v>3.0465360000000001</v>
      </c>
      <c r="D1625" t="s">
        <v>852</v>
      </c>
    </row>
    <row r="1626" spans="1:4" x14ac:dyDescent="0.25">
      <c r="A1626" s="143">
        <v>43782</v>
      </c>
      <c r="B1626">
        <v>134.47999999999999</v>
      </c>
      <c r="C1626">
        <v>3.060924</v>
      </c>
      <c r="D1626" t="s">
        <v>852</v>
      </c>
    </row>
    <row r="1627" spans="1:4" x14ac:dyDescent="0.25">
      <c r="A1627" s="143">
        <v>43783</v>
      </c>
      <c r="B1627">
        <v>134</v>
      </c>
      <c r="C1627">
        <v>4.231471</v>
      </c>
      <c r="D1627" t="s">
        <v>852</v>
      </c>
    </row>
    <row r="1628" spans="1:4" x14ac:dyDescent="0.25">
      <c r="A1628" s="143">
        <v>43784</v>
      </c>
      <c r="B1628">
        <v>134.4</v>
      </c>
      <c r="C1628">
        <v>3.2626559999999998</v>
      </c>
      <c r="D1628" t="s">
        <v>852</v>
      </c>
    </row>
    <row r="1629" spans="1:4" x14ac:dyDescent="0.25">
      <c r="A1629" s="143">
        <v>43787</v>
      </c>
      <c r="B1629">
        <v>134.31</v>
      </c>
      <c r="C1629">
        <v>3.2108720000000002</v>
      </c>
      <c r="D1629" t="s">
        <v>852</v>
      </c>
    </row>
    <row r="1630" spans="1:4" x14ac:dyDescent="0.25">
      <c r="A1630" s="143">
        <v>43788</v>
      </c>
      <c r="B1630">
        <v>134.52000000000001</v>
      </c>
      <c r="C1630">
        <v>2.9950709999999998</v>
      </c>
      <c r="D1630" t="s">
        <v>852</v>
      </c>
    </row>
    <row r="1631" spans="1:4" x14ac:dyDescent="0.25">
      <c r="A1631" s="143">
        <v>43789</v>
      </c>
      <c r="B1631">
        <v>133.19999999999999</v>
      </c>
      <c r="C1631">
        <v>4.1401479999999999</v>
      </c>
      <c r="D1631" t="s">
        <v>852</v>
      </c>
    </row>
    <row r="1632" spans="1:4" x14ac:dyDescent="0.25">
      <c r="A1632" s="143">
        <v>43790</v>
      </c>
      <c r="B1632">
        <v>133.84</v>
      </c>
      <c r="C1632">
        <v>3.3453430000000002</v>
      </c>
      <c r="D1632" t="s">
        <v>852</v>
      </c>
    </row>
    <row r="1633" spans="1:4" x14ac:dyDescent="0.25">
      <c r="A1633" s="143">
        <v>43791</v>
      </c>
      <c r="B1633">
        <v>134.34</v>
      </c>
      <c r="C1633">
        <v>3.2977970000000001</v>
      </c>
      <c r="D1633" t="s">
        <v>852</v>
      </c>
    </row>
    <row r="1634" spans="1:4" x14ac:dyDescent="0.25">
      <c r="A1634" s="143">
        <v>43794</v>
      </c>
      <c r="B1634">
        <v>135.97</v>
      </c>
      <c r="C1634">
        <v>2.5901700000000001</v>
      </c>
      <c r="D1634" t="s">
        <v>852</v>
      </c>
    </row>
    <row r="1635" spans="1:4" x14ac:dyDescent="0.25">
      <c r="A1635" s="143">
        <v>43795</v>
      </c>
      <c r="B1635">
        <v>135.09</v>
      </c>
      <c r="C1635">
        <v>3.7933370000000002</v>
      </c>
      <c r="D1635" t="s">
        <v>852</v>
      </c>
    </row>
    <row r="1636" spans="1:4" x14ac:dyDescent="0.25">
      <c r="A1636" s="143">
        <v>43796</v>
      </c>
      <c r="B1636">
        <v>133.77000000000001</v>
      </c>
      <c r="C1636">
        <v>3.2828270000000002</v>
      </c>
      <c r="D1636" t="s">
        <v>852</v>
      </c>
    </row>
    <row r="1637" spans="1:4" x14ac:dyDescent="0.25">
      <c r="A1637" s="143">
        <v>43798</v>
      </c>
      <c r="B1637">
        <v>134.44999999999999</v>
      </c>
      <c r="C1637">
        <v>1.8252550000000001</v>
      </c>
      <c r="D1637" t="s">
        <v>852</v>
      </c>
    </row>
    <row r="1638" spans="1:4" x14ac:dyDescent="0.25">
      <c r="A1638" s="143">
        <v>43801</v>
      </c>
      <c r="B1638">
        <v>132.91</v>
      </c>
      <c r="C1638">
        <v>3.067831</v>
      </c>
      <c r="D1638" t="s">
        <v>852</v>
      </c>
    </row>
    <row r="1639" spans="1:4" x14ac:dyDescent="0.25">
      <c r="A1639" s="143">
        <v>43802</v>
      </c>
      <c r="B1639">
        <v>132.12</v>
      </c>
      <c r="C1639">
        <v>3.711071</v>
      </c>
      <c r="D1639" t="s">
        <v>852</v>
      </c>
    </row>
    <row r="1640" spans="1:4" x14ac:dyDescent="0.25">
      <c r="A1640" s="143">
        <v>43803</v>
      </c>
      <c r="B1640">
        <v>131.99</v>
      </c>
      <c r="C1640">
        <v>3.5307729999999999</v>
      </c>
      <c r="D1640" t="s">
        <v>852</v>
      </c>
    </row>
    <row r="1641" spans="1:4" x14ac:dyDescent="0.25">
      <c r="A1641" s="143">
        <v>43804</v>
      </c>
      <c r="B1641">
        <v>131.91</v>
      </c>
      <c r="C1641">
        <v>3.5985779999999998</v>
      </c>
      <c r="D1641" t="s">
        <v>852</v>
      </c>
    </row>
    <row r="1642" spans="1:4" x14ac:dyDescent="0.25">
      <c r="A1642" s="143">
        <v>43805</v>
      </c>
      <c r="B1642">
        <v>133.22</v>
      </c>
      <c r="C1642">
        <v>3.4379940000000002</v>
      </c>
      <c r="D1642" t="s">
        <v>852</v>
      </c>
    </row>
    <row r="1643" spans="1:4" x14ac:dyDescent="0.25">
      <c r="A1643" s="143">
        <v>43808</v>
      </c>
      <c r="B1643">
        <v>133.91999999999999</v>
      </c>
      <c r="C1643">
        <v>2.9788009999999998</v>
      </c>
      <c r="D1643" t="s">
        <v>852</v>
      </c>
    </row>
    <row r="1644" spans="1:4" x14ac:dyDescent="0.25">
      <c r="A1644" s="143">
        <v>43809</v>
      </c>
      <c r="B1644">
        <v>133.91</v>
      </c>
      <c r="C1644">
        <v>3.4803850000000001</v>
      </c>
      <c r="D1644" t="s">
        <v>852</v>
      </c>
    </row>
    <row r="1645" spans="1:4" x14ac:dyDescent="0.25">
      <c r="A1645" s="143">
        <v>43810</v>
      </c>
      <c r="B1645">
        <v>133.76</v>
      </c>
      <c r="C1645">
        <v>3.9533109999999998</v>
      </c>
      <c r="D1645" t="s">
        <v>852</v>
      </c>
    </row>
    <row r="1646" spans="1:4" x14ac:dyDescent="0.25">
      <c r="A1646" s="143">
        <v>43811</v>
      </c>
      <c r="B1646">
        <v>135.32</v>
      </c>
      <c r="C1646">
        <v>4.8241860000000001</v>
      </c>
      <c r="D1646" t="s">
        <v>852</v>
      </c>
    </row>
    <row r="1647" spans="1:4" x14ac:dyDescent="0.25">
      <c r="A1647" s="143">
        <v>43812</v>
      </c>
      <c r="B1647">
        <v>134.21</v>
      </c>
      <c r="C1647">
        <v>2.5349699999999999</v>
      </c>
      <c r="D1647" t="s">
        <v>852</v>
      </c>
    </row>
    <row r="1648" spans="1:4" x14ac:dyDescent="0.25">
      <c r="A1648" s="143">
        <v>43815</v>
      </c>
      <c r="B1648">
        <v>134.13</v>
      </c>
      <c r="C1648">
        <v>3.0493250000000001</v>
      </c>
      <c r="D1648" t="s">
        <v>852</v>
      </c>
    </row>
    <row r="1649" spans="1:4" x14ac:dyDescent="0.25">
      <c r="A1649" s="143">
        <v>43816</v>
      </c>
      <c r="B1649">
        <v>134.22</v>
      </c>
      <c r="C1649">
        <v>2.9075470000000001</v>
      </c>
      <c r="D1649" t="s">
        <v>852</v>
      </c>
    </row>
    <row r="1650" spans="1:4" x14ac:dyDescent="0.25">
      <c r="A1650" s="143">
        <v>43817</v>
      </c>
      <c r="B1650">
        <v>134.41</v>
      </c>
      <c r="C1650">
        <v>3.1023529999999999</v>
      </c>
      <c r="D1650" t="s">
        <v>852</v>
      </c>
    </row>
    <row r="1651" spans="1:4" x14ac:dyDescent="0.25">
      <c r="A1651" s="143">
        <v>43818</v>
      </c>
      <c r="B1651">
        <v>134.56</v>
      </c>
      <c r="C1651">
        <v>3.866717</v>
      </c>
      <c r="D1651" t="s">
        <v>852</v>
      </c>
    </row>
    <row r="1652" spans="1:4" x14ac:dyDescent="0.25">
      <c r="A1652" s="143">
        <v>43819</v>
      </c>
      <c r="B1652">
        <v>135.59</v>
      </c>
      <c r="C1652">
        <v>7.1120720000000004</v>
      </c>
      <c r="D1652" t="s">
        <v>852</v>
      </c>
    </row>
    <row r="1653" spans="1:4" x14ac:dyDescent="0.25">
      <c r="A1653" s="143">
        <v>43822</v>
      </c>
      <c r="B1653">
        <v>135.55000000000001</v>
      </c>
      <c r="C1653">
        <v>2.8031679999999999</v>
      </c>
      <c r="D1653" t="s">
        <v>852</v>
      </c>
    </row>
    <row r="1654" spans="1:4" x14ac:dyDescent="0.25">
      <c r="A1654" s="143">
        <v>43823</v>
      </c>
      <c r="B1654">
        <v>134.97999999999999</v>
      </c>
      <c r="C1654">
        <v>1.2020869999999999</v>
      </c>
      <c r="D1654" t="s">
        <v>852</v>
      </c>
    </row>
    <row r="1655" spans="1:4" x14ac:dyDescent="0.25">
      <c r="A1655" s="143">
        <v>43825</v>
      </c>
      <c r="B1655">
        <v>134.91</v>
      </c>
      <c r="C1655">
        <v>2.130706</v>
      </c>
      <c r="D1655" t="s">
        <v>852</v>
      </c>
    </row>
    <row r="1656" spans="1:4" x14ac:dyDescent="0.25">
      <c r="A1656" s="143">
        <v>43826</v>
      </c>
      <c r="B1656">
        <v>135.27000000000001</v>
      </c>
      <c r="C1656">
        <v>2.7527059999999999</v>
      </c>
      <c r="D1656" t="s">
        <v>852</v>
      </c>
    </row>
    <row r="1657" spans="1:4" x14ac:dyDescent="0.25">
      <c r="A1657" s="143">
        <v>43829</v>
      </c>
      <c r="B1657">
        <v>132.81</v>
      </c>
      <c r="C1657">
        <v>4.1189369999999998</v>
      </c>
      <c r="D1657" t="s">
        <v>852</v>
      </c>
    </row>
    <row r="1658" spans="1:4" x14ac:dyDescent="0.25">
      <c r="A1658" s="143">
        <v>43830</v>
      </c>
      <c r="B1658">
        <v>134.04</v>
      </c>
      <c r="C1658">
        <v>3.7780119999999999</v>
      </c>
      <c r="D1658" t="s">
        <v>852</v>
      </c>
    </row>
    <row r="1659" spans="1:4" x14ac:dyDescent="0.25">
      <c r="A1659" s="143">
        <v>43832</v>
      </c>
      <c r="B1659">
        <v>135.41999999999999</v>
      </c>
      <c r="C1659">
        <v>3.1488330000000002</v>
      </c>
      <c r="D1659" t="s">
        <v>852</v>
      </c>
    </row>
    <row r="1660" spans="1:4" x14ac:dyDescent="0.25">
      <c r="A1660" s="143">
        <v>43833</v>
      </c>
      <c r="B1660">
        <v>134.34</v>
      </c>
      <c r="C1660">
        <v>2.3736760000000001</v>
      </c>
      <c r="D1660" t="s">
        <v>852</v>
      </c>
    </row>
    <row r="1661" spans="1:4" x14ac:dyDescent="0.25">
      <c r="A1661" s="143">
        <v>43836</v>
      </c>
      <c r="B1661">
        <v>134.1</v>
      </c>
      <c r="C1661">
        <v>2.4263050000000002</v>
      </c>
      <c r="D1661" t="s">
        <v>852</v>
      </c>
    </row>
    <row r="1662" spans="1:4" x14ac:dyDescent="0.25">
      <c r="A1662" s="143">
        <v>43837</v>
      </c>
      <c r="B1662">
        <v>134.19</v>
      </c>
      <c r="C1662">
        <v>3.2759680000000002</v>
      </c>
      <c r="D1662" t="s">
        <v>852</v>
      </c>
    </row>
    <row r="1663" spans="1:4" x14ac:dyDescent="0.25">
      <c r="A1663" s="143">
        <v>43838</v>
      </c>
      <c r="B1663">
        <v>135.31</v>
      </c>
      <c r="C1663">
        <v>4.3461400000000001</v>
      </c>
      <c r="D1663" t="s">
        <v>852</v>
      </c>
    </row>
    <row r="1664" spans="1:4" x14ac:dyDescent="0.25">
      <c r="A1664" s="143">
        <v>43839</v>
      </c>
      <c r="B1664">
        <v>136.74</v>
      </c>
      <c r="C1664">
        <v>3.7328299999999999</v>
      </c>
      <c r="D1664" t="s">
        <v>852</v>
      </c>
    </row>
    <row r="1665" spans="1:4" x14ac:dyDescent="0.25">
      <c r="A1665" s="143">
        <v>43840</v>
      </c>
      <c r="B1665">
        <v>136.69</v>
      </c>
      <c r="C1665">
        <v>3.2556409999999998</v>
      </c>
      <c r="D1665" t="s">
        <v>852</v>
      </c>
    </row>
    <row r="1666" spans="1:4" x14ac:dyDescent="0.25">
      <c r="A1666" s="143">
        <v>43843</v>
      </c>
      <c r="B1666">
        <v>136.6</v>
      </c>
      <c r="C1666">
        <v>3.5315720000000002</v>
      </c>
      <c r="D1666" t="s">
        <v>852</v>
      </c>
    </row>
    <row r="1667" spans="1:4" x14ac:dyDescent="0.25">
      <c r="A1667" s="143">
        <v>43844</v>
      </c>
      <c r="B1667">
        <v>135.82</v>
      </c>
      <c r="C1667">
        <v>3.6834579999999999</v>
      </c>
      <c r="D1667" t="s">
        <v>852</v>
      </c>
    </row>
    <row r="1668" spans="1:4" x14ac:dyDescent="0.25">
      <c r="A1668" s="143">
        <v>43845</v>
      </c>
      <c r="B1668">
        <v>136.62</v>
      </c>
      <c r="C1668">
        <v>4.0459519999999998</v>
      </c>
      <c r="D1668" t="s">
        <v>852</v>
      </c>
    </row>
    <row r="1669" spans="1:4" x14ac:dyDescent="0.25">
      <c r="A1669" s="143">
        <v>43846</v>
      </c>
      <c r="B1669">
        <v>137.97999999999999</v>
      </c>
      <c r="C1669">
        <v>4.3209109999999997</v>
      </c>
      <c r="D1669" t="s">
        <v>852</v>
      </c>
    </row>
    <row r="1670" spans="1:4" x14ac:dyDescent="0.25">
      <c r="A1670" s="143">
        <v>43847</v>
      </c>
      <c r="B1670">
        <v>138.31</v>
      </c>
      <c r="C1670">
        <v>5.6233360000000001</v>
      </c>
      <c r="D1670" t="s">
        <v>852</v>
      </c>
    </row>
    <row r="1671" spans="1:4" x14ac:dyDescent="0.25">
      <c r="A1671" s="143">
        <v>43851</v>
      </c>
      <c r="B1671">
        <v>139.16999999999999</v>
      </c>
      <c r="C1671">
        <v>7.2440790000000002</v>
      </c>
      <c r="D1671" t="s">
        <v>852</v>
      </c>
    </row>
    <row r="1672" spans="1:4" x14ac:dyDescent="0.25">
      <c r="A1672" s="143">
        <v>43852</v>
      </c>
      <c r="B1672">
        <v>143.88999999999999</v>
      </c>
      <c r="C1672">
        <v>16.470431000000001</v>
      </c>
      <c r="D1672" t="s">
        <v>852</v>
      </c>
    </row>
    <row r="1673" spans="1:4" x14ac:dyDescent="0.25">
      <c r="A1673" s="143">
        <v>43853</v>
      </c>
      <c r="B1673">
        <v>142.87</v>
      </c>
      <c r="C1673">
        <v>5.6577900000000003</v>
      </c>
      <c r="D1673" t="s">
        <v>852</v>
      </c>
    </row>
    <row r="1674" spans="1:4" x14ac:dyDescent="0.25">
      <c r="A1674" s="143">
        <v>43854</v>
      </c>
      <c r="B1674">
        <v>140.56</v>
      </c>
      <c r="C1674">
        <v>5.5801889999999998</v>
      </c>
      <c r="D1674" t="s">
        <v>852</v>
      </c>
    </row>
    <row r="1675" spans="1:4" x14ac:dyDescent="0.25">
      <c r="A1675" s="143">
        <v>43857</v>
      </c>
      <c r="B1675">
        <v>138.62</v>
      </c>
      <c r="C1675">
        <v>4.1665619999999999</v>
      </c>
      <c r="D1675" t="s">
        <v>852</v>
      </c>
    </row>
    <row r="1676" spans="1:4" x14ac:dyDescent="0.25">
      <c r="A1676" s="143">
        <v>43858</v>
      </c>
      <c r="B1676">
        <v>139.55000000000001</v>
      </c>
      <c r="C1676">
        <v>3.4515570000000002</v>
      </c>
      <c r="D1676" t="s">
        <v>852</v>
      </c>
    </row>
    <row r="1677" spans="1:4" x14ac:dyDescent="0.25">
      <c r="A1677" s="143">
        <v>43859</v>
      </c>
      <c r="B1677">
        <v>137.69</v>
      </c>
      <c r="C1677">
        <v>3.0547140000000002</v>
      </c>
      <c r="D1677" t="s">
        <v>852</v>
      </c>
    </row>
    <row r="1678" spans="1:4" x14ac:dyDescent="0.25">
      <c r="A1678" s="143">
        <v>43860</v>
      </c>
      <c r="B1678">
        <v>136.77000000000001</v>
      </c>
      <c r="C1678">
        <v>5.057906</v>
      </c>
      <c r="D1678" t="s">
        <v>852</v>
      </c>
    </row>
    <row r="1679" spans="1:4" x14ac:dyDescent="0.25">
      <c r="A1679" s="143">
        <v>43861</v>
      </c>
      <c r="B1679">
        <v>143.72999999999999</v>
      </c>
      <c r="C1679">
        <v>18.99456</v>
      </c>
      <c r="D1679" t="s">
        <v>852</v>
      </c>
    </row>
    <row r="1680" spans="1:4" x14ac:dyDescent="0.25">
      <c r="A1680" s="143">
        <v>43864</v>
      </c>
      <c r="B1680">
        <v>146.27000000000001</v>
      </c>
      <c r="C1680">
        <v>8.8875019999999996</v>
      </c>
      <c r="D1680" t="s">
        <v>852</v>
      </c>
    </row>
    <row r="1681" spans="1:4" x14ac:dyDescent="0.25">
      <c r="A1681" s="143">
        <v>43865</v>
      </c>
      <c r="B1681">
        <v>149.11000000000001</v>
      </c>
      <c r="C1681">
        <v>5.6209660000000001</v>
      </c>
      <c r="D1681" t="s">
        <v>852</v>
      </c>
    </row>
    <row r="1682" spans="1:4" x14ac:dyDescent="0.25">
      <c r="A1682" s="143">
        <v>43866</v>
      </c>
      <c r="B1682">
        <v>156.33000000000001</v>
      </c>
      <c r="C1682">
        <v>14.386823</v>
      </c>
      <c r="D1682" t="s">
        <v>852</v>
      </c>
    </row>
    <row r="1683" spans="1:4" x14ac:dyDescent="0.25">
      <c r="A1683" s="143">
        <v>43867</v>
      </c>
      <c r="B1683">
        <v>156.76</v>
      </c>
      <c r="C1683">
        <v>8.4005449999999993</v>
      </c>
      <c r="D1683" t="s">
        <v>852</v>
      </c>
    </row>
    <row r="1684" spans="1:4" x14ac:dyDescent="0.25">
      <c r="A1684" s="143">
        <v>43868</v>
      </c>
      <c r="B1684">
        <v>153.41</v>
      </c>
      <c r="C1684">
        <v>6.4234289999999996</v>
      </c>
      <c r="D1684" t="s">
        <v>852</v>
      </c>
    </row>
    <row r="1685" spans="1:4" x14ac:dyDescent="0.25">
      <c r="A1685" s="143">
        <v>43871</v>
      </c>
      <c r="B1685">
        <v>154.43</v>
      </c>
      <c r="C1685">
        <v>5.2398069999999999</v>
      </c>
      <c r="D1685" t="s">
        <v>852</v>
      </c>
    </row>
    <row r="1686" spans="1:4" x14ac:dyDescent="0.25">
      <c r="A1686" s="143">
        <v>43872</v>
      </c>
      <c r="B1686">
        <v>153.47999999999999</v>
      </c>
      <c r="C1686">
        <v>3.8351120000000001</v>
      </c>
      <c r="D1686" t="s">
        <v>852</v>
      </c>
    </row>
    <row r="1687" spans="1:4" x14ac:dyDescent="0.25">
      <c r="A1687" s="143">
        <v>43873</v>
      </c>
      <c r="B1687">
        <v>155.31</v>
      </c>
      <c r="C1687">
        <v>4.4380069999999998</v>
      </c>
      <c r="D1687" t="s">
        <v>852</v>
      </c>
    </row>
    <row r="1688" spans="1:4" x14ac:dyDescent="0.25">
      <c r="A1688" s="143">
        <v>43874</v>
      </c>
      <c r="B1688">
        <v>154.31</v>
      </c>
      <c r="C1688">
        <v>3.820697</v>
      </c>
      <c r="D1688" t="s">
        <v>852</v>
      </c>
    </row>
    <row r="1689" spans="1:4" x14ac:dyDescent="0.25">
      <c r="A1689" s="143">
        <v>43875</v>
      </c>
      <c r="B1689">
        <v>150.69999999999999</v>
      </c>
      <c r="C1689">
        <v>6.0992439999999997</v>
      </c>
      <c r="D1689" t="s">
        <v>852</v>
      </c>
    </row>
    <row r="1690" spans="1:4" x14ac:dyDescent="0.25">
      <c r="A1690" s="143">
        <v>43879</v>
      </c>
      <c r="B1690">
        <v>151.1</v>
      </c>
      <c r="C1690">
        <v>3.3435139999999999</v>
      </c>
      <c r="D1690" t="s">
        <v>852</v>
      </c>
    </row>
    <row r="1691" spans="1:4" x14ac:dyDescent="0.25">
      <c r="A1691" s="143">
        <v>43880</v>
      </c>
      <c r="B1691">
        <v>150.86000000000001</v>
      </c>
      <c r="C1691">
        <v>2.7332770000000002</v>
      </c>
      <c r="D1691" t="s">
        <v>852</v>
      </c>
    </row>
    <row r="1692" spans="1:4" x14ac:dyDescent="0.25">
      <c r="A1692" s="143">
        <v>43881</v>
      </c>
      <c r="B1692">
        <v>151.22</v>
      </c>
      <c r="C1692">
        <v>2.880709</v>
      </c>
      <c r="D1692" t="s">
        <v>852</v>
      </c>
    </row>
    <row r="1693" spans="1:4" x14ac:dyDescent="0.25">
      <c r="A1693" s="143">
        <v>43882</v>
      </c>
      <c r="B1693">
        <v>149.84</v>
      </c>
      <c r="C1693">
        <v>3.537258</v>
      </c>
      <c r="D1693" t="s">
        <v>852</v>
      </c>
    </row>
    <row r="1694" spans="1:4" x14ac:dyDescent="0.25">
      <c r="A1694" s="143">
        <v>43885</v>
      </c>
      <c r="B1694">
        <v>146.43</v>
      </c>
      <c r="C1694">
        <v>5.4524080000000001</v>
      </c>
      <c r="D1694" t="s">
        <v>852</v>
      </c>
    </row>
    <row r="1695" spans="1:4" x14ac:dyDescent="0.25">
      <c r="A1695" s="143">
        <v>43886</v>
      </c>
      <c r="B1695">
        <v>141.71</v>
      </c>
      <c r="C1695">
        <v>6.2115470000000004</v>
      </c>
      <c r="D1695" t="s">
        <v>852</v>
      </c>
    </row>
    <row r="1696" spans="1:4" x14ac:dyDescent="0.25">
      <c r="A1696" s="143">
        <v>43887</v>
      </c>
      <c r="B1696">
        <v>139.75</v>
      </c>
      <c r="C1696">
        <v>5.4095370000000003</v>
      </c>
      <c r="D1696" t="s">
        <v>852</v>
      </c>
    </row>
    <row r="1697" spans="1:4" x14ac:dyDescent="0.25">
      <c r="A1697" s="143">
        <v>43888</v>
      </c>
      <c r="B1697">
        <v>133.11000000000001</v>
      </c>
      <c r="C1697">
        <v>8.421125</v>
      </c>
      <c r="D1697" t="s">
        <v>852</v>
      </c>
    </row>
    <row r="1698" spans="1:4" x14ac:dyDescent="0.25">
      <c r="A1698" s="143">
        <v>43889</v>
      </c>
      <c r="B1698">
        <v>130.15</v>
      </c>
      <c r="C1698">
        <v>13.012228</v>
      </c>
      <c r="D1698" t="s">
        <v>852</v>
      </c>
    </row>
    <row r="1699" spans="1:4" x14ac:dyDescent="0.25">
      <c r="A1699" s="143">
        <v>43892</v>
      </c>
      <c r="B1699">
        <v>134.30000000000001</v>
      </c>
      <c r="C1699">
        <v>8.5314150000000009</v>
      </c>
      <c r="D1699" t="s">
        <v>852</v>
      </c>
    </row>
    <row r="1700" spans="1:4" x14ac:dyDescent="0.25">
      <c r="A1700" s="143">
        <v>43893</v>
      </c>
      <c r="B1700">
        <v>128.9</v>
      </c>
      <c r="C1700">
        <v>7.8960679999999996</v>
      </c>
      <c r="D1700" t="s">
        <v>852</v>
      </c>
    </row>
    <row r="1701" spans="1:4" x14ac:dyDescent="0.25">
      <c r="A1701" s="143">
        <v>43894</v>
      </c>
      <c r="B1701">
        <v>134.22</v>
      </c>
      <c r="C1701">
        <v>4.9963699999999998</v>
      </c>
      <c r="D1701" t="s">
        <v>852</v>
      </c>
    </row>
    <row r="1702" spans="1:4" x14ac:dyDescent="0.25">
      <c r="A1702" s="143">
        <v>43895</v>
      </c>
      <c r="B1702">
        <v>129.55000000000001</v>
      </c>
      <c r="C1702">
        <v>5.4462270000000004</v>
      </c>
      <c r="D1702" t="s">
        <v>852</v>
      </c>
    </row>
    <row r="1703" spans="1:4" x14ac:dyDescent="0.25">
      <c r="A1703" s="143">
        <v>43896</v>
      </c>
      <c r="B1703">
        <v>127.73</v>
      </c>
      <c r="C1703">
        <v>8.1932569999999991</v>
      </c>
      <c r="D1703" t="s">
        <v>852</v>
      </c>
    </row>
    <row r="1704" spans="1:4" x14ac:dyDescent="0.25">
      <c r="A1704" s="143">
        <v>43899</v>
      </c>
      <c r="B1704">
        <v>117.81</v>
      </c>
      <c r="C1704">
        <v>10.757486999999999</v>
      </c>
      <c r="D1704" t="s">
        <v>852</v>
      </c>
    </row>
    <row r="1705" spans="1:4" x14ac:dyDescent="0.25">
      <c r="A1705" s="143">
        <v>43900</v>
      </c>
      <c r="B1705">
        <v>124.77</v>
      </c>
      <c r="C1705">
        <v>11.410688</v>
      </c>
      <c r="D1705" t="s">
        <v>852</v>
      </c>
    </row>
    <row r="1706" spans="1:4" x14ac:dyDescent="0.25">
      <c r="A1706" s="143">
        <v>43901</v>
      </c>
      <c r="B1706">
        <v>117.97</v>
      </c>
      <c r="C1706">
        <v>8.4510380000000005</v>
      </c>
      <c r="D1706" t="s">
        <v>852</v>
      </c>
    </row>
    <row r="1707" spans="1:4" x14ac:dyDescent="0.25">
      <c r="A1707" s="143">
        <v>43902</v>
      </c>
      <c r="B1707">
        <v>102.81</v>
      </c>
      <c r="C1707">
        <v>12.512655000000001</v>
      </c>
      <c r="D1707" t="s">
        <v>852</v>
      </c>
    </row>
    <row r="1708" spans="1:4" x14ac:dyDescent="0.25">
      <c r="A1708" s="143">
        <v>43903</v>
      </c>
      <c r="B1708">
        <v>107.95</v>
      </c>
      <c r="C1708">
        <v>12.502113</v>
      </c>
      <c r="D1708" t="s">
        <v>852</v>
      </c>
    </row>
    <row r="1709" spans="1:4" x14ac:dyDescent="0.25">
      <c r="A1709" s="143">
        <v>43906</v>
      </c>
      <c r="B1709">
        <v>99.08</v>
      </c>
      <c r="C1709">
        <v>10.567959999999999</v>
      </c>
      <c r="D1709" t="s">
        <v>852</v>
      </c>
    </row>
    <row r="1710" spans="1:4" x14ac:dyDescent="0.25">
      <c r="A1710" s="143">
        <v>43907</v>
      </c>
      <c r="B1710">
        <v>106.65</v>
      </c>
      <c r="C1710">
        <v>9.2583380000000002</v>
      </c>
      <c r="D1710" t="s">
        <v>852</v>
      </c>
    </row>
    <row r="1711" spans="1:4" x14ac:dyDescent="0.25">
      <c r="A1711" s="143">
        <v>43908</v>
      </c>
      <c r="B1711">
        <v>103.55</v>
      </c>
      <c r="C1711">
        <v>8.7724600000000006</v>
      </c>
      <c r="D1711" t="s">
        <v>852</v>
      </c>
    </row>
    <row r="1712" spans="1:4" x14ac:dyDescent="0.25">
      <c r="A1712" s="143">
        <v>43909</v>
      </c>
      <c r="B1712">
        <v>100.34</v>
      </c>
      <c r="C1712">
        <v>8.3965209999999999</v>
      </c>
      <c r="D1712" t="s">
        <v>852</v>
      </c>
    </row>
    <row r="1713" spans="1:4" x14ac:dyDescent="0.25">
      <c r="A1713" s="143">
        <v>43910</v>
      </c>
      <c r="B1713">
        <v>95.39</v>
      </c>
      <c r="C1713">
        <v>10.546455</v>
      </c>
      <c r="D1713" t="s">
        <v>852</v>
      </c>
    </row>
    <row r="1714" spans="1:4" x14ac:dyDescent="0.25">
      <c r="A1714" s="143">
        <v>43913</v>
      </c>
      <c r="B1714">
        <v>94.77</v>
      </c>
      <c r="C1714">
        <v>9.729393</v>
      </c>
      <c r="D1714" t="s">
        <v>852</v>
      </c>
    </row>
    <row r="1715" spans="1:4" x14ac:dyDescent="0.25">
      <c r="A1715" s="143">
        <v>43914</v>
      </c>
      <c r="B1715">
        <v>105.48</v>
      </c>
      <c r="C1715">
        <v>7.9739440000000004</v>
      </c>
      <c r="D1715" t="s">
        <v>852</v>
      </c>
    </row>
    <row r="1716" spans="1:4" x14ac:dyDescent="0.25">
      <c r="A1716" s="143">
        <v>43915</v>
      </c>
      <c r="B1716">
        <v>105.85</v>
      </c>
      <c r="C1716">
        <v>8.6540470000000003</v>
      </c>
      <c r="D1716" t="s">
        <v>852</v>
      </c>
    </row>
    <row r="1717" spans="1:4" x14ac:dyDescent="0.25">
      <c r="A1717" s="143">
        <v>43916</v>
      </c>
      <c r="B1717">
        <v>112.89</v>
      </c>
      <c r="C1717">
        <v>7.1580519999999996</v>
      </c>
      <c r="D1717" t="s">
        <v>852</v>
      </c>
    </row>
    <row r="1718" spans="1:4" x14ac:dyDescent="0.25">
      <c r="A1718" s="143">
        <v>43917</v>
      </c>
      <c r="B1718">
        <v>108.03</v>
      </c>
      <c r="C1718">
        <v>6.423038</v>
      </c>
      <c r="D1718" t="s">
        <v>852</v>
      </c>
    </row>
    <row r="1719" spans="1:4" x14ac:dyDescent="0.25">
      <c r="A1719" s="143">
        <v>43920</v>
      </c>
      <c r="B1719">
        <v>112.93</v>
      </c>
      <c r="C1719">
        <v>5.5645410000000002</v>
      </c>
      <c r="D1719" t="s">
        <v>852</v>
      </c>
    </row>
    <row r="1720" spans="1:4" x14ac:dyDescent="0.25">
      <c r="A1720" s="143">
        <v>43921</v>
      </c>
      <c r="B1720">
        <v>110.93</v>
      </c>
      <c r="C1720">
        <v>6.3466760000000004</v>
      </c>
      <c r="D1720" t="s">
        <v>852</v>
      </c>
    </row>
    <row r="1721" spans="1:4" x14ac:dyDescent="0.25">
      <c r="A1721" s="143">
        <v>43922</v>
      </c>
      <c r="B1721">
        <v>105.14</v>
      </c>
      <c r="C1721">
        <v>6.1129470000000001</v>
      </c>
      <c r="D1721" t="s">
        <v>852</v>
      </c>
    </row>
    <row r="1722" spans="1:4" x14ac:dyDescent="0.25">
      <c r="A1722" s="143">
        <v>43923</v>
      </c>
      <c r="B1722">
        <v>110</v>
      </c>
      <c r="C1722">
        <v>6.3286740000000004</v>
      </c>
      <c r="D1722" t="s">
        <v>852</v>
      </c>
    </row>
    <row r="1723" spans="1:4" x14ac:dyDescent="0.25">
      <c r="A1723" s="143">
        <v>43924</v>
      </c>
      <c r="B1723">
        <v>106.34</v>
      </c>
      <c r="C1723">
        <v>4.5387500000000003</v>
      </c>
      <c r="D1723" t="s">
        <v>852</v>
      </c>
    </row>
    <row r="1724" spans="1:4" x14ac:dyDescent="0.25">
      <c r="A1724" s="143">
        <v>43927</v>
      </c>
      <c r="B1724">
        <v>114.82</v>
      </c>
      <c r="C1724">
        <v>7.0341930000000001</v>
      </c>
      <c r="D1724" t="s">
        <v>852</v>
      </c>
    </row>
    <row r="1725" spans="1:4" x14ac:dyDescent="0.25">
      <c r="A1725" s="143">
        <v>43928</v>
      </c>
      <c r="B1725">
        <v>114.94</v>
      </c>
      <c r="C1725">
        <v>5.5953290000000004</v>
      </c>
      <c r="D1725" t="s">
        <v>852</v>
      </c>
    </row>
    <row r="1726" spans="1:4" x14ac:dyDescent="0.25">
      <c r="A1726" s="143">
        <v>43929</v>
      </c>
      <c r="B1726">
        <v>119.29</v>
      </c>
      <c r="C1726">
        <v>5.1586410000000003</v>
      </c>
      <c r="D1726" t="s">
        <v>852</v>
      </c>
    </row>
    <row r="1727" spans="1:4" x14ac:dyDescent="0.25">
      <c r="A1727" s="143">
        <v>43930</v>
      </c>
      <c r="B1727">
        <v>121.5</v>
      </c>
      <c r="C1727">
        <v>5.5768149999999999</v>
      </c>
      <c r="D1727" t="s">
        <v>852</v>
      </c>
    </row>
    <row r="1728" spans="1:4" x14ac:dyDescent="0.25">
      <c r="A1728" s="143">
        <v>43934</v>
      </c>
      <c r="B1728">
        <v>121.15</v>
      </c>
      <c r="C1728">
        <v>5.119713</v>
      </c>
      <c r="D1728" t="s">
        <v>852</v>
      </c>
    </row>
    <row r="1729" spans="1:4" x14ac:dyDescent="0.25">
      <c r="A1729" s="143">
        <v>43935</v>
      </c>
      <c r="B1729">
        <v>123.91</v>
      </c>
      <c r="C1729">
        <v>5.08866</v>
      </c>
      <c r="D1729" t="s">
        <v>852</v>
      </c>
    </row>
    <row r="1730" spans="1:4" x14ac:dyDescent="0.25">
      <c r="A1730" s="143">
        <v>43936</v>
      </c>
      <c r="B1730">
        <v>118.69</v>
      </c>
      <c r="C1730">
        <v>5.6373410000000002</v>
      </c>
      <c r="D1730" t="s">
        <v>852</v>
      </c>
    </row>
    <row r="1731" spans="1:4" x14ac:dyDescent="0.25">
      <c r="A1731" s="143">
        <v>43937</v>
      </c>
      <c r="B1731">
        <v>115.73</v>
      </c>
      <c r="C1731">
        <v>6.4575560000000003</v>
      </c>
      <c r="D1731" t="s">
        <v>852</v>
      </c>
    </row>
    <row r="1732" spans="1:4" x14ac:dyDescent="0.25">
      <c r="A1732" s="143">
        <v>43938</v>
      </c>
      <c r="B1732">
        <v>120.12</v>
      </c>
      <c r="C1732">
        <v>4.965992</v>
      </c>
      <c r="D1732" t="s">
        <v>852</v>
      </c>
    </row>
    <row r="1733" spans="1:4" x14ac:dyDescent="0.25">
      <c r="A1733" s="143">
        <v>43941</v>
      </c>
      <c r="B1733">
        <v>120.41</v>
      </c>
      <c r="C1733">
        <v>8.1817360000000008</v>
      </c>
      <c r="D1733" t="s">
        <v>852</v>
      </c>
    </row>
    <row r="1734" spans="1:4" x14ac:dyDescent="0.25">
      <c r="A1734" s="143">
        <v>43942</v>
      </c>
      <c r="B1734">
        <v>116.76</v>
      </c>
      <c r="C1734">
        <v>14.349031999999999</v>
      </c>
      <c r="D1734" t="s">
        <v>852</v>
      </c>
    </row>
    <row r="1735" spans="1:4" x14ac:dyDescent="0.25">
      <c r="A1735" s="143">
        <v>43943</v>
      </c>
      <c r="B1735">
        <v>119.31</v>
      </c>
      <c r="C1735">
        <v>7.0878690000000004</v>
      </c>
      <c r="D1735" t="s">
        <v>852</v>
      </c>
    </row>
    <row r="1736" spans="1:4" x14ac:dyDescent="0.25">
      <c r="A1736" s="143">
        <v>43944</v>
      </c>
      <c r="B1736">
        <v>121.35</v>
      </c>
      <c r="C1736">
        <v>6.881615</v>
      </c>
      <c r="D1736" t="s">
        <v>852</v>
      </c>
    </row>
    <row r="1737" spans="1:4" x14ac:dyDescent="0.25">
      <c r="A1737" s="143">
        <v>43945</v>
      </c>
      <c r="B1737">
        <v>124.72</v>
      </c>
      <c r="C1737">
        <v>4.9873459999999996</v>
      </c>
      <c r="D1737" t="s">
        <v>852</v>
      </c>
    </row>
    <row r="1738" spans="1:4" x14ac:dyDescent="0.25">
      <c r="A1738" s="143">
        <v>43948</v>
      </c>
      <c r="B1738">
        <v>125.92</v>
      </c>
      <c r="C1738">
        <v>4.9238059999999999</v>
      </c>
      <c r="D1738" t="s">
        <v>852</v>
      </c>
    </row>
    <row r="1739" spans="1:4" x14ac:dyDescent="0.25">
      <c r="A1739" s="143">
        <v>43949</v>
      </c>
      <c r="B1739">
        <v>126.27</v>
      </c>
      <c r="C1739">
        <v>4.7781440000000002</v>
      </c>
      <c r="D1739" t="s">
        <v>852</v>
      </c>
    </row>
    <row r="1740" spans="1:4" x14ac:dyDescent="0.25">
      <c r="A1740" s="143">
        <v>43950</v>
      </c>
      <c r="B1740">
        <v>128.69</v>
      </c>
      <c r="C1740">
        <v>5.2575789999999998</v>
      </c>
      <c r="D1740" t="s">
        <v>852</v>
      </c>
    </row>
    <row r="1741" spans="1:4" x14ac:dyDescent="0.25">
      <c r="A1741" s="143">
        <v>43951</v>
      </c>
      <c r="B1741">
        <v>125.56</v>
      </c>
      <c r="C1741">
        <v>6.635783</v>
      </c>
      <c r="D1741" t="s">
        <v>852</v>
      </c>
    </row>
    <row r="1742" spans="1:4" x14ac:dyDescent="0.25">
      <c r="A1742" s="143">
        <v>43952</v>
      </c>
      <c r="B1742">
        <v>121.87</v>
      </c>
      <c r="C1742">
        <v>4.925535</v>
      </c>
      <c r="D1742" t="s">
        <v>852</v>
      </c>
    </row>
    <row r="1743" spans="1:4" x14ac:dyDescent="0.25">
      <c r="A1743" s="143">
        <v>43955</v>
      </c>
      <c r="B1743">
        <v>121.68</v>
      </c>
      <c r="C1743">
        <v>4.0178770000000004</v>
      </c>
      <c r="D1743" t="s">
        <v>852</v>
      </c>
    </row>
    <row r="1744" spans="1:4" x14ac:dyDescent="0.25">
      <c r="A1744" s="143">
        <v>43956</v>
      </c>
      <c r="B1744">
        <v>122.58</v>
      </c>
      <c r="C1744">
        <v>3.899416</v>
      </c>
      <c r="D1744" t="s">
        <v>852</v>
      </c>
    </row>
    <row r="1745" spans="1:4" x14ac:dyDescent="0.25">
      <c r="A1745" s="143">
        <v>43957</v>
      </c>
      <c r="B1745">
        <v>123.17</v>
      </c>
      <c r="C1745">
        <v>3.8645890000000001</v>
      </c>
      <c r="D1745" t="s">
        <v>852</v>
      </c>
    </row>
    <row r="1746" spans="1:4" x14ac:dyDescent="0.25">
      <c r="A1746" s="143">
        <v>43958</v>
      </c>
      <c r="B1746">
        <v>121.23</v>
      </c>
      <c r="C1746">
        <v>4.4143280000000003</v>
      </c>
      <c r="D1746" t="s">
        <v>852</v>
      </c>
    </row>
    <row r="1747" spans="1:4" x14ac:dyDescent="0.25">
      <c r="A1747" s="143">
        <v>43959</v>
      </c>
      <c r="B1747">
        <v>122.99</v>
      </c>
      <c r="C1747">
        <v>5.0039389999999999</v>
      </c>
      <c r="D1747" t="s">
        <v>852</v>
      </c>
    </row>
    <row r="1748" spans="1:4" x14ac:dyDescent="0.25">
      <c r="A1748" s="143">
        <v>43962</v>
      </c>
      <c r="B1748">
        <v>122.59</v>
      </c>
      <c r="C1748">
        <v>3.5352760000000001</v>
      </c>
      <c r="D1748" t="s">
        <v>852</v>
      </c>
    </row>
    <row r="1749" spans="1:4" x14ac:dyDescent="0.25">
      <c r="A1749" s="143">
        <v>43963</v>
      </c>
      <c r="B1749">
        <v>120.26</v>
      </c>
      <c r="C1749">
        <v>4.7844569999999997</v>
      </c>
      <c r="D1749" t="s">
        <v>852</v>
      </c>
    </row>
    <row r="1750" spans="1:4" x14ac:dyDescent="0.25">
      <c r="A1750" s="143">
        <v>43964</v>
      </c>
      <c r="B1750">
        <v>115.73</v>
      </c>
      <c r="C1750">
        <v>5.8828129999999996</v>
      </c>
      <c r="D1750" t="s">
        <v>852</v>
      </c>
    </row>
    <row r="1751" spans="1:4" x14ac:dyDescent="0.25">
      <c r="A1751" s="143">
        <v>43965</v>
      </c>
      <c r="B1751">
        <v>116.95</v>
      </c>
      <c r="C1751">
        <v>5.2593730000000001</v>
      </c>
      <c r="D1751" t="s">
        <v>852</v>
      </c>
    </row>
    <row r="1752" spans="1:4" x14ac:dyDescent="0.25">
      <c r="A1752" s="143">
        <v>43966</v>
      </c>
      <c r="B1752">
        <v>116.98</v>
      </c>
      <c r="C1752">
        <v>4.7863300000000004</v>
      </c>
      <c r="D1752" t="s">
        <v>852</v>
      </c>
    </row>
    <row r="1753" spans="1:4" x14ac:dyDescent="0.25">
      <c r="A1753" s="143">
        <v>43969</v>
      </c>
      <c r="B1753">
        <v>121.56</v>
      </c>
      <c r="C1753">
        <v>4.2075930000000001</v>
      </c>
      <c r="D1753" t="s">
        <v>852</v>
      </c>
    </row>
    <row r="1754" spans="1:4" x14ac:dyDescent="0.25">
      <c r="A1754" s="143">
        <v>43970</v>
      </c>
      <c r="B1754">
        <v>120.29</v>
      </c>
      <c r="C1754">
        <v>3.241117</v>
      </c>
      <c r="D1754" t="s">
        <v>852</v>
      </c>
    </row>
    <row r="1755" spans="1:4" x14ac:dyDescent="0.25">
      <c r="A1755" s="143">
        <v>43971</v>
      </c>
      <c r="B1755">
        <v>121.38</v>
      </c>
      <c r="C1755">
        <v>3.8408579999999999</v>
      </c>
      <c r="D1755" t="s">
        <v>852</v>
      </c>
    </row>
    <row r="1756" spans="1:4" x14ac:dyDescent="0.25">
      <c r="A1756" s="143">
        <v>43972</v>
      </c>
      <c r="B1756">
        <v>119.12</v>
      </c>
      <c r="C1756">
        <v>4.0008629999999998</v>
      </c>
      <c r="D1756" t="s">
        <v>852</v>
      </c>
    </row>
    <row r="1757" spans="1:4" x14ac:dyDescent="0.25">
      <c r="A1757" s="143">
        <v>43973</v>
      </c>
      <c r="B1757">
        <v>118.39</v>
      </c>
      <c r="C1757">
        <v>4.180771</v>
      </c>
      <c r="D1757" t="s">
        <v>852</v>
      </c>
    </row>
    <row r="1758" spans="1:4" x14ac:dyDescent="0.25">
      <c r="A1758" s="143">
        <v>43977</v>
      </c>
      <c r="B1758">
        <v>121.76</v>
      </c>
      <c r="C1758">
        <v>5.4692819999999998</v>
      </c>
      <c r="D1758" t="s">
        <v>852</v>
      </c>
    </row>
    <row r="1759" spans="1:4" x14ac:dyDescent="0.25">
      <c r="A1759" s="143">
        <v>43978</v>
      </c>
      <c r="B1759">
        <v>125.54</v>
      </c>
      <c r="C1759">
        <v>5.7274960000000004</v>
      </c>
      <c r="D1759" t="s">
        <v>852</v>
      </c>
    </row>
    <row r="1760" spans="1:4" x14ac:dyDescent="0.25">
      <c r="A1760" s="143">
        <v>43979</v>
      </c>
      <c r="B1760">
        <v>124.53</v>
      </c>
      <c r="C1760">
        <v>3.9163770000000002</v>
      </c>
      <c r="D1760" t="s">
        <v>852</v>
      </c>
    </row>
    <row r="1761" spans="1:4" x14ac:dyDescent="0.25">
      <c r="A1761" s="143">
        <v>43980</v>
      </c>
      <c r="B1761">
        <v>124.9</v>
      </c>
      <c r="C1761">
        <v>7.9304670000000002</v>
      </c>
      <c r="D1761" t="s">
        <v>852</v>
      </c>
    </row>
    <row r="1762" spans="1:4" x14ac:dyDescent="0.25">
      <c r="A1762" s="143">
        <v>43983</v>
      </c>
      <c r="B1762">
        <v>124.89</v>
      </c>
      <c r="C1762">
        <v>2.8832939999999998</v>
      </c>
      <c r="D1762" t="s">
        <v>852</v>
      </c>
    </row>
    <row r="1763" spans="1:4" x14ac:dyDescent="0.25">
      <c r="A1763" s="143">
        <v>43984</v>
      </c>
      <c r="B1763">
        <v>126</v>
      </c>
      <c r="C1763">
        <v>2.978056</v>
      </c>
      <c r="D1763" t="s">
        <v>852</v>
      </c>
    </row>
    <row r="1764" spans="1:4" x14ac:dyDescent="0.25">
      <c r="A1764" s="143">
        <v>43985</v>
      </c>
      <c r="B1764">
        <v>129.05000000000001</v>
      </c>
      <c r="C1764">
        <v>3.9177460000000002</v>
      </c>
      <c r="D1764" t="s">
        <v>852</v>
      </c>
    </row>
    <row r="1765" spans="1:4" x14ac:dyDescent="0.25">
      <c r="A1765" s="143">
        <v>43986</v>
      </c>
      <c r="B1765">
        <v>128.88999999999999</v>
      </c>
      <c r="C1765">
        <v>3.8647849999999999</v>
      </c>
      <c r="D1765" t="s">
        <v>852</v>
      </c>
    </row>
    <row r="1766" spans="1:4" x14ac:dyDescent="0.25">
      <c r="A1766" s="143">
        <v>43987</v>
      </c>
      <c r="B1766">
        <v>132.06</v>
      </c>
      <c r="C1766">
        <v>5.8929600000000004</v>
      </c>
      <c r="D1766" t="s">
        <v>852</v>
      </c>
    </row>
    <row r="1767" spans="1:4" x14ac:dyDescent="0.25">
      <c r="A1767" s="143">
        <v>43990</v>
      </c>
      <c r="B1767">
        <v>135.75</v>
      </c>
      <c r="C1767">
        <v>5.3704689999999999</v>
      </c>
      <c r="D1767" t="s">
        <v>852</v>
      </c>
    </row>
    <row r="1768" spans="1:4" x14ac:dyDescent="0.25">
      <c r="A1768" s="143">
        <v>43991</v>
      </c>
      <c r="B1768">
        <v>131.87</v>
      </c>
      <c r="C1768">
        <v>5.3936440000000001</v>
      </c>
      <c r="D1768" t="s">
        <v>852</v>
      </c>
    </row>
    <row r="1769" spans="1:4" x14ac:dyDescent="0.25">
      <c r="A1769" s="143">
        <v>43992</v>
      </c>
      <c r="B1769">
        <v>129.87</v>
      </c>
      <c r="C1769">
        <v>4.7348350000000003</v>
      </c>
      <c r="D1769" t="s">
        <v>852</v>
      </c>
    </row>
    <row r="1770" spans="1:4" x14ac:dyDescent="0.25">
      <c r="A1770" s="143">
        <v>43993</v>
      </c>
      <c r="B1770">
        <v>118.01</v>
      </c>
      <c r="C1770">
        <v>11.763629</v>
      </c>
      <c r="D1770" t="s">
        <v>852</v>
      </c>
    </row>
    <row r="1771" spans="1:4" x14ac:dyDescent="0.25">
      <c r="A1771" s="143">
        <v>43994</v>
      </c>
      <c r="B1771">
        <v>121.91</v>
      </c>
      <c r="C1771">
        <v>6.2203270000000002</v>
      </c>
      <c r="D1771" t="s">
        <v>852</v>
      </c>
    </row>
    <row r="1772" spans="1:4" x14ac:dyDescent="0.25">
      <c r="A1772" s="143">
        <v>43997</v>
      </c>
      <c r="B1772">
        <v>121.65</v>
      </c>
      <c r="C1772">
        <v>5.1512399999999996</v>
      </c>
      <c r="D1772" t="s">
        <v>852</v>
      </c>
    </row>
    <row r="1773" spans="1:4" x14ac:dyDescent="0.25">
      <c r="A1773" s="143">
        <v>43998</v>
      </c>
      <c r="B1773">
        <v>125.15</v>
      </c>
      <c r="C1773">
        <v>5.6090869999999997</v>
      </c>
      <c r="D1773" t="s">
        <v>852</v>
      </c>
    </row>
    <row r="1774" spans="1:4" x14ac:dyDescent="0.25">
      <c r="A1774" s="143">
        <v>43999</v>
      </c>
      <c r="B1774">
        <v>124.15</v>
      </c>
      <c r="C1774">
        <v>3.1568360000000002</v>
      </c>
      <c r="D1774" t="s">
        <v>852</v>
      </c>
    </row>
    <row r="1775" spans="1:4" x14ac:dyDescent="0.25">
      <c r="A1775" s="143">
        <v>44000</v>
      </c>
      <c r="B1775">
        <v>124.16</v>
      </c>
      <c r="C1775">
        <v>2.8653620000000002</v>
      </c>
      <c r="D1775" t="s">
        <v>852</v>
      </c>
    </row>
    <row r="1776" spans="1:4" x14ac:dyDescent="0.25">
      <c r="A1776" s="143">
        <v>44001</v>
      </c>
      <c r="B1776">
        <v>122.47</v>
      </c>
      <c r="C1776">
        <v>8.0923540000000003</v>
      </c>
      <c r="D1776" t="s">
        <v>852</v>
      </c>
    </row>
    <row r="1777" spans="1:4" x14ac:dyDescent="0.25">
      <c r="A1777" s="143">
        <v>44004</v>
      </c>
      <c r="B1777">
        <v>121.07</v>
      </c>
      <c r="C1777">
        <v>4.7734990000000002</v>
      </c>
      <c r="D1777" t="s">
        <v>852</v>
      </c>
    </row>
    <row r="1778" spans="1:4" x14ac:dyDescent="0.25">
      <c r="A1778" s="143">
        <v>44005</v>
      </c>
      <c r="B1778">
        <v>119.41</v>
      </c>
      <c r="C1778">
        <v>6.6326049999999999</v>
      </c>
      <c r="D1778" t="s">
        <v>852</v>
      </c>
    </row>
    <row r="1779" spans="1:4" x14ac:dyDescent="0.25">
      <c r="A1779" s="143">
        <v>44006</v>
      </c>
      <c r="B1779">
        <v>116.42</v>
      </c>
      <c r="C1779">
        <v>6.7509899999999998</v>
      </c>
      <c r="D1779" t="s">
        <v>852</v>
      </c>
    </row>
    <row r="1780" spans="1:4" x14ac:dyDescent="0.25">
      <c r="A1780" s="143">
        <v>44007</v>
      </c>
      <c r="B1780">
        <v>119.03</v>
      </c>
      <c r="C1780">
        <v>6.1306260000000004</v>
      </c>
      <c r="D1780" t="s">
        <v>852</v>
      </c>
    </row>
    <row r="1781" spans="1:4" x14ac:dyDescent="0.25">
      <c r="A1781" s="143">
        <v>44008</v>
      </c>
      <c r="B1781">
        <v>117.19</v>
      </c>
      <c r="C1781">
        <v>10.750107</v>
      </c>
      <c r="D1781" t="s">
        <v>852</v>
      </c>
    </row>
    <row r="1782" spans="1:4" x14ac:dyDescent="0.25">
      <c r="A1782" s="143">
        <v>44011</v>
      </c>
      <c r="B1782">
        <v>119.75</v>
      </c>
      <c r="C1782">
        <v>4.1594879999999996</v>
      </c>
      <c r="D1782" t="s">
        <v>852</v>
      </c>
    </row>
    <row r="1783" spans="1:4" x14ac:dyDescent="0.25">
      <c r="A1783" s="143">
        <v>44012</v>
      </c>
      <c r="B1783">
        <v>120.77</v>
      </c>
      <c r="C1783">
        <v>3.9194689999999999</v>
      </c>
      <c r="D1783" t="s">
        <v>852</v>
      </c>
    </row>
    <row r="1784" spans="1:4" x14ac:dyDescent="0.25">
      <c r="A1784" s="143">
        <v>44013</v>
      </c>
      <c r="B1784">
        <v>118.54</v>
      </c>
      <c r="C1784">
        <v>4.6557649999999997</v>
      </c>
      <c r="D1784" t="s">
        <v>852</v>
      </c>
    </row>
    <row r="1785" spans="1:4" x14ac:dyDescent="0.25">
      <c r="A1785" s="143">
        <v>44014</v>
      </c>
      <c r="B1785">
        <v>119.7</v>
      </c>
      <c r="C1785">
        <v>3.7469579999999998</v>
      </c>
      <c r="D1785" t="s">
        <v>852</v>
      </c>
    </row>
    <row r="1786" spans="1:4" x14ac:dyDescent="0.25">
      <c r="A1786" s="143">
        <v>44018</v>
      </c>
      <c r="B1786">
        <v>120.19</v>
      </c>
      <c r="C1786">
        <v>4.045439</v>
      </c>
      <c r="D1786" t="s">
        <v>852</v>
      </c>
    </row>
    <row r="1787" spans="1:4" x14ac:dyDescent="0.25">
      <c r="A1787" s="143">
        <v>44019</v>
      </c>
      <c r="B1787">
        <v>117.58</v>
      </c>
      <c r="C1787">
        <v>4.2783069999999999</v>
      </c>
      <c r="D1787" t="s">
        <v>852</v>
      </c>
    </row>
    <row r="1788" spans="1:4" x14ac:dyDescent="0.25">
      <c r="A1788" s="143">
        <v>44020</v>
      </c>
      <c r="B1788">
        <v>117.71</v>
      </c>
      <c r="C1788">
        <v>5.192806</v>
      </c>
      <c r="D1788" t="s">
        <v>852</v>
      </c>
    </row>
    <row r="1789" spans="1:4" x14ac:dyDescent="0.25">
      <c r="A1789" s="143">
        <v>44021</v>
      </c>
      <c r="B1789">
        <v>115.71</v>
      </c>
      <c r="C1789">
        <v>4.7629910000000004</v>
      </c>
      <c r="D1789" t="s">
        <v>852</v>
      </c>
    </row>
    <row r="1790" spans="1:4" x14ac:dyDescent="0.25">
      <c r="A1790" s="143">
        <v>44022</v>
      </c>
      <c r="B1790">
        <v>118.35</v>
      </c>
      <c r="C1790">
        <v>4.2857050000000001</v>
      </c>
      <c r="D1790" t="s">
        <v>852</v>
      </c>
    </row>
    <row r="1791" spans="1:4" x14ac:dyDescent="0.25">
      <c r="A1791" s="143">
        <v>44025</v>
      </c>
      <c r="B1791">
        <v>119.2</v>
      </c>
      <c r="C1791">
        <v>4.6506509999999999</v>
      </c>
      <c r="D1791" t="s">
        <v>852</v>
      </c>
    </row>
    <row r="1792" spans="1:4" x14ac:dyDescent="0.25">
      <c r="A1792" s="143">
        <v>44026</v>
      </c>
      <c r="B1792">
        <v>120.6</v>
      </c>
      <c r="C1792">
        <v>4.5343970000000002</v>
      </c>
      <c r="D1792" t="s">
        <v>852</v>
      </c>
    </row>
    <row r="1793" spans="1:4" x14ac:dyDescent="0.25">
      <c r="A1793" s="143">
        <v>44027</v>
      </c>
      <c r="B1793">
        <v>123</v>
      </c>
      <c r="C1793">
        <v>4.4733999999999998</v>
      </c>
      <c r="D1793" t="s">
        <v>852</v>
      </c>
    </row>
    <row r="1794" spans="1:4" x14ac:dyDescent="0.25">
      <c r="A1794" s="143">
        <v>44028</v>
      </c>
      <c r="B1794">
        <v>124.01</v>
      </c>
      <c r="C1794">
        <v>4.3309170000000003</v>
      </c>
      <c r="D1794" t="s">
        <v>852</v>
      </c>
    </row>
    <row r="1795" spans="1:4" x14ac:dyDescent="0.25">
      <c r="A1795" s="143">
        <v>44029</v>
      </c>
      <c r="B1795">
        <v>125.11</v>
      </c>
      <c r="C1795">
        <v>3.9884599999999999</v>
      </c>
      <c r="D1795" t="s">
        <v>852</v>
      </c>
    </row>
    <row r="1796" spans="1:4" x14ac:dyDescent="0.25">
      <c r="A1796" s="143">
        <v>44032</v>
      </c>
      <c r="B1796">
        <v>126.37</v>
      </c>
      <c r="C1796">
        <v>9.9276680000000006</v>
      </c>
      <c r="D1796" t="s">
        <v>852</v>
      </c>
    </row>
    <row r="1797" spans="1:4" x14ac:dyDescent="0.25">
      <c r="A1797" s="143">
        <v>44033</v>
      </c>
      <c r="B1797">
        <v>126.06</v>
      </c>
      <c r="C1797">
        <v>15.364948</v>
      </c>
      <c r="D1797" t="s">
        <v>852</v>
      </c>
    </row>
    <row r="1798" spans="1:4" x14ac:dyDescent="0.25">
      <c r="A1798" s="143">
        <v>44034</v>
      </c>
      <c r="B1798">
        <v>128.66999999999999</v>
      </c>
      <c r="C1798">
        <v>8.1953659999999999</v>
      </c>
      <c r="D1798" t="s">
        <v>852</v>
      </c>
    </row>
    <row r="1799" spans="1:4" x14ac:dyDescent="0.25">
      <c r="A1799" s="143">
        <v>44035</v>
      </c>
      <c r="B1799">
        <v>127.33</v>
      </c>
      <c r="C1799">
        <v>4.2201360000000001</v>
      </c>
      <c r="D1799" t="s">
        <v>852</v>
      </c>
    </row>
    <row r="1800" spans="1:4" x14ac:dyDescent="0.25">
      <c r="A1800" s="143">
        <v>44036</v>
      </c>
      <c r="B1800">
        <v>125.79</v>
      </c>
      <c r="C1800">
        <v>3.5310760000000001</v>
      </c>
      <c r="D1800" t="s">
        <v>852</v>
      </c>
    </row>
    <row r="1801" spans="1:4" x14ac:dyDescent="0.25">
      <c r="A1801" s="143">
        <v>44039</v>
      </c>
      <c r="B1801">
        <v>126.21</v>
      </c>
      <c r="C1801">
        <v>3.7335470000000002</v>
      </c>
      <c r="D1801" t="s">
        <v>852</v>
      </c>
    </row>
    <row r="1802" spans="1:4" x14ac:dyDescent="0.25">
      <c r="A1802" s="143">
        <v>44040</v>
      </c>
      <c r="B1802">
        <v>124.47</v>
      </c>
      <c r="C1802">
        <v>4.1781759999999997</v>
      </c>
      <c r="D1802" t="s">
        <v>852</v>
      </c>
    </row>
    <row r="1803" spans="1:4" x14ac:dyDescent="0.25">
      <c r="A1803" s="143">
        <v>44041</v>
      </c>
      <c r="B1803">
        <v>125.32</v>
      </c>
      <c r="C1803">
        <v>2.8331409999999999</v>
      </c>
      <c r="D1803" t="s">
        <v>852</v>
      </c>
    </row>
    <row r="1804" spans="1:4" x14ac:dyDescent="0.25">
      <c r="A1804" s="143">
        <v>44042</v>
      </c>
      <c r="B1804">
        <v>122.9</v>
      </c>
      <c r="C1804">
        <v>3.9880620000000002</v>
      </c>
      <c r="D1804" t="s">
        <v>852</v>
      </c>
    </row>
    <row r="1805" spans="1:4" x14ac:dyDescent="0.25">
      <c r="A1805" s="143">
        <v>44043</v>
      </c>
      <c r="B1805">
        <v>122.94</v>
      </c>
      <c r="C1805">
        <v>5.2776519999999998</v>
      </c>
      <c r="D1805" t="s">
        <v>852</v>
      </c>
    </row>
    <row r="1806" spans="1:4" x14ac:dyDescent="0.25">
      <c r="A1806" s="143">
        <v>44046</v>
      </c>
      <c r="B1806">
        <v>124.31</v>
      </c>
      <c r="C1806">
        <v>3.5265740000000001</v>
      </c>
      <c r="D1806" t="s">
        <v>852</v>
      </c>
    </row>
    <row r="1807" spans="1:4" x14ac:dyDescent="0.25">
      <c r="A1807" s="143">
        <v>44047</v>
      </c>
      <c r="B1807">
        <v>125.84</v>
      </c>
      <c r="C1807">
        <v>3.4313660000000001</v>
      </c>
      <c r="D1807" t="s">
        <v>852</v>
      </c>
    </row>
    <row r="1808" spans="1:4" x14ac:dyDescent="0.25">
      <c r="A1808" s="143">
        <v>44048</v>
      </c>
      <c r="B1808">
        <v>125.45</v>
      </c>
      <c r="C1808">
        <v>3.6753999999999998</v>
      </c>
      <c r="D1808" t="s">
        <v>852</v>
      </c>
    </row>
    <row r="1809" spans="1:4" x14ac:dyDescent="0.25">
      <c r="A1809" s="143">
        <v>44049</v>
      </c>
      <c r="B1809">
        <v>126.12</v>
      </c>
      <c r="C1809">
        <v>3.4171309999999999</v>
      </c>
      <c r="D1809" t="s">
        <v>852</v>
      </c>
    </row>
    <row r="1810" spans="1:4" x14ac:dyDescent="0.25">
      <c r="A1810" s="143">
        <v>44050</v>
      </c>
      <c r="B1810">
        <v>124.96</v>
      </c>
      <c r="C1810">
        <v>3.6512259999999999</v>
      </c>
      <c r="D1810" t="s">
        <v>852</v>
      </c>
    </row>
    <row r="1811" spans="1:4" x14ac:dyDescent="0.25">
      <c r="A1811" s="143">
        <v>44053</v>
      </c>
      <c r="B1811">
        <v>127.11</v>
      </c>
      <c r="C1811">
        <v>3.9682949999999999</v>
      </c>
      <c r="D1811" t="s">
        <v>852</v>
      </c>
    </row>
    <row r="1812" spans="1:4" x14ac:dyDescent="0.25">
      <c r="A1812" s="143">
        <v>44054</v>
      </c>
      <c r="B1812">
        <v>126.75</v>
      </c>
      <c r="C1812">
        <v>5.0011760000000001</v>
      </c>
      <c r="D1812" t="s">
        <v>852</v>
      </c>
    </row>
    <row r="1813" spans="1:4" x14ac:dyDescent="0.25">
      <c r="A1813" s="143">
        <v>44055</v>
      </c>
      <c r="B1813">
        <v>126.7</v>
      </c>
      <c r="C1813">
        <v>3.5301770000000001</v>
      </c>
      <c r="D1813" t="s">
        <v>852</v>
      </c>
    </row>
    <row r="1814" spans="1:4" x14ac:dyDescent="0.25">
      <c r="A1814" s="143">
        <v>44056</v>
      </c>
      <c r="B1814">
        <v>125.03</v>
      </c>
      <c r="C1814">
        <v>3.1712579999999999</v>
      </c>
      <c r="D1814" t="s">
        <v>852</v>
      </c>
    </row>
    <row r="1815" spans="1:4" x14ac:dyDescent="0.25">
      <c r="A1815" s="143">
        <v>44057</v>
      </c>
      <c r="B1815">
        <v>125.27</v>
      </c>
      <c r="C1815">
        <v>2.9637530000000001</v>
      </c>
      <c r="D1815" t="s">
        <v>852</v>
      </c>
    </row>
    <row r="1816" spans="1:4" x14ac:dyDescent="0.25">
      <c r="A1816" s="143">
        <v>44060</v>
      </c>
      <c r="B1816">
        <v>124.44</v>
      </c>
      <c r="C1816">
        <v>3.3600639999999999</v>
      </c>
      <c r="D1816" t="s">
        <v>852</v>
      </c>
    </row>
    <row r="1817" spans="1:4" x14ac:dyDescent="0.25">
      <c r="A1817" s="143">
        <v>44061</v>
      </c>
      <c r="B1817">
        <v>124.92</v>
      </c>
      <c r="C1817">
        <v>2.882355</v>
      </c>
      <c r="D1817" t="s">
        <v>852</v>
      </c>
    </row>
    <row r="1818" spans="1:4" x14ac:dyDescent="0.25">
      <c r="A1818" s="143">
        <v>44062</v>
      </c>
      <c r="B1818">
        <v>123.84</v>
      </c>
      <c r="C1818">
        <v>3.7439490000000002</v>
      </c>
      <c r="D1818" t="s">
        <v>852</v>
      </c>
    </row>
    <row r="1819" spans="1:4" x14ac:dyDescent="0.25">
      <c r="A1819" s="143">
        <v>44063</v>
      </c>
      <c r="B1819">
        <v>123.15</v>
      </c>
      <c r="C1819">
        <v>2.5611640000000002</v>
      </c>
      <c r="D1819" t="s">
        <v>852</v>
      </c>
    </row>
    <row r="1820" spans="1:4" x14ac:dyDescent="0.25">
      <c r="A1820" s="143">
        <v>44064</v>
      </c>
      <c r="B1820">
        <v>123.16</v>
      </c>
      <c r="C1820">
        <v>3.3850509999999998</v>
      </c>
      <c r="D1820" t="s">
        <v>852</v>
      </c>
    </row>
    <row r="1821" spans="1:4" x14ac:dyDescent="0.25">
      <c r="A1821" s="143">
        <v>44067</v>
      </c>
      <c r="B1821">
        <v>125.68</v>
      </c>
      <c r="C1821">
        <v>4.0708159999999998</v>
      </c>
      <c r="D1821" t="s">
        <v>852</v>
      </c>
    </row>
    <row r="1822" spans="1:4" x14ac:dyDescent="0.25">
      <c r="A1822" s="143">
        <v>44068</v>
      </c>
      <c r="B1822">
        <v>124.64</v>
      </c>
      <c r="C1822">
        <v>2.977697</v>
      </c>
      <c r="D1822" t="s">
        <v>852</v>
      </c>
    </row>
    <row r="1823" spans="1:4" x14ac:dyDescent="0.25">
      <c r="A1823" s="143">
        <v>44069</v>
      </c>
      <c r="B1823">
        <v>124.17</v>
      </c>
      <c r="C1823">
        <v>3.388687</v>
      </c>
      <c r="D1823" t="s">
        <v>852</v>
      </c>
    </row>
    <row r="1824" spans="1:4" x14ac:dyDescent="0.25">
      <c r="A1824" s="143">
        <v>44070</v>
      </c>
      <c r="B1824">
        <v>124.65</v>
      </c>
      <c r="C1824">
        <v>3.4226540000000001</v>
      </c>
      <c r="D1824" t="s">
        <v>852</v>
      </c>
    </row>
    <row r="1825" spans="1:4" x14ac:dyDescent="0.25">
      <c r="A1825" s="143">
        <v>44071</v>
      </c>
      <c r="B1825">
        <v>125.07</v>
      </c>
      <c r="C1825">
        <v>3.0999400000000001</v>
      </c>
      <c r="D1825" t="s">
        <v>852</v>
      </c>
    </row>
    <row r="1826" spans="1:4" x14ac:dyDescent="0.25">
      <c r="A1826" s="143">
        <v>44074</v>
      </c>
      <c r="B1826">
        <v>123.31</v>
      </c>
      <c r="C1826">
        <v>4.8278790000000003</v>
      </c>
      <c r="D1826" t="s">
        <v>852</v>
      </c>
    </row>
    <row r="1827" spans="1:4" x14ac:dyDescent="0.25">
      <c r="A1827" s="143">
        <v>44075</v>
      </c>
      <c r="B1827">
        <v>123.4</v>
      </c>
      <c r="C1827">
        <v>3.1556229999999998</v>
      </c>
      <c r="D1827" t="s">
        <v>852</v>
      </c>
    </row>
    <row r="1828" spans="1:4" x14ac:dyDescent="0.25">
      <c r="A1828" s="143">
        <v>44076</v>
      </c>
      <c r="B1828">
        <v>128.18</v>
      </c>
      <c r="C1828">
        <v>6.5924300000000002</v>
      </c>
      <c r="D1828" t="s">
        <v>852</v>
      </c>
    </row>
    <row r="1829" spans="1:4" x14ac:dyDescent="0.25">
      <c r="A1829" s="143">
        <v>44077</v>
      </c>
      <c r="B1829">
        <v>124.45</v>
      </c>
      <c r="C1829">
        <v>5.7167500000000002</v>
      </c>
      <c r="D1829" t="s">
        <v>852</v>
      </c>
    </row>
    <row r="1830" spans="1:4" x14ac:dyDescent="0.25">
      <c r="A1830" s="143">
        <v>44078</v>
      </c>
      <c r="B1830">
        <v>122.3</v>
      </c>
      <c r="C1830">
        <v>6.0182380000000002</v>
      </c>
      <c r="D1830" t="s">
        <v>852</v>
      </c>
    </row>
    <row r="1831" spans="1:4" x14ac:dyDescent="0.25">
      <c r="A1831" s="143">
        <v>44082</v>
      </c>
      <c r="B1831">
        <v>121.21</v>
      </c>
      <c r="C1831">
        <v>5.2102919999999999</v>
      </c>
      <c r="D1831" t="s">
        <v>852</v>
      </c>
    </row>
    <row r="1832" spans="1:4" x14ac:dyDescent="0.25">
      <c r="A1832" s="143">
        <v>44083</v>
      </c>
      <c r="B1832">
        <v>122.26</v>
      </c>
      <c r="C1832">
        <v>3.7706780000000002</v>
      </c>
      <c r="D1832" t="s">
        <v>852</v>
      </c>
    </row>
    <row r="1833" spans="1:4" x14ac:dyDescent="0.25">
      <c r="A1833" s="143">
        <v>44084</v>
      </c>
      <c r="B1833">
        <v>120.56</v>
      </c>
      <c r="C1833">
        <v>3.9788049999999999</v>
      </c>
      <c r="D1833" t="s">
        <v>852</v>
      </c>
    </row>
    <row r="1834" spans="1:4" x14ac:dyDescent="0.25">
      <c r="A1834" s="143">
        <v>44085</v>
      </c>
      <c r="B1834">
        <v>121.46</v>
      </c>
      <c r="C1834">
        <v>3.5480909999999999</v>
      </c>
      <c r="D1834" t="s">
        <v>852</v>
      </c>
    </row>
    <row r="1835" spans="1:4" x14ac:dyDescent="0.25">
      <c r="A1835" s="143">
        <v>44088</v>
      </c>
      <c r="B1835">
        <v>122.09</v>
      </c>
      <c r="C1835">
        <v>3.6418870000000001</v>
      </c>
      <c r="D1835" t="s">
        <v>852</v>
      </c>
    </row>
    <row r="1836" spans="1:4" x14ac:dyDescent="0.25">
      <c r="A1836" s="143">
        <v>44089</v>
      </c>
      <c r="B1836">
        <v>122.44</v>
      </c>
      <c r="C1836">
        <v>2.9152209999999998</v>
      </c>
      <c r="D1836" t="s">
        <v>852</v>
      </c>
    </row>
    <row r="1837" spans="1:4" x14ac:dyDescent="0.25">
      <c r="A1837" s="143">
        <v>44090</v>
      </c>
      <c r="B1837">
        <v>124.22</v>
      </c>
      <c r="C1837">
        <v>3.7894580000000002</v>
      </c>
      <c r="D1837" t="s">
        <v>852</v>
      </c>
    </row>
    <row r="1838" spans="1:4" x14ac:dyDescent="0.25">
      <c r="A1838" s="143">
        <v>44091</v>
      </c>
      <c r="B1838">
        <v>124.92</v>
      </c>
      <c r="C1838">
        <v>3.171262</v>
      </c>
      <c r="D1838" t="s">
        <v>852</v>
      </c>
    </row>
    <row r="1839" spans="1:4" x14ac:dyDescent="0.25">
      <c r="A1839" s="143">
        <v>44092</v>
      </c>
      <c r="B1839">
        <v>122.76</v>
      </c>
      <c r="C1839">
        <v>5.3915699999999998</v>
      </c>
      <c r="D1839" t="s">
        <v>852</v>
      </c>
    </row>
    <row r="1840" spans="1:4" x14ac:dyDescent="0.25">
      <c r="A1840" s="143">
        <v>44095</v>
      </c>
      <c r="B1840">
        <v>120.25</v>
      </c>
      <c r="C1840">
        <v>5.3114410000000003</v>
      </c>
      <c r="D1840" t="s">
        <v>852</v>
      </c>
    </row>
    <row r="1841" spans="1:4" x14ac:dyDescent="0.25">
      <c r="A1841" s="143">
        <v>44096</v>
      </c>
      <c r="B1841">
        <v>120.51</v>
      </c>
      <c r="C1841">
        <v>2.9578090000000001</v>
      </c>
      <c r="D1841" t="s">
        <v>852</v>
      </c>
    </row>
    <row r="1842" spans="1:4" x14ac:dyDescent="0.25">
      <c r="A1842" s="143">
        <v>44097</v>
      </c>
      <c r="B1842">
        <v>118.83</v>
      </c>
      <c r="C1842">
        <v>3.9393980000000002</v>
      </c>
      <c r="D1842" t="s">
        <v>852</v>
      </c>
    </row>
    <row r="1843" spans="1:4" x14ac:dyDescent="0.25">
      <c r="A1843" s="143">
        <v>44098</v>
      </c>
      <c r="B1843">
        <v>118.09</v>
      </c>
      <c r="C1843">
        <v>3.54616</v>
      </c>
      <c r="D1843" t="s">
        <v>852</v>
      </c>
    </row>
    <row r="1844" spans="1:4" x14ac:dyDescent="0.25">
      <c r="A1844" s="143">
        <v>44099</v>
      </c>
      <c r="B1844">
        <v>118.95</v>
      </c>
      <c r="C1844">
        <v>2.9536859999999998</v>
      </c>
      <c r="D1844" t="s">
        <v>852</v>
      </c>
    </row>
    <row r="1845" spans="1:4" x14ac:dyDescent="0.25">
      <c r="A1845" s="143">
        <v>44102</v>
      </c>
      <c r="B1845">
        <v>121.73</v>
      </c>
      <c r="C1845">
        <v>3.509576</v>
      </c>
      <c r="D1845" t="s">
        <v>852</v>
      </c>
    </row>
    <row r="1846" spans="1:4" x14ac:dyDescent="0.25">
      <c r="A1846" s="143">
        <v>44103</v>
      </c>
      <c r="B1846">
        <v>120.94</v>
      </c>
      <c r="C1846">
        <v>2.1305640000000001</v>
      </c>
      <c r="D1846" t="s">
        <v>852</v>
      </c>
    </row>
    <row r="1847" spans="1:4" x14ac:dyDescent="0.25">
      <c r="A1847" s="143">
        <v>44104</v>
      </c>
      <c r="B1847">
        <v>121.67</v>
      </c>
      <c r="C1847">
        <v>3.2612350000000001</v>
      </c>
      <c r="D1847" t="s">
        <v>852</v>
      </c>
    </row>
    <row r="1848" spans="1:4" x14ac:dyDescent="0.25">
      <c r="A1848" s="143">
        <v>44105</v>
      </c>
      <c r="B1848">
        <v>121.09</v>
      </c>
      <c r="C1848">
        <v>3.2116609999999999</v>
      </c>
      <c r="D1848" t="s">
        <v>852</v>
      </c>
    </row>
    <row r="1849" spans="1:4" x14ac:dyDescent="0.25">
      <c r="A1849" s="143">
        <v>44106</v>
      </c>
      <c r="B1849">
        <v>120.57</v>
      </c>
      <c r="C1849">
        <v>2.9252280000000002</v>
      </c>
      <c r="D1849" t="s">
        <v>852</v>
      </c>
    </row>
    <row r="1850" spans="1:4" x14ac:dyDescent="0.25">
      <c r="A1850" s="143">
        <v>44109</v>
      </c>
      <c r="B1850">
        <v>122.01</v>
      </c>
      <c r="C1850">
        <v>3.0509490000000001</v>
      </c>
      <c r="D1850" t="s">
        <v>852</v>
      </c>
    </row>
    <row r="1851" spans="1:4" x14ac:dyDescent="0.25">
      <c r="A1851" s="143">
        <v>44110</v>
      </c>
      <c r="B1851">
        <v>121.97</v>
      </c>
      <c r="C1851">
        <v>3.8722650000000001</v>
      </c>
      <c r="D1851" t="s">
        <v>852</v>
      </c>
    </row>
    <row r="1852" spans="1:4" x14ac:dyDescent="0.25">
      <c r="A1852" s="143">
        <v>44111</v>
      </c>
      <c r="B1852">
        <v>124.07</v>
      </c>
      <c r="C1852">
        <v>2.8156629999999998</v>
      </c>
      <c r="D1852" t="s">
        <v>852</v>
      </c>
    </row>
    <row r="1853" spans="1:4" x14ac:dyDescent="0.25">
      <c r="A1853" s="143">
        <v>44112</v>
      </c>
      <c r="B1853">
        <v>131.49</v>
      </c>
      <c r="C1853">
        <v>25.288926</v>
      </c>
      <c r="D1853" t="s">
        <v>852</v>
      </c>
    </row>
    <row r="1854" spans="1:4" x14ac:dyDescent="0.25">
      <c r="A1854" s="143">
        <v>44113</v>
      </c>
      <c r="B1854">
        <v>127.79</v>
      </c>
      <c r="C1854">
        <v>8.3537040000000005</v>
      </c>
      <c r="D1854" t="s">
        <v>852</v>
      </c>
    </row>
    <row r="1855" spans="1:4" x14ac:dyDescent="0.25">
      <c r="A1855" s="143">
        <v>44116</v>
      </c>
      <c r="B1855">
        <v>127.21</v>
      </c>
      <c r="C1855">
        <v>4.6351149999999999</v>
      </c>
      <c r="D1855" t="s">
        <v>852</v>
      </c>
    </row>
    <row r="1856" spans="1:4" x14ac:dyDescent="0.25">
      <c r="A1856" s="143">
        <v>44117</v>
      </c>
      <c r="B1856">
        <v>125.1</v>
      </c>
      <c r="C1856">
        <v>5.4060879999999996</v>
      </c>
      <c r="D1856" t="s">
        <v>852</v>
      </c>
    </row>
    <row r="1857" spans="1:4" x14ac:dyDescent="0.25">
      <c r="A1857" s="143">
        <v>44118</v>
      </c>
      <c r="B1857">
        <v>125.94</v>
      </c>
      <c r="C1857">
        <v>3.7301389999999999</v>
      </c>
      <c r="D1857" t="s">
        <v>852</v>
      </c>
    </row>
    <row r="1858" spans="1:4" x14ac:dyDescent="0.25">
      <c r="A1858" s="143">
        <v>44119</v>
      </c>
      <c r="B1858">
        <v>124.89</v>
      </c>
      <c r="C1858">
        <v>3.3893010000000001</v>
      </c>
      <c r="D1858" t="s">
        <v>852</v>
      </c>
    </row>
    <row r="1859" spans="1:4" x14ac:dyDescent="0.25">
      <c r="A1859" s="143">
        <v>44120</v>
      </c>
      <c r="B1859">
        <v>125.93</v>
      </c>
      <c r="C1859">
        <v>4.7143199999999998</v>
      </c>
      <c r="D1859" t="s">
        <v>852</v>
      </c>
    </row>
    <row r="1860" spans="1:4" x14ac:dyDescent="0.25">
      <c r="A1860" s="143">
        <v>44123</v>
      </c>
      <c r="B1860">
        <v>125.52</v>
      </c>
      <c r="C1860">
        <v>7.4787350000000004</v>
      </c>
      <c r="D1860" t="s">
        <v>852</v>
      </c>
    </row>
    <row r="1861" spans="1:4" x14ac:dyDescent="0.25">
      <c r="A1861" s="143">
        <v>44124</v>
      </c>
      <c r="B1861">
        <v>117.37</v>
      </c>
      <c r="C1861">
        <v>21.501073000000002</v>
      </c>
      <c r="D1861" t="s">
        <v>852</v>
      </c>
    </row>
    <row r="1862" spans="1:4" x14ac:dyDescent="0.25">
      <c r="A1862" s="143">
        <v>44125</v>
      </c>
      <c r="B1862">
        <v>115.06</v>
      </c>
      <c r="C1862">
        <v>9.7553079999999994</v>
      </c>
      <c r="D1862" t="s">
        <v>852</v>
      </c>
    </row>
    <row r="1863" spans="1:4" x14ac:dyDescent="0.25">
      <c r="A1863" s="143">
        <v>44126</v>
      </c>
      <c r="B1863">
        <v>115.76</v>
      </c>
      <c r="C1863">
        <v>7.8581580000000004</v>
      </c>
      <c r="D1863" t="s">
        <v>852</v>
      </c>
    </row>
    <row r="1864" spans="1:4" x14ac:dyDescent="0.25">
      <c r="A1864" s="143">
        <v>44127</v>
      </c>
      <c r="B1864">
        <v>116</v>
      </c>
      <c r="C1864">
        <v>3.8933620000000002</v>
      </c>
      <c r="D1864" t="s">
        <v>852</v>
      </c>
    </row>
    <row r="1865" spans="1:4" x14ac:dyDescent="0.25">
      <c r="A1865" s="143">
        <v>44130</v>
      </c>
      <c r="B1865">
        <v>112.22</v>
      </c>
      <c r="C1865">
        <v>7.2033659999999999</v>
      </c>
      <c r="D1865" t="s">
        <v>852</v>
      </c>
    </row>
    <row r="1866" spans="1:4" x14ac:dyDescent="0.25">
      <c r="A1866" s="143">
        <v>44131</v>
      </c>
      <c r="B1866">
        <v>110.56</v>
      </c>
      <c r="C1866">
        <v>5.9361059999999997</v>
      </c>
      <c r="D1866" t="s">
        <v>852</v>
      </c>
    </row>
    <row r="1867" spans="1:4" x14ac:dyDescent="0.25">
      <c r="A1867" s="143">
        <v>44132</v>
      </c>
      <c r="B1867">
        <v>106.65</v>
      </c>
      <c r="C1867">
        <v>9.4273209999999992</v>
      </c>
      <c r="D1867" t="s">
        <v>852</v>
      </c>
    </row>
    <row r="1868" spans="1:4" x14ac:dyDescent="0.25">
      <c r="A1868" s="143">
        <v>44133</v>
      </c>
      <c r="B1868">
        <v>108.91</v>
      </c>
      <c r="C1868">
        <v>6.7602409999999997</v>
      </c>
      <c r="D1868" t="s">
        <v>852</v>
      </c>
    </row>
    <row r="1869" spans="1:4" x14ac:dyDescent="0.25">
      <c r="A1869" s="143">
        <v>44134</v>
      </c>
      <c r="B1869">
        <v>111.66</v>
      </c>
      <c r="C1869">
        <v>7.9238819999999999</v>
      </c>
      <c r="D1869" t="s">
        <v>852</v>
      </c>
    </row>
    <row r="1870" spans="1:4" x14ac:dyDescent="0.25">
      <c r="A1870" s="143">
        <v>44137</v>
      </c>
      <c r="B1870">
        <v>112.91</v>
      </c>
      <c r="C1870">
        <v>5.3114970000000001</v>
      </c>
      <c r="D1870" t="s">
        <v>852</v>
      </c>
    </row>
    <row r="1871" spans="1:4" x14ac:dyDescent="0.25">
      <c r="A1871" s="143">
        <v>44138</v>
      </c>
      <c r="B1871">
        <v>114.16</v>
      </c>
      <c r="C1871">
        <v>4.2042869999999999</v>
      </c>
      <c r="D1871" t="s">
        <v>852</v>
      </c>
    </row>
    <row r="1872" spans="1:4" x14ac:dyDescent="0.25">
      <c r="A1872" s="143">
        <v>44139</v>
      </c>
      <c r="B1872">
        <v>111.9</v>
      </c>
      <c r="C1872">
        <v>5.800071</v>
      </c>
      <c r="D1872" t="s">
        <v>852</v>
      </c>
    </row>
    <row r="1873" spans="1:4" x14ac:dyDescent="0.25">
      <c r="A1873" s="143">
        <v>44140</v>
      </c>
      <c r="B1873">
        <v>114.77</v>
      </c>
      <c r="C1873">
        <v>4.9022059999999996</v>
      </c>
      <c r="D1873" t="s">
        <v>852</v>
      </c>
    </row>
    <row r="1874" spans="1:4" x14ac:dyDescent="0.25">
      <c r="A1874" s="143">
        <v>44141</v>
      </c>
      <c r="B1874">
        <v>114.04</v>
      </c>
      <c r="C1874">
        <v>5.2491709999999996</v>
      </c>
      <c r="D1874" t="s">
        <v>852</v>
      </c>
    </row>
    <row r="1875" spans="1:4" x14ac:dyDescent="0.25">
      <c r="A1875" s="143">
        <v>44144</v>
      </c>
      <c r="B1875">
        <v>115.53</v>
      </c>
      <c r="C1875">
        <v>8.9921520000000008</v>
      </c>
      <c r="D1875" t="s">
        <v>852</v>
      </c>
    </row>
    <row r="1876" spans="1:4" x14ac:dyDescent="0.25">
      <c r="A1876" s="143">
        <v>44145</v>
      </c>
      <c r="B1876">
        <v>117.91</v>
      </c>
      <c r="C1876">
        <v>5.6227559999999999</v>
      </c>
      <c r="D1876" t="s">
        <v>852</v>
      </c>
    </row>
    <row r="1877" spans="1:4" x14ac:dyDescent="0.25">
      <c r="A1877" s="143">
        <v>44146</v>
      </c>
      <c r="B1877">
        <v>117.2</v>
      </c>
      <c r="C1877">
        <v>4.2896010000000002</v>
      </c>
      <c r="D1877" t="s">
        <v>852</v>
      </c>
    </row>
    <row r="1878" spans="1:4" x14ac:dyDescent="0.25">
      <c r="A1878" s="143">
        <v>44147</v>
      </c>
      <c r="B1878">
        <v>114.5</v>
      </c>
      <c r="C1878">
        <v>6.5007989999999998</v>
      </c>
      <c r="D1878" t="s">
        <v>852</v>
      </c>
    </row>
    <row r="1879" spans="1:4" x14ac:dyDescent="0.25">
      <c r="A1879" s="143">
        <v>44148</v>
      </c>
      <c r="B1879">
        <v>116.85</v>
      </c>
      <c r="C1879">
        <v>4.6835120000000003</v>
      </c>
      <c r="D1879" t="s">
        <v>852</v>
      </c>
    </row>
    <row r="1880" spans="1:4" x14ac:dyDescent="0.25">
      <c r="A1880" s="143">
        <v>44151</v>
      </c>
      <c r="B1880">
        <v>118.36</v>
      </c>
      <c r="C1880">
        <v>5.2933849999999998</v>
      </c>
      <c r="D1880" t="s">
        <v>852</v>
      </c>
    </row>
    <row r="1881" spans="1:4" x14ac:dyDescent="0.25">
      <c r="A1881" s="143">
        <v>44152</v>
      </c>
      <c r="B1881">
        <v>117.7</v>
      </c>
      <c r="C1881">
        <v>4.134455</v>
      </c>
      <c r="D1881" t="s">
        <v>852</v>
      </c>
    </row>
    <row r="1882" spans="1:4" x14ac:dyDescent="0.25">
      <c r="A1882" s="143">
        <v>44153</v>
      </c>
      <c r="B1882">
        <v>116.77</v>
      </c>
      <c r="C1882">
        <v>4.6068280000000001</v>
      </c>
      <c r="D1882" t="s">
        <v>852</v>
      </c>
    </row>
    <row r="1883" spans="1:4" x14ac:dyDescent="0.25">
      <c r="A1883" s="143">
        <v>44154</v>
      </c>
      <c r="B1883">
        <v>117.18</v>
      </c>
      <c r="C1883">
        <v>3.439648</v>
      </c>
      <c r="D1883" t="s">
        <v>852</v>
      </c>
    </row>
    <row r="1884" spans="1:4" x14ac:dyDescent="0.25">
      <c r="A1884" s="143">
        <v>44155</v>
      </c>
      <c r="B1884">
        <v>116.94</v>
      </c>
      <c r="C1884">
        <v>5.0245930000000003</v>
      </c>
      <c r="D1884" t="s">
        <v>852</v>
      </c>
    </row>
    <row r="1885" spans="1:4" x14ac:dyDescent="0.25">
      <c r="A1885" s="143">
        <v>44158</v>
      </c>
      <c r="B1885">
        <v>120.09</v>
      </c>
      <c r="C1885">
        <v>5.655119</v>
      </c>
      <c r="D1885" t="s">
        <v>852</v>
      </c>
    </row>
    <row r="1886" spans="1:4" x14ac:dyDescent="0.25">
      <c r="A1886" s="143">
        <v>44159</v>
      </c>
      <c r="B1886">
        <v>124.42</v>
      </c>
      <c r="C1886">
        <v>7.7590060000000003</v>
      </c>
      <c r="D1886" t="s">
        <v>852</v>
      </c>
    </row>
    <row r="1887" spans="1:4" x14ac:dyDescent="0.25">
      <c r="A1887" s="143">
        <v>44160</v>
      </c>
      <c r="B1887">
        <v>124.2</v>
      </c>
      <c r="C1887">
        <v>4.1358940000000004</v>
      </c>
      <c r="D1887" t="s">
        <v>852</v>
      </c>
    </row>
    <row r="1888" spans="1:4" x14ac:dyDescent="0.25">
      <c r="A1888" s="143">
        <v>44162</v>
      </c>
      <c r="B1888">
        <v>124.35</v>
      </c>
      <c r="C1888">
        <v>2.091186</v>
      </c>
      <c r="D1888" t="s">
        <v>852</v>
      </c>
    </row>
    <row r="1889" spans="1:4" x14ac:dyDescent="0.25">
      <c r="A1889" s="143">
        <v>44165</v>
      </c>
      <c r="B1889">
        <v>123.52</v>
      </c>
      <c r="C1889">
        <v>5.9879910000000001</v>
      </c>
      <c r="D1889" t="s">
        <v>852</v>
      </c>
    </row>
    <row r="1890" spans="1:4" x14ac:dyDescent="0.25">
      <c r="A1890" s="143">
        <v>44166</v>
      </c>
      <c r="B1890">
        <v>123.16</v>
      </c>
      <c r="C1890">
        <v>5.3120570000000003</v>
      </c>
      <c r="D1890" t="s">
        <v>852</v>
      </c>
    </row>
    <row r="1891" spans="1:4" x14ac:dyDescent="0.25">
      <c r="A1891" s="143">
        <v>44167</v>
      </c>
      <c r="B1891">
        <v>124.62</v>
      </c>
      <c r="C1891">
        <v>3.6907369999999999</v>
      </c>
      <c r="D1891" t="s">
        <v>852</v>
      </c>
    </row>
    <row r="1892" spans="1:4" x14ac:dyDescent="0.25">
      <c r="A1892" s="143">
        <v>44168</v>
      </c>
      <c r="B1892">
        <v>123.61</v>
      </c>
      <c r="C1892">
        <v>4.5481610000000003</v>
      </c>
      <c r="D1892" t="s">
        <v>852</v>
      </c>
    </row>
    <row r="1893" spans="1:4" x14ac:dyDescent="0.25">
      <c r="A1893" s="143">
        <v>44169</v>
      </c>
      <c r="B1893">
        <v>127.2</v>
      </c>
      <c r="C1893">
        <v>5.5227599999999999</v>
      </c>
      <c r="D1893" t="s">
        <v>852</v>
      </c>
    </row>
    <row r="1894" spans="1:4" x14ac:dyDescent="0.25">
      <c r="A1894" s="143">
        <v>44172</v>
      </c>
      <c r="B1894">
        <v>124.7</v>
      </c>
      <c r="C1894">
        <v>8.3185000000000002</v>
      </c>
      <c r="D1894" t="s">
        <v>852</v>
      </c>
    </row>
    <row r="1895" spans="1:4" x14ac:dyDescent="0.25">
      <c r="A1895" s="143">
        <v>44173</v>
      </c>
      <c r="B1895">
        <v>125.71</v>
      </c>
      <c r="C1895">
        <v>5.3950240000000003</v>
      </c>
      <c r="D1895" t="s">
        <v>852</v>
      </c>
    </row>
    <row r="1896" spans="1:4" x14ac:dyDescent="0.25">
      <c r="A1896" s="143">
        <v>44174</v>
      </c>
      <c r="B1896">
        <v>126.79</v>
      </c>
      <c r="C1896">
        <v>6.5135170000000002</v>
      </c>
      <c r="D1896" t="s">
        <v>852</v>
      </c>
    </row>
    <row r="1897" spans="1:4" x14ac:dyDescent="0.25">
      <c r="A1897" s="143">
        <v>44175</v>
      </c>
      <c r="B1897">
        <v>124.96</v>
      </c>
      <c r="C1897">
        <v>4.803172</v>
      </c>
      <c r="D1897" t="s">
        <v>852</v>
      </c>
    </row>
    <row r="1898" spans="1:4" x14ac:dyDescent="0.25">
      <c r="A1898" s="143">
        <v>44176</v>
      </c>
      <c r="B1898">
        <v>124.27</v>
      </c>
      <c r="C1898">
        <v>4.4814160000000003</v>
      </c>
      <c r="D1898" t="s">
        <v>852</v>
      </c>
    </row>
    <row r="1899" spans="1:4" x14ac:dyDescent="0.25">
      <c r="A1899" s="143">
        <v>44179</v>
      </c>
      <c r="B1899">
        <v>123.53</v>
      </c>
      <c r="C1899">
        <v>5.0500230000000004</v>
      </c>
      <c r="D1899" t="s">
        <v>852</v>
      </c>
    </row>
    <row r="1900" spans="1:4" x14ac:dyDescent="0.25">
      <c r="A1900" s="143">
        <v>44180</v>
      </c>
      <c r="B1900">
        <v>125.93</v>
      </c>
      <c r="C1900">
        <v>4.3596009999999996</v>
      </c>
      <c r="D1900" t="s">
        <v>852</v>
      </c>
    </row>
    <row r="1901" spans="1:4" x14ac:dyDescent="0.25">
      <c r="A1901" s="143">
        <v>44181</v>
      </c>
      <c r="B1901">
        <v>125.55</v>
      </c>
      <c r="C1901">
        <v>4.5300960000000003</v>
      </c>
      <c r="D1901" t="s">
        <v>852</v>
      </c>
    </row>
    <row r="1902" spans="1:4" x14ac:dyDescent="0.25">
      <c r="A1902" s="143">
        <v>44182</v>
      </c>
      <c r="B1902">
        <v>125.55</v>
      </c>
      <c r="C1902">
        <v>3.7879619999999998</v>
      </c>
      <c r="D1902" t="s">
        <v>852</v>
      </c>
    </row>
    <row r="1903" spans="1:4" x14ac:dyDescent="0.25">
      <c r="A1903" s="143">
        <v>44183</v>
      </c>
      <c r="B1903">
        <v>125.85</v>
      </c>
      <c r="C1903">
        <v>7.5528449999999996</v>
      </c>
      <c r="D1903" t="s">
        <v>852</v>
      </c>
    </row>
    <row r="1904" spans="1:4" x14ac:dyDescent="0.25">
      <c r="A1904" s="143">
        <v>44186</v>
      </c>
      <c r="B1904">
        <v>123.39</v>
      </c>
      <c r="C1904">
        <v>6.1156709999999999</v>
      </c>
      <c r="D1904" t="s">
        <v>852</v>
      </c>
    </row>
    <row r="1905" spans="1:4" x14ac:dyDescent="0.25">
      <c r="A1905" s="143">
        <v>44187</v>
      </c>
      <c r="B1905">
        <v>123.61</v>
      </c>
      <c r="C1905">
        <v>4.3377569999999999</v>
      </c>
      <c r="D1905" t="s">
        <v>852</v>
      </c>
    </row>
    <row r="1906" spans="1:4" x14ac:dyDescent="0.25">
      <c r="A1906" s="143">
        <v>44188</v>
      </c>
      <c r="B1906">
        <v>123.9</v>
      </c>
      <c r="C1906">
        <v>2.693889</v>
      </c>
      <c r="D1906" t="s">
        <v>852</v>
      </c>
    </row>
    <row r="1907" spans="1:4" x14ac:dyDescent="0.25">
      <c r="A1907" s="143">
        <v>44189</v>
      </c>
      <c r="B1907">
        <v>124.69</v>
      </c>
      <c r="C1907">
        <v>1.7611220000000001</v>
      </c>
      <c r="D1907" t="s">
        <v>852</v>
      </c>
    </row>
    <row r="1908" spans="1:4" x14ac:dyDescent="0.25">
      <c r="A1908" s="143">
        <v>44193</v>
      </c>
      <c r="B1908">
        <v>124.82</v>
      </c>
      <c r="C1908">
        <v>3.6152220000000002</v>
      </c>
      <c r="D1908" t="s">
        <v>852</v>
      </c>
    </row>
    <row r="1909" spans="1:4" x14ac:dyDescent="0.25">
      <c r="A1909" s="143">
        <v>44194</v>
      </c>
      <c r="B1909">
        <v>123.8</v>
      </c>
      <c r="C1909">
        <v>3.4870070000000002</v>
      </c>
      <c r="D1909" t="s">
        <v>852</v>
      </c>
    </row>
    <row r="1910" spans="1:4" x14ac:dyDescent="0.25">
      <c r="A1910" s="143">
        <v>44195</v>
      </c>
      <c r="B1910">
        <v>124.34</v>
      </c>
      <c r="C1910">
        <v>3.3804940000000001</v>
      </c>
      <c r="D1910" t="s">
        <v>852</v>
      </c>
    </row>
    <row r="1911" spans="1:4" x14ac:dyDescent="0.25">
      <c r="A1911" s="143">
        <v>44196</v>
      </c>
      <c r="B1911">
        <v>125.88</v>
      </c>
      <c r="C1911">
        <v>3.5746959999999999</v>
      </c>
      <c r="D1911" t="s">
        <v>852</v>
      </c>
    </row>
    <row r="1912" spans="1:4" x14ac:dyDescent="0.25">
      <c r="A1912" s="143">
        <v>44200</v>
      </c>
      <c r="B1912">
        <v>123.94</v>
      </c>
      <c r="C1912">
        <v>5.1791609999999997</v>
      </c>
      <c r="D1912" t="s">
        <v>852</v>
      </c>
    </row>
    <row r="1913" spans="1:4" x14ac:dyDescent="0.25">
      <c r="A1913" s="143">
        <v>44201</v>
      </c>
      <c r="B1913">
        <v>126.14</v>
      </c>
      <c r="C1913">
        <v>6.1146190000000002</v>
      </c>
      <c r="D1913" t="s">
        <v>852</v>
      </c>
    </row>
    <row r="1914" spans="1:4" x14ac:dyDescent="0.25">
      <c r="A1914" s="143">
        <v>44202</v>
      </c>
      <c r="B1914">
        <v>129.29</v>
      </c>
      <c r="C1914">
        <v>7.9567399999999999</v>
      </c>
      <c r="D1914" t="s">
        <v>852</v>
      </c>
    </row>
    <row r="1915" spans="1:4" x14ac:dyDescent="0.25">
      <c r="A1915" s="143">
        <v>44203</v>
      </c>
      <c r="B1915">
        <v>128.99</v>
      </c>
      <c r="C1915">
        <v>4.5073819999999998</v>
      </c>
      <c r="D1915" t="s">
        <v>852</v>
      </c>
    </row>
    <row r="1916" spans="1:4" x14ac:dyDescent="0.25">
      <c r="A1916" s="143">
        <v>44204</v>
      </c>
      <c r="B1916">
        <v>128.53</v>
      </c>
      <c r="C1916">
        <v>4.6764869999999998</v>
      </c>
      <c r="D1916" t="s">
        <v>852</v>
      </c>
    </row>
    <row r="1917" spans="1:4" x14ac:dyDescent="0.25">
      <c r="A1917" s="143">
        <v>44207</v>
      </c>
      <c r="B1917">
        <v>128.58000000000001</v>
      </c>
      <c r="C1917">
        <v>5.6024659999999997</v>
      </c>
      <c r="D1917" t="s">
        <v>852</v>
      </c>
    </row>
    <row r="1918" spans="1:4" x14ac:dyDescent="0.25">
      <c r="A1918" s="143">
        <v>44208</v>
      </c>
      <c r="B1918">
        <v>129.21</v>
      </c>
      <c r="C1918">
        <v>3.7492130000000001</v>
      </c>
      <c r="D1918" t="s">
        <v>852</v>
      </c>
    </row>
    <row r="1919" spans="1:4" x14ac:dyDescent="0.25">
      <c r="A1919" s="143">
        <v>44209</v>
      </c>
      <c r="B1919">
        <v>126.92</v>
      </c>
      <c r="C1919">
        <v>7.6777389999999999</v>
      </c>
      <c r="D1919" t="s">
        <v>852</v>
      </c>
    </row>
    <row r="1920" spans="1:4" x14ac:dyDescent="0.25">
      <c r="A1920" s="143">
        <v>44210</v>
      </c>
      <c r="B1920">
        <v>128.97</v>
      </c>
      <c r="C1920">
        <v>7.5031800000000004</v>
      </c>
      <c r="D1920" t="s">
        <v>852</v>
      </c>
    </row>
    <row r="1921" spans="1:4" x14ac:dyDescent="0.25">
      <c r="A1921" s="143">
        <v>44211</v>
      </c>
      <c r="B1921">
        <v>128.38999999999999</v>
      </c>
      <c r="C1921">
        <v>4.9055059999999999</v>
      </c>
      <c r="D1921" t="s">
        <v>852</v>
      </c>
    </row>
    <row r="1922" spans="1:4" x14ac:dyDescent="0.25">
      <c r="A1922" s="143">
        <v>44215</v>
      </c>
      <c r="B1922">
        <v>129.02000000000001</v>
      </c>
      <c r="C1922">
        <v>5.3979559999999998</v>
      </c>
      <c r="D1922" t="s">
        <v>852</v>
      </c>
    </row>
    <row r="1923" spans="1:4" x14ac:dyDescent="0.25">
      <c r="A1923" s="143">
        <v>44216</v>
      </c>
      <c r="B1923">
        <v>130.08000000000001</v>
      </c>
      <c r="C1923">
        <v>5.5987049999999998</v>
      </c>
      <c r="D1923" t="s">
        <v>852</v>
      </c>
    </row>
    <row r="1924" spans="1:4" x14ac:dyDescent="0.25">
      <c r="A1924" s="143">
        <v>44217</v>
      </c>
      <c r="B1924">
        <v>131.65</v>
      </c>
      <c r="C1924">
        <v>12.819233000000001</v>
      </c>
      <c r="D1924" t="s">
        <v>852</v>
      </c>
    </row>
    <row r="1925" spans="1:4" x14ac:dyDescent="0.25">
      <c r="A1925" s="143">
        <v>44218</v>
      </c>
      <c r="B1925">
        <v>118.61</v>
      </c>
      <c r="C1925">
        <v>38.063533</v>
      </c>
      <c r="D1925" t="s">
        <v>852</v>
      </c>
    </row>
    <row r="1926" spans="1:4" x14ac:dyDescent="0.25">
      <c r="A1926" s="143">
        <v>44221</v>
      </c>
      <c r="B1926">
        <v>118.58</v>
      </c>
      <c r="C1926">
        <v>13.686391</v>
      </c>
      <c r="D1926" t="s">
        <v>852</v>
      </c>
    </row>
    <row r="1927" spans="1:4" x14ac:dyDescent="0.25">
      <c r="A1927" s="143">
        <v>44222</v>
      </c>
      <c r="B1927">
        <v>122.49</v>
      </c>
      <c r="C1927">
        <v>10.694708</v>
      </c>
      <c r="D1927" t="s">
        <v>852</v>
      </c>
    </row>
    <row r="1928" spans="1:4" x14ac:dyDescent="0.25">
      <c r="A1928" s="143">
        <v>44223</v>
      </c>
      <c r="B1928">
        <v>122.47</v>
      </c>
      <c r="C1928">
        <v>12.146540999999999</v>
      </c>
      <c r="D1928" t="s">
        <v>852</v>
      </c>
    </row>
    <row r="1929" spans="1:4" x14ac:dyDescent="0.25">
      <c r="A1929" s="143">
        <v>44224</v>
      </c>
      <c r="B1929">
        <v>120.08</v>
      </c>
      <c r="C1929">
        <v>8.0840510000000005</v>
      </c>
      <c r="D1929" t="s">
        <v>852</v>
      </c>
    </row>
    <row r="1930" spans="1:4" x14ac:dyDescent="0.25">
      <c r="A1930" s="143">
        <v>44225</v>
      </c>
      <c r="B1930">
        <v>119.11</v>
      </c>
      <c r="C1930">
        <v>11.825495999999999</v>
      </c>
      <c r="D1930" t="s">
        <v>852</v>
      </c>
    </row>
    <row r="1931" spans="1:4" x14ac:dyDescent="0.25">
      <c r="A1931" s="143">
        <v>44228</v>
      </c>
      <c r="B1931">
        <v>120.54</v>
      </c>
      <c r="C1931">
        <v>6.250508</v>
      </c>
      <c r="D1931" t="s">
        <v>852</v>
      </c>
    </row>
    <row r="1932" spans="1:4" x14ac:dyDescent="0.25">
      <c r="A1932" s="143">
        <v>44229</v>
      </c>
      <c r="B1932">
        <v>119.44</v>
      </c>
      <c r="C1932">
        <v>6.3418830000000002</v>
      </c>
      <c r="D1932" t="s">
        <v>852</v>
      </c>
    </row>
    <row r="1933" spans="1:4" x14ac:dyDescent="0.25">
      <c r="A1933" s="143">
        <v>44230</v>
      </c>
      <c r="B1933">
        <v>119.12</v>
      </c>
      <c r="C1933">
        <v>6.7153660000000004</v>
      </c>
      <c r="D1933" t="s">
        <v>852</v>
      </c>
    </row>
    <row r="1934" spans="1:4" x14ac:dyDescent="0.25">
      <c r="A1934" s="143">
        <v>44231</v>
      </c>
      <c r="B1934">
        <v>121.02</v>
      </c>
      <c r="C1934">
        <v>4.5621239999999998</v>
      </c>
      <c r="D1934" t="s">
        <v>852</v>
      </c>
    </row>
    <row r="1935" spans="1:4" x14ac:dyDescent="0.25">
      <c r="A1935" s="143">
        <v>44232</v>
      </c>
      <c r="B1935">
        <v>121.79</v>
      </c>
      <c r="C1935">
        <v>4.5657269999999999</v>
      </c>
      <c r="D1935" t="s">
        <v>852</v>
      </c>
    </row>
    <row r="1936" spans="1:4" x14ac:dyDescent="0.25">
      <c r="A1936" s="143">
        <v>44235</v>
      </c>
      <c r="B1936">
        <v>123.61</v>
      </c>
      <c r="C1936">
        <v>5.8879989999999998</v>
      </c>
      <c r="D1936" t="s">
        <v>852</v>
      </c>
    </row>
    <row r="1937" spans="1:4" x14ac:dyDescent="0.25">
      <c r="A1937" s="143">
        <v>44236</v>
      </c>
      <c r="B1937">
        <v>122.1</v>
      </c>
      <c r="C1937">
        <v>4.7170139999999998</v>
      </c>
      <c r="D1937" t="s">
        <v>852</v>
      </c>
    </row>
    <row r="1938" spans="1:4" x14ac:dyDescent="0.25">
      <c r="A1938" s="143">
        <v>44237</v>
      </c>
      <c r="B1938">
        <v>122.24</v>
      </c>
      <c r="C1938">
        <v>4.866765</v>
      </c>
      <c r="D1938" t="s">
        <v>852</v>
      </c>
    </row>
    <row r="1939" spans="1:4" x14ac:dyDescent="0.25">
      <c r="A1939" s="143">
        <v>44238</v>
      </c>
      <c r="B1939">
        <v>120.91</v>
      </c>
      <c r="C1939">
        <v>5.3815559999999998</v>
      </c>
      <c r="D1939" t="s">
        <v>852</v>
      </c>
    </row>
    <row r="1940" spans="1:4" x14ac:dyDescent="0.25">
      <c r="A1940" s="143">
        <v>44239</v>
      </c>
      <c r="B1940">
        <v>120.8</v>
      </c>
      <c r="C1940">
        <v>3.8711950000000002</v>
      </c>
      <c r="D1940" t="s">
        <v>852</v>
      </c>
    </row>
    <row r="1941" spans="1:4" x14ac:dyDescent="0.25">
      <c r="A1941" s="143">
        <v>44243</v>
      </c>
      <c r="B1941">
        <v>120.07</v>
      </c>
      <c r="C1941">
        <v>6.6397899999999996</v>
      </c>
      <c r="D1941" t="s">
        <v>852</v>
      </c>
    </row>
    <row r="1942" spans="1:4" x14ac:dyDescent="0.25">
      <c r="A1942" s="143">
        <v>44244</v>
      </c>
      <c r="B1942">
        <v>119.97</v>
      </c>
      <c r="C1942">
        <v>3.9759060000000002</v>
      </c>
      <c r="D1942" t="s">
        <v>852</v>
      </c>
    </row>
    <row r="1943" spans="1:4" x14ac:dyDescent="0.25">
      <c r="A1943" s="143">
        <v>44245</v>
      </c>
      <c r="B1943">
        <v>120.73</v>
      </c>
      <c r="C1943">
        <v>5.3991449999999999</v>
      </c>
      <c r="D1943" t="s">
        <v>852</v>
      </c>
    </row>
    <row r="1944" spans="1:4" x14ac:dyDescent="0.25">
      <c r="A1944" s="143">
        <v>44246</v>
      </c>
      <c r="B1944">
        <v>118.99</v>
      </c>
      <c r="C1944">
        <v>6.5787409999999999</v>
      </c>
      <c r="D1944" t="s">
        <v>852</v>
      </c>
    </row>
    <row r="1945" spans="1:4" x14ac:dyDescent="0.25">
      <c r="A1945" s="143">
        <v>44249</v>
      </c>
      <c r="B1945">
        <v>120.86</v>
      </c>
      <c r="C1945">
        <v>5.8792489999999997</v>
      </c>
      <c r="D1945" t="s">
        <v>852</v>
      </c>
    </row>
    <row r="1946" spans="1:4" x14ac:dyDescent="0.25">
      <c r="A1946" s="143">
        <v>44250</v>
      </c>
      <c r="B1946">
        <v>120.71</v>
      </c>
      <c r="C1946">
        <v>4.5314639999999997</v>
      </c>
      <c r="D1946" t="s">
        <v>852</v>
      </c>
    </row>
    <row r="1947" spans="1:4" x14ac:dyDescent="0.25">
      <c r="A1947" s="143">
        <v>44251</v>
      </c>
      <c r="B1947">
        <v>123.21</v>
      </c>
      <c r="C1947">
        <v>5.8199829999999997</v>
      </c>
      <c r="D1947" t="s">
        <v>852</v>
      </c>
    </row>
    <row r="1948" spans="1:4" x14ac:dyDescent="0.25">
      <c r="A1948" s="143">
        <v>44252</v>
      </c>
      <c r="B1948">
        <v>122.47</v>
      </c>
      <c r="C1948">
        <v>5.6918300000000004</v>
      </c>
      <c r="D1948" t="s">
        <v>852</v>
      </c>
    </row>
    <row r="1949" spans="1:4" x14ac:dyDescent="0.25">
      <c r="A1949" s="143">
        <v>44253</v>
      </c>
      <c r="B1949">
        <v>118.93</v>
      </c>
      <c r="C1949">
        <v>9.0509900000000005</v>
      </c>
      <c r="D1949" t="s">
        <v>852</v>
      </c>
    </row>
    <row r="1950" spans="1:4" x14ac:dyDescent="0.25">
      <c r="A1950" s="143">
        <v>44256</v>
      </c>
      <c r="B1950">
        <v>120.74</v>
      </c>
      <c r="C1950">
        <v>5.7157669999999996</v>
      </c>
      <c r="D1950" t="s">
        <v>852</v>
      </c>
    </row>
    <row r="1951" spans="1:4" x14ac:dyDescent="0.25">
      <c r="A1951" s="143">
        <v>44257</v>
      </c>
      <c r="B1951">
        <v>120.33</v>
      </c>
      <c r="C1951">
        <v>4.5242990000000001</v>
      </c>
      <c r="D1951" t="s">
        <v>852</v>
      </c>
    </row>
    <row r="1952" spans="1:4" x14ac:dyDescent="0.25">
      <c r="A1952" s="143">
        <v>44258</v>
      </c>
      <c r="B1952">
        <v>122.36</v>
      </c>
      <c r="C1952">
        <v>7.4042690000000002</v>
      </c>
      <c r="D1952" t="s">
        <v>852</v>
      </c>
    </row>
    <row r="1953" spans="1:4" x14ac:dyDescent="0.25">
      <c r="A1953" s="143">
        <v>44259</v>
      </c>
      <c r="B1953">
        <v>120.11</v>
      </c>
      <c r="C1953">
        <v>8.0684920000000009</v>
      </c>
      <c r="D1953" t="s">
        <v>852</v>
      </c>
    </row>
    <row r="1954" spans="1:4" x14ac:dyDescent="0.25">
      <c r="A1954" s="143">
        <v>44260</v>
      </c>
      <c r="B1954">
        <v>122.83</v>
      </c>
      <c r="C1954">
        <v>6.9492649999999996</v>
      </c>
      <c r="D1954" t="s">
        <v>852</v>
      </c>
    </row>
    <row r="1955" spans="1:4" x14ac:dyDescent="0.25">
      <c r="A1955" s="143">
        <v>44263</v>
      </c>
      <c r="B1955">
        <v>124.81</v>
      </c>
      <c r="C1955">
        <v>7.2391909999999999</v>
      </c>
      <c r="D1955" t="s">
        <v>852</v>
      </c>
    </row>
    <row r="1956" spans="1:4" x14ac:dyDescent="0.25">
      <c r="A1956" s="143">
        <v>44264</v>
      </c>
      <c r="B1956">
        <v>124.18</v>
      </c>
      <c r="C1956">
        <v>5.6090289999999996</v>
      </c>
      <c r="D1956" t="s">
        <v>852</v>
      </c>
    </row>
    <row r="1957" spans="1:4" x14ac:dyDescent="0.25">
      <c r="A1957" s="143">
        <v>44265</v>
      </c>
      <c r="B1957">
        <v>127.87</v>
      </c>
      <c r="C1957">
        <v>7.2478069999999999</v>
      </c>
      <c r="D1957" t="s">
        <v>852</v>
      </c>
    </row>
    <row r="1958" spans="1:4" x14ac:dyDescent="0.25">
      <c r="A1958" s="143">
        <v>44266</v>
      </c>
      <c r="B1958">
        <v>127.14</v>
      </c>
      <c r="C1958">
        <v>5.1469370000000003</v>
      </c>
      <c r="D1958" t="s">
        <v>852</v>
      </c>
    </row>
    <row r="1959" spans="1:4" x14ac:dyDescent="0.25">
      <c r="A1959" s="143">
        <v>44267</v>
      </c>
      <c r="B1959">
        <v>127.61</v>
      </c>
      <c r="C1959">
        <v>4.0101000000000004</v>
      </c>
      <c r="D1959" t="s">
        <v>852</v>
      </c>
    </row>
    <row r="1960" spans="1:4" x14ac:dyDescent="0.25">
      <c r="A1960" s="143">
        <v>44270</v>
      </c>
      <c r="B1960">
        <v>128.58000000000001</v>
      </c>
      <c r="C1960">
        <v>3.421281</v>
      </c>
      <c r="D1960" t="s">
        <v>852</v>
      </c>
    </row>
    <row r="1961" spans="1:4" x14ac:dyDescent="0.25">
      <c r="A1961" s="143">
        <v>44271</v>
      </c>
      <c r="B1961">
        <v>128.24</v>
      </c>
      <c r="C1961">
        <v>4.6531779999999996</v>
      </c>
      <c r="D1961" t="s">
        <v>852</v>
      </c>
    </row>
    <row r="1962" spans="1:4" x14ac:dyDescent="0.25">
      <c r="A1962" s="143">
        <v>44272</v>
      </c>
      <c r="B1962">
        <v>129.03</v>
      </c>
      <c r="C1962">
        <v>4.2913509999999997</v>
      </c>
      <c r="D1962" t="s">
        <v>852</v>
      </c>
    </row>
    <row r="1963" spans="1:4" x14ac:dyDescent="0.25">
      <c r="A1963" s="143">
        <v>44273</v>
      </c>
      <c r="B1963">
        <v>130.06</v>
      </c>
      <c r="C1963">
        <v>5.8356690000000002</v>
      </c>
      <c r="D1963" t="s">
        <v>852</v>
      </c>
    </row>
    <row r="1964" spans="1:4" x14ac:dyDescent="0.25">
      <c r="A1964" s="143">
        <v>44274</v>
      </c>
      <c r="B1964">
        <v>128.9</v>
      </c>
      <c r="C1964">
        <v>9.8449829999999992</v>
      </c>
      <c r="D1964" t="s">
        <v>852</v>
      </c>
    </row>
    <row r="1965" spans="1:4" x14ac:dyDescent="0.25">
      <c r="A1965" s="143">
        <v>44277</v>
      </c>
      <c r="B1965">
        <v>130.55000000000001</v>
      </c>
      <c r="C1965">
        <v>4.1649139999999996</v>
      </c>
      <c r="D1965" t="s">
        <v>852</v>
      </c>
    </row>
    <row r="1966" spans="1:4" x14ac:dyDescent="0.25">
      <c r="A1966" s="143">
        <v>44278</v>
      </c>
      <c r="B1966">
        <v>130.46</v>
      </c>
      <c r="C1966">
        <v>4.3563590000000003</v>
      </c>
      <c r="D1966" t="s">
        <v>852</v>
      </c>
    </row>
    <row r="1967" spans="1:4" x14ac:dyDescent="0.25">
      <c r="A1967" s="143">
        <v>44279</v>
      </c>
      <c r="B1967">
        <v>130.62</v>
      </c>
      <c r="C1967">
        <v>4.0050270000000001</v>
      </c>
      <c r="D1967" t="s">
        <v>852</v>
      </c>
    </row>
    <row r="1968" spans="1:4" x14ac:dyDescent="0.25">
      <c r="A1968" s="143">
        <v>44280</v>
      </c>
      <c r="B1968">
        <v>133.07</v>
      </c>
      <c r="C1968">
        <v>5.553966</v>
      </c>
      <c r="D1968" t="s">
        <v>852</v>
      </c>
    </row>
    <row r="1969" spans="1:4" x14ac:dyDescent="0.25">
      <c r="A1969" s="143">
        <v>44281</v>
      </c>
      <c r="B1969">
        <v>136.38</v>
      </c>
      <c r="C1969">
        <v>5.5675920000000003</v>
      </c>
      <c r="D1969" t="s">
        <v>852</v>
      </c>
    </row>
    <row r="1970" spans="1:4" x14ac:dyDescent="0.25">
      <c r="A1970" s="143">
        <v>44284</v>
      </c>
      <c r="B1970">
        <v>135.86000000000001</v>
      </c>
      <c r="C1970">
        <v>4.6226640000000003</v>
      </c>
      <c r="D1970" t="s">
        <v>852</v>
      </c>
    </row>
    <row r="1971" spans="1:4" x14ac:dyDescent="0.25">
      <c r="A1971" s="143">
        <v>44285</v>
      </c>
      <c r="B1971">
        <v>134.72</v>
      </c>
      <c r="C1971">
        <v>4.7903659999999997</v>
      </c>
      <c r="D1971" t="s">
        <v>852</v>
      </c>
    </row>
    <row r="1972" spans="1:4" x14ac:dyDescent="0.25">
      <c r="A1972" s="143">
        <v>44286</v>
      </c>
      <c r="B1972">
        <v>133.26</v>
      </c>
      <c r="C1972">
        <v>4.9453149999999999</v>
      </c>
      <c r="D1972" t="s">
        <v>852</v>
      </c>
    </row>
    <row r="1973" spans="1:4" x14ac:dyDescent="0.25">
      <c r="A1973" s="143">
        <v>44287</v>
      </c>
      <c r="B1973">
        <v>133.22999999999999</v>
      </c>
      <c r="C1973">
        <v>4.0741610000000001</v>
      </c>
      <c r="D1973" t="s">
        <v>852</v>
      </c>
    </row>
    <row r="1974" spans="1:4" x14ac:dyDescent="0.25">
      <c r="A1974" s="143">
        <v>44291</v>
      </c>
      <c r="B1974">
        <v>135.93</v>
      </c>
      <c r="C1974">
        <v>5.471616</v>
      </c>
      <c r="D1974" t="s">
        <v>852</v>
      </c>
    </row>
    <row r="1975" spans="1:4" x14ac:dyDescent="0.25">
      <c r="A1975" s="143">
        <v>44292</v>
      </c>
      <c r="B1975">
        <v>134.22</v>
      </c>
      <c r="C1975">
        <v>3.6209639999999998</v>
      </c>
      <c r="D1975" t="s">
        <v>852</v>
      </c>
    </row>
    <row r="1976" spans="1:4" x14ac:dyDescent="0.25">
      <c r="A1976" s="143">
        <v>44293</v>
      </c>
      <c r="B1976">
        <v>134.93</v>
      </c>
      <c r="C1976">
        <v>2.9761359999999999</v>
      </c>
      <c r="D1976" t="s">
        <v>852</v>
      </c>
    </row>
    <row r="1977" spans="1:4" x14ac:dyDescent="0.25">
      <c r="A1977" s="143">
        <v>44294</v>
      </c>
      <c r="B1977">
        <v>135.12</v>
      </c>
      <c r="C1977">
        <v>4.0872279999999996</v>
      </c>
      <c r="D1977" t="s">
        <v>852</v>
      </c>
    </row>
    <row r="1978" spans="1:4" x14ac:dyDescent="0.25">
      <c r="A1978" s="143">
        <v>44295</v>
      </c>
      <c r="B1978">
        <v>135.72999999999999</v>
      </c>
      <c r="C1978">
        <v>3.0239159999999998</v>
      </c>
      <c r="D1978" t="s">
        <v>852</v>
      </c>
    </row>
    <row r="1979" spans="1:4" x14ac:dyDescent="0.25">
      <c r="A1979" s="143">
        <v>44298</v>
      </c>
      <c r="B1979">
        <v>134.59</v>
      </c>
      <c r="C1979">
        <v>3.753959</v>
      </c>
      <c r="D1979" t="s">
        <v>852</v>
      </c>
    </row>
    <row r="1980" spans="1:4" x14ac:dyDescent="0.25">
      <c r="A1980" s="143">
        <v>44299</v>
      </c>
      <c r="B1980">
        <v>131.18</v>
      </c>
      <c r="C1980">
        <v>8.0335300000000007</v>
      </c>
      <c r="D1980" t="s">
        <v>852</v>
      </c>
    </row>
    <row r="1981" spans="1:4" x14ac:dyDescent="0.25">
      <c r="A1981" s="143">
        <v>44300</v>
      </c>
      <c r="B1981">
        <v>132.63</v>
      </c>
      <c r="C1981">
        <v>5.8680490000000001</v>
      </c>
      <c r="D1981" t="s">
        <v>852</v>
      </c>
    </row>
    <row r="1982" spans="1:4" x14ac:dyDescent="0.25">
      <c r="A1982" s="143">
        <v>44301</v>
      </c>
      <c r="B1982">
        <v>132.58000000000001</v>
      </c>
      <c r="C1982">
        <v>3.8839549999999998</v>
      </c>
      <c r="D1982" t="s">
        <v>852</v>
      </c>
    </row>
    <row r="1983" spans="1:4" x14ac:dyDescent="0.25">
      <c r="A1983" s="143">
        <v>44302</v>
      </c>
      <c r="B1983">
        <v>133.59</v>
      </c>
      <c r="C1983">
        <v>5.2917560000000003</v>
      </c>
      <c r="D1983" t="s">
        <v>852</v>
      </c>
    </row>
    <row r="1984" spans="1:4" x14ac:dyDescent="0.25">
      <c r="A1984" s="143">
        <v>44305</v>
      </c>
      <c r="B1984">
        <v>133.12</v>
      </c>
      <c r="C1984">
        <v>8.198582</v>
      </c>
      <c r="D1984" t="s">
        <v>852</v>
      </c>
    </row>
    <row r="1985" spans="1:4" x14ac:dyDescent="0.25">
      <c r="A1985" s="143">
        <v>44306</v>
      </c>
      <c r="B1985">
        <v>138.16</v>
      </c>
      <c r="C1985">
        <v>15.480579000000001</v>
      </c>
      <c r="D1985" t="s">
        <v>852</v>
      </c>
    </row>
    <row r="1986" spans="1:4" x14ac:dyDescent="0.25">
      <c r="A1986" s="143">
        <v>44307</v>
      </c>
      <c r="B1986">
        <v>143.55000000000001</v>
      </c>
      <c r="C1986">
        <v>11.909005000000001</v>
      </c>
      <c r="D1986" t="s">
        <v>852</v>
      </c>
    </row>
    <row r="1987" spans="1:4" x14ac:dyDescent="0.25">
      <c r="A1987" s="143">
        <v>44308</v>
      </c>
      <c r="B1987">
        <v>141.28</v>
      </c>
      <c r="C1987">
        <v>7.1013679999999999</v>
      </c>
      <c r="D1987" t="s">
        <v>852</v>
      </c>
    </row>
    <row r="1988" spans="1:4" x14ac:dyDescent="0.25">
      <c r="A1988" s="143">
        <v>44309</v>
      </c>
      <c r="B1988">
        <v>142.43</v>
      </c>
      <c r="C1988">
        <v>4.5567000000000002</v>
      </c>
      <c r="D1988" t="s">
        <v>852</v>
      </c>
    </row>
  </sheetData>
  <phoneticPr fontId="5"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535C9-4B0A-4F22-97F6-6A74D9B4D0F8}">
  <sheetPr codeName="Sheet11">
    <tabColor theme="0"/>
  </sheetPr>
  <dimension ref="A1:L1096"/>
  <sheetViews>
    <sheetView topLeftCell="A22" zoomScaleNormal="100" workbookViewId="0">
      <selection sqref="A1:H184"/>
    </sheetView>
  </sheetViews>
  <sheetFormatPr defaultColWidth="8.85546875" defaultRowHeight="15" x14ac:dyDescent="0.25"/>
  <cols>
    <col min="1" max="1" width="9.7109375" bestFit="1" customWidth="1"/>
    <col min="2" max="2" width="10.7109375" bestFit="1" customWidth="1"/>
    <col min="3" max="3" width="7.7109375" bestFit="1" customWidth="1"/>
    <col min="4" max="4" width="13.85546875" bestFit="1" customWidth="1"/>
    <col min="5" max="5" width="15.42578125" bestFit="1" customWidth="1"/>
    <col min="6" max="6" width="11.28515625" bestFit="1" customWidth="1"/>
    <col min="7" max="7" width="10.85546875" bestFit="1" customWidth="1"/>
    <col min="8" max="8" width="15.140625" bestFit="1" customWidth="1"/>
    <col min="9" max="9" width="12.28515625" bestFit="1" customWidth="1"/>
    <col min="10" max="10" width="7.28515625" bestFit="1" customWidth="1"/>
    <col min="11" max="11" width="10.140625" bestFit="1" customWidth="1"/>
    <col min="12" max="12" width="14" bestFit="1" customWidth="1"/>
    <col min="13" max="13" width="10.140625" bestFit="1" customWidth="1"/>
    <col min="14" max="14" width="11.28515625" bestFit="1" customWidth="1"/>
    <col min="15" max="15" width="15.140625" bestFit="1" customWidth="1"/>
    <col min="16" max="16" width="10.7109375" bestFit="1" customWidth="1"/>
    <col min="17" max="17" width="13.140625" bestFit="1" customWidth="1"/>
    <col min="18" max="18" width="7.28515625" bestFit="1" customWidth="1"/>
  </cols>
  <sheetData>
    <row r="1" spans="1:12" x14ac:dyDescent="0.25">
      <c r="A1" t="s">
        <v>172</v>
      </c>
      <c r="B1" t="s">
        <v>182</v>
      </c>
      <c r="C1" t="s">
        <v>717</v>
      </c>
      <c r="D1" t="s">
        <v>718</v>
      </c>
      <c r="E1" t="s">
        <v>688</v>
      </c>
      <c r="F1" t="s">
        <v>753</v>
      </c>
      <c r="G1" t="s">
        <v>682</v>
      </c>
      <c r="H1" t="s">
        <v>684</v>
      </c>
      <c r="I1" t="s">
        <v>686</v>
      </c>
      <c r="J1" t="s">
        <v>728</v>
      </c>
      <c r="K1" t="s">
        <v>752</v>
      </c>
      <c r="L1" t="s">
        <v>755</v>
      </c>
    </row>
    <row r="2" spans="1:12" x14ac:dyDescent="0.25">
      <c r="A2" t="s">
        <v>852</v>
      </c>
      <c r="B2" s="143">
        <v>42719</v>
      </c>
      <c r="C2">
        <v>168.02</v>
      </c>
      <c r="D2">
        <v>3.3885700000000001</v>
      </c>
      <c r="E2" s="143"/>
    </row>
    <row r="3" spans="1:12" x14ac:dyDescent="0.25">
      <c r="A3" t="s">
        <v>852</v>
      </c>
      <c r="B3" s="143">
        <v>42720</v>
      </c>
      <c r="C3">
        <v>166.73</v>
      </c>
      <c r="D3">
        <v>7.1205720000000001</v>
      </c>
      <c r="E3" s="143"/>
    </row>
    <row r="4" spans="1:12" x14ac:dyDescent="0.25">
      <c r="A4" t="s">
        <v>852</v>
      </c>
      <c r="B4" s="143">
        <v>42723</v>
      </c>
      <c r="C4">
        <v>166.68</v>
      </c>
      <c r="D4">
        <v>2.9559060000000001</v>
      </c>
      <c r="E4" s="143"/>
    </row>
    <row r="5" spans="1:12" x14ac:dyDescent="0.25">
      <c r="A5" t="s">
        <v>852</v>
      </c>
      <c r="B5" s="143">
        <v>42724</v>
      </c>
      <c r="C5">
        <v>167.6</v>
      </c>
      <c r="D5">
        <v>2.174569</v>
      </c>
      <c r="E5" s="143"/>
    </row>
    <row r="6" spans="1:12" x14ac:dyDescent="0.25">
      <c r="A6" t="s">
        <v>852</v>
      </c>
      <c r="B6" s="143">
        <v>42725</v>
      </c>
      <c r="C6">
        <v>167.33</v>
      </c>
      <c r="D6">
        <v>3.5757210000000001</v>
      </c>
      <c r="E6" s="143"/>
    </row>
    <row r="7" spans="1:12" x14ac:dyDescent="0.25">
      <c r="A7" t="s">
        <v>852</v>
      </c>
      <c r="B7" s="143">
        <v>42726</v>
      </c>
      <c r="C7">
        <v>167.06</v>
      </c>
      <c r="D7">
        <v>2.8026309999999999</v>
      </c>
      <c r="E7" s="143"/>
    </row>
    <row r="8" spans="1:12" x14ac:dyDescent="0.25">
      <c r="A8" t="s">
        <v>852</v>
      </c>
      <c r="B8" s="143">
        <v>42727</v>
      </c>
      <c r="C8">
        <v>166.71</v>
      </c>
      <c r="D8">
        <v>1.701228</v>
      </c>
      <c r="E8" s="143"/>
    </row>
    <row r="9" spans="1:12" x14ac:dyDescent="0.25">
      <c r="A9" t="s">
        <v>852</v>
      </c>
      <c r="B9" s="143">
        <v>42731</v>
      </c>
      <c r="C9">
        <v>167.14</v>
      </c>
      <c r="D9">
        <v>1.3974549999999999</v>
      </c>
      <c r="E9" s="143"/>
    </row>
    <row r="10" spans="1:12" x14ac:dyDescent="0.25">
      <c r="A10" t="s">
        <v>852</v>
      </c>
      <c r="B10" s="143">
        <v>42732</v>
      </c>
      <c r="C10">
        <v>166.19</v>
      </c>
      <c r="D10">
        <v>1.7575000000000001</v>
      </c>
      <c r="E10" s="143"/>
    </row>
    <row r="11" spans="1:12" x14ac:dyDescent="0.25">
      <c r="A11" t="s">
        <v>852</v>
      </c>
      <c r="B11" s="143">
        <v>42733</v>
      </c>
      <c r="C11">
        <v>166.6</v>
      </c>
      <c r="D11">
        <v>1.6635420000000001</v>
      </c>
      <c r="E11" s="143"/>
    </row>
    <row r="12" spans="1:12" x14ac:dyDescent="0.25">
      <c r="A12" t="s">
        <v>852</v>
      </c>
      <c r="B12" s="143">
        <v>42734</v>
      </c>
      <c r="C12">
        <v>165.99</v>
      </c>
      <c r="D12">
        <v>2.9528249999999998</v>
      </c>
      <c r="E12" s="143"/>
    </row>
    <row r="13" spans="1:12" x14ac:dyDescent="0.25">
      <c r="A13" t="s">
        <v>852</v>
      </c>
      <c r="B13" s="143">
        <v>42738</v>
      </c>
      <c r="C13">
        <v>167.19</v>
      </c>
      <c r="D13">
        <v>2.9342990000000002</v>
      </c>
      <c r="E13" s="143"/>
    </row>
    <row r="14" spans="1:12" x14ac:dyDescent="0.25">
      <c r="A14" t="s">
        <v>852</v>
      </c>
      <c r="B14" s="143">
        <v>42739</v>
      </c>
      <c r="C14">
        <v>169.26</v>
      </c>
      <c r="D14">
        <v>3.3814320000000002</v>
      </c>
      <c r="E14" s="143"/>
    </row>
    <row r="15" spans="1:12" x14ac:dyDescent="0.25">
      <c r="A15" t="s">
        <v>852</v>
      </c>
      <c r="B15" s="143">
        <v>42740</v>
      </c>
      <c r="C15">
        <v>168.7</v>
      </c>
      <c r="D15">
        <v>2.6823009999999998</v>
      </c>
      <c r="E15" s="143"/>
    </row>
    <row r="16" spans="1:12" x14ac:dyDescent="0.25">
      <c r="A16" t="s">
        <v>852</v>
      </c>
      <c r="B16" s="143">
        <v>42741</v>
      </c>
      <c r="C16">
        <v>169.53</v>
      </c>
      <c r="D16">
        <v>2.9455360000000002</v>
      </c>
      <c r="E16" s="143"/>
    </row>
    <row r="17" spans="1:5" x14ac:dyDescent="0.25">
      <c r="A17" t="s">
        <v>852</v>
      </c>
      <c r="B17" s="143">
        <v>42744</v>
      </c>
      <c r="C17">
        <v>167.65</v>
      </c>
      <c r="D17">
        <v>3.1898909999999998</v>
      </c>
      <c r="E17" s="143"/>
    </row>
    <row r="18" spans="1:5" x14ac:dyDescent="0.25">
      <c r="A18" t="s">
        <v>852</v>
      </c>
      <c r="B18" s="143">
        <v>42745</v>
      </c>
      <c r="C18">
        <v>165.52</v>
      </c>
      <c r="D18">
        <v>4.1186939999999996</v>
      </c>
      <c r="E18" s="143"/>
    </row>
    <row r="19" spans="1:5" x14ac:dyDescent="0.25">
      <c r="A19" t="s">
        <v>852</v>
      </c>
      <c r="B19" s="143">
        <v>42746</v>
      </c>
      <c r="C19">
        <v>167.75</v>
      </c>
      <c r="D19">
        <v>3.5994640000000002</v>
      </c>
      <c r="E19" s="143"/>
    </row>
    <row r="20" spans="1:5" x14ac:dyDescent="0.25">
      <c r="A20" t="s">
        <v>852</v>
      </c>
      <c r="B20" s="143">
        <v>42747</v>
      </c>
      <c r="C20">
        <v>167.95</v>
      </c>
      <c r="D20">
        <v>2.9279730000000002</v>
      </c>
      <c r="E20" s="143"/>
    </row>
    <row r="21" spans="1:5" x14ac:dyDescent="0.25">
      <c r="A21" t="s">
        <v>852</v>
      </c>
      <c r="B21" s="143">
        <v>42748</v>
      </c>
      <c r="C21">
        <v>167.34</v>
      </c>
      <c r="D21">
        <v>2.8754330000000001</v>
      </c>
      <c r="E21" s="143"/>
    </row>
    <row r="22" spans="1:5" x14ac:dyDescent="0.25">
      <c r="A22" t="s">
        <v>852</v>
      </c>
      <c r="B22" s="143">
        <v>42752</v>
      </c>
      <c r="C22">
        <v>167.89</v>
      </c>
      <c r="D22">
        <v>3.315655</v>
      </c>
      <c r="E22" s="143"/>
    </row>
    <row r="23" spans="1:5" x14ac:dyDescent="0.25">
      <c r="A23" t="s">
        <v>852</v>
      </c>
      <c r="B23" s="143">
        <v>42753</v>
      </c>
      <c r="C23">
        <v>166.8</v>
      </c>
      <c r="D23">
        <v>4.0077790000000002</v>
      </c>
      <c r="E23" s="143"/>
    </row>
    <row r="24" spans="1:5" x14ac:dyDescent="0.25">
      <c r="A24" t="s">
        <v>852</v>
      </c>
      <c r="B24" s="143">
        <v>42754</v>
      </c>
      <c r="C24">
        <v>166.81</v>
      </c>
      <c r="D24">
        <v>6.9633859999999999</v>
      </c>
      <c r="E24" s="143"/>
    </row>
    <row r="25" spans="1:5" x14ac:dyDescent="0.25">
      <c r="A25" t="s">
        <v>852</v>
      </c>
      <c r="B25" s="143">
        <v>42755</v>
      </c>
      <c r="C25">
        <v>170.55</v>
      </c>
      <c r="D25">
        <v>12.690028999999999</v>
      </c>
      <c r="E25" s="143"/>
    </row>
    <row r="26" spans="1:5" x14ac:dyDescent="0.25">
      <c r="A26" t="s">
        <v>852</v>
      </c>
      <c r="B26" s="143">
        <v>42758</v>
      </c>
      <c r="C26">
        <v>171.03</v>
      </c>
      <c r="D26">
        <v>5.478224</v>
      </c>
      <c r="E26" s="143"/>
    </row>
    <row r="27" spans="1:5" x14ac:dyDescent="0.25">
      <c r="A27" t="s">
        <v>852</v>
      </c>
      <c r="B27" s="143">
        <v>42759</v>
      </c>
      <c r="C27">
        <v>175.9</v>
      </c>
      <c r="D27">
        <v>6.952369</v>
      </c>
      <c r="E27" s="143"/>
    </row>
    <row r="28" spans="1:5" x14ac:dyDescent="0.25">
      <c r="A28" t="s">
        <v>852</v>
      </c>
      <c r="B28" s="143">
        <v>42760</v>
      </c>
      <c r="C28">
        <v>178.29</v>
      </c>
      <c r="D28">
        <v>5.9224620000000003</v>
      </c>
      <c r="E28" s="143"/>
    </row>
    <row r="29" spans="1:5" x14ac:dyDescent="0.25">
      <c r="A29" t="s">
        <v>852</v>
      </c>
      <c r="B29" s="143">
        <v>42761</v>
      </c>
      <c r="C29">
        <v>178.66</v>
      </c>
      <c r="D29">
        <v>3.0639240000000001</v>
      </c>
      <c r="E29" s="143"/>
    </row>
    <row r="30" spans="1:5" x14ac:dyDescent="0.25">
      <c r="A30" t="s">
        <v>852</v>
      </c>
      <c r="B30" s="143">
        <v>42762</v>
      </c>
      <c r="C30">
        <v>177.3</v>
      </c>
      <c r="D30">
        <v>3.4823110000000002</v>
      </c>
      <c r="E30" s="143"/>
    </row>
    <row r="31" spans="1:5" x14ac:dyDescent="0.25">
      <c r="A31" t="s">
        <v>852</v>
      </c>
      <c r="B31" s="143">
        <v>42765</v>
      </c>
      <c r="C31">
        <v>175.8</v>
      </c>
      <c r="D31">
        <v>4.0947550000000001</v>
      </c>
      <c r="E31" s="143"/>
    </row>
    <row r="32" spans="1:5" x14ac:dyDescent="0.25">
      <c r="A32" t="s">
        <v>852</v>
      </c>
      <c r="B32" s="143">
        <v>42766</v>
      </c>
      <c r="C32">
        <v>174.52</v>
      </c>
      <c r="D32">
        <v>4.1389620000000003</v>
      </c>
      <c r="E32" s="143"/>
    </row>
    <row r="33" spans="1:12" x14ac:dyDescent="0.25">
      <c r="A33" t="s">
        <v>852</v>
      </c>
      <c r="B33" s="143">
        <v>42767</v>
      </c>
      <c r="C33">
        <v>174.29</v>
      </c>
      <c r="D33">
        <v>2.7957450000000001</v>
      </c>
      <c r="E33" s="143"/>
    </row>
    <row r="34" spans="1:12" x14ac:dyDescent="0.25">
      <c r="A34" t="s">
        <v>852</v>
      </c>
      <c r="B34" s="143">
        <v>42768</v>
      </c>
      <c r="C34">
        <v>174.58</v>
      </c>
      <c r="D34">
        <v>2.6205259999999999</v>
      </c>
      <c r="E34" s="143"/>
    </row>
    <row r="35" spans="1:12" x14ac:dyDescent="0.25">
      <c r="A35" t="s">
        <v>852</v>
      </c>
      <c r="B35" s="143">
        <v>42769</v>
      </c>
      <c r="C35">
        <v>175.82</v>
      </c>
      <c r="D35">
        <v>3.309288</v>
      </c>
      <c r="E35" s="143"/>
    </row>
    <row r="36" spans="1:12" x14ac:dyDescent="0.25">
      <c r="A36" t="s">
        <v>852</v>
      </c>
      <c r="B36" s="143">
        <v>42772</v>
      </c>
      <c r="C36">
        <v>175.86</v>
      </c>
      <c r="D36">
        <v>2.6507849999999999</v>
      </c>
      <c r="E36" s="143"/>
    </row>
    <row r="37" spans="1:12" x14ac:dyDescent="0.25">
      <c r="A37" t="s">
        <v>852</v>
      </c>
      <c r="B37" s="143">
        <v>42773</v>
      </c>
      <c r="C37">
        <v>178.46</v>
      </c>
      <c r="D37">
        <v>3.8734549999999999</v>
      </c>
      <c r="E37" s="143"/>
    </row>
    <row r="38" spans="1:12" x14ac:dyDescent="0.25">
      <c r="A38" t="s">
        <v>852</v>
      </c>
      <c r="B38" s="143">
        <v>42774</v>
      </c>
      <c r="C38">
        <v>176.17</v>
      </c>
      <c r="D38">
        <v>2.9131260000000001</v>
      </c>
      <c r="E38" s="143">
        <v>42804</v>
      </c>
      <c r="F38">
        <v>1.4</v>
      </c>
      <c r="G38" t="s">
        <v>683</v>
      </c>
      <c r="H38" t="s">
        <v>778</v>
      </c>
      <c r="I38" t="s">
        <v>687</v>
      </c>
      <c r="J38">
        <v>2017</v>
      </c>
      <c r="K38">
        <v>1</v>
      </c>
      <c r="L38">
        <v>5</v>
      </c>
    </row>
    <row r="39" spans="1:12" x14ac:dyDescent="0.25">
      <c r="A39" t="s">
        <v>852</v>
      </c>
      <c r="B39" s="143">
        <v>42775</v>
      </c>
      <c r="C39">
        <v>177.21</v>
      </c>
      <c r="D39">
        <v>3.0907100000000001</v>
      </c>
      <c r="E39" s="143"/>
    </row>
    <row r="40" spans="1:12" x14ac:dyDescent="0.25">
      <c r="A40" t="s">
        <v>852</v>
      </c>
      <c r="B40" s="143">
        <v>42776</v>
      </c>
      <c r="C40">
        <v>178.68</v>
      </c>
      <c r="D40">
        <v>2.9307099999999999</v>
      </c>
      <c r="E40" s="143"/>
    </row>
    <row r="41" spans="1:12" x14ac:dyDescent="0.25">
      <c r="A41" t="s">
        <v>852</v>
      </c>
      <c r="B41" s="143">
        <v>42779</v>
      </c>
      <c r="C41">
        <v>179.36</v>
      </c>
      <c r="D41">
        <v>3.093372</v>
      </c>
      <c r="E41" s="143"/>
    </row>
    <row r="42" spans="1:12" x14ac:dyDescent="0.25">
      <c r="A42" t="s">
        <v>852</v>
      </c>
      <c r="B42" s="143">
        <v>42780</v>
      </c>
      <c r="C42">
        <v>180.13</v>
      </c>
      <c r="D42">
        <v>2.7765279999999999</v>
      </c>
      <c r="E42" s="143"/>
    </row>
    <row r="43" spans="1:12" x14ac:dyDescent="0.25">
      <c r="A43" t="s">
        <v>852</v>
      </c>
      <c r="B43" s="143">
        <v>42781</v>
      </c>
      <c r="C43">
        <v>181.68</v>
      </c>
      <c r="D43">
        <v>2.9142920000000001</v>
      </c>
      <c r="E43" s="143"/>
    </row>
    <row r="44" spans="1:12" x14ac:dyDescent="0.25">
      <c r="A44" t="s">
        <v>852</v>
      </c>
      <c r="B44" s="143">
        <v>42782</v>
      </c>
      <c r="C44">
        <v>181.43</v>
      </c>
      <c r="D44">
        <v>3.251547</v>
      </c>
      <c r="E44" s="143"/>
    </row>
    <row r="45" spans="1:12" x14ac:dyDescent="0.25">
      <c r="A45" t="s">
        <v>852</v>
      </c>
      <c r="B45" s="143">
        <v>42783</v>
      </c>
      <c r="C45">
        <v>180.67</v>
      </c>
      <c r="D45">
        <v>3.552495</v>
      </c>
      <c r="E45" s="143"/>
    </row>
    <row r="46" spans="1:12" x14ac:dyDescent="0.25">
      <c r="A46" t="s">
        <v>852</v>
      </c>
      <c r="B46" s="143">
        <v>42787</v>
      </c>
      <c r="C46">
        <v>180.26</v>
      </c>
      <c r="D46">
        <v>4.4802989999999996</v>
      </c>
      <c r="E46" s="143"/>
    </row>
    <row r="47" spans="1:12" x14ac:dyDescent="0.25">
      <c r="A47" t="s">
        <v>852</v>
      </c>
      <c r="B47" s="143">
        <v>42788</v>
      </c>
      <c r="C47">
        <v>181.15</v>
      </c>
      <c r="D47">
        <v>3.02054</v>
      </c>
      <c r="E47" s="143"/>
    </row>
    <row r="48" spans="1:12" x14ac:dyDescent="0.25">
      <c r="A48" t="s">
        <v>852</v>
      </c>
      <c r="B48" s="143">
        <v>42789</v>
      </c>
      <c r="C48">
        <v>181.65</v>
      </c>
      <c r="D48">
        <v>2.2825259999999998</v>
      </c>
      <c r="E48" s="143"/>
    </row>
    <row r="49" spans="1:5" x14ac:dyDescent="0.25">
      <c r="A49" t="s">
        <v>852</v>
      </c>
      <c r="B49" s="143">
        <v>42790</v>
      </c>
      <c r="C49">
        <v>181.35</v>
      </c>
      <c r="D49">
        <v>3.3000929999999999</v>
      </c>
      <c r="E49" s="143"/>
    </row>
    <row r="50" spans="1:5" x14ac:dyDescent="0.25">
      <c r="A50" t="s">
        <v>852</v>
      </c>
      <c r="B50" s="143">
        <v>42793</v>
      </c>
      <c r="C50">
        <v>179.4</v>
      </c>
      <c r="D50">
        <v>3.6913269999999998</v>
      </c>
      <c r="E50" s="143"/>
    </row>
    <row r="51" spans="1:5" x14ac:dyDescent="0.25">
      <c r="A51" t="s">
        <v>852</v>
      </c>
      <c r="B51" s="143">
        <v>42794</v>
      </c>
      <c r="C51">
        <v>179.82</v>
      </c>
      <c r="D51">
        <v>3.2734200000000002</v>
      </c>
      <c r="E51" s="143"/>
    </row>
    <row r="52" spans="1:5" x14ac:dyDescent="0.25">
      <c r="A52" t="s">
        <v>852</v>
      </c>
      <c r="B52" s="143">
        <v>42795</v>
      </c>
      <c r="C52">
        <v>181.95</v>
      </c>
      <c r="D52">
        <v>3.0055640000000001</v>
      </c>
      <c r="E52" s="143"/>
    </row>
    <row r="53" spans="1:5" x14ac:dyDescent="0.25">
      <c r="A53" t="s">
        <v>852</v>
      </c>
      <c r="B53" s="143">
        <v>42796</v>
      </c>
      <c r="C53">
        <v>180.53</v>
      </c>
      <c r="D53">
        <v>2.918183</v>
      </c>
      <c r="E53" s="143"/>
    </row>
    <row r="54" spans="1:5" x14ac:dyDescent="0.25">
      <c r="A54" t="s">
        <v>852</v>
      </c>
      <c r="B54" s="143">
        <v>42797</v>
      </c>
      <c r="C54">
        <v>180.05</v>
      </c>
      <c r="D54">
        <v>1.825048</v>
      </c>
      <c r="E54" s="143"/>
    </row>
    <row r="55" spans="1:5" x14ac:dyDescent="0.25">
      <c r="A55" t="s">
        <v>852</v>
      </c>
      <c r="B55" s="143">
        <v>42800</v>
      </c>
      <c r="C55">
        <v>180.47</v>
      </c>
      <c r="D55">
        <v>3.204434</v>
      </c>
      <c r="E55" s="143"/>
    </row>
    <row r="56" spans="1:5" x14ac:dyDescent="0.25">
      <c r="A56" t="s">
        <v>852</v>
      </c>
      <c r="B56" s="143">
        <v>42801</v>
      </c>
      <c r="C56">
        <v>180.38</v>
      </c>
      <c r="D56">
        <v>2.9805160000000002</v>
      </c>
      <c r="E56" s="143"/>
    </row>
    <row r="57" spans="1:5" x14ac:dyDescent="0.25">
      <c r="A57" t="s">
        <v>852</v>
      </c>
      <c r="B57" s="143">
        <v>42802</v>
      </c>
      <c r="C57">
        <v>179.45</v>
      </c>
      <c r="D57">
        <v>3.5573959999999998</v>
      </c>
      <c r="E57" s="143"/>
    </row>
    <row r="58" spans="1:5" x14ac:dyDescent="0.25">
      <c r="A58" t="s">
        <v>852</v>
      </c>
      <c r="B58" s="143">
        <v>42803</v>
      </c>
      <c r="C58">
        <v>177.18</v>
      </c>
      <c r="D58">
        <v>5.4440759999999999</v>
      </c>
      <c r="E58" s="143"/>
    </row>
    <row r="59" spans="1:5" x14ac:dyDescent="0.25">
      <c r="A59" t="s">
        <v>852</v>
      </c>
      <c r="B59" s="143">
        <v>42804</v>
      </c>
      <c r="C59">
        <v>177.83</v>
      </c>
      <c r="D59">
        <v>3.1003259999999999</v>
      </c>
      <c r="E59" s="143"/>
    </row>
    <row r="60" spans="1:5" x14ac:dyDescent="0.25">
      <c r="A60" t="s">
        <v>852</v>
      </c>
      <c r="B60" s="143">
        <v>42807</v>
      </c>
      <c r="C60">
        <v>176.46</v>
      </c>
      <c r="D60">
        <v>3.482189</v>
      </c>
      <c r="E60" s="143"/>
    </row>
    <row r="61" spans="1:5" x14ac:dyDescent="0.25">
      <c r="A61" t="s">
        <v>852</v>
      </c>
      <c r="B61" s="143">
        <v>42808</v>
      </c>
      <c r="C61">
        <v>175.72</v>
      </c>
      <c r="D61">
        <v>3.147497</v>
      </c>
      <c r="E61" s="143"/>
    </row>
    <row r="62" spans="1:5" x14ac:dyDescent="0.25">
      <c r="A62" t="s">
        <v>852</v>
      </c>
      <c r="B62" s="143">
        <v>42809</v>
      </c>
      <c r="C62">
        <v>175.81</v>
      </c>
      <c r="D62">
        <v>3.815537</v>
      </c>
      <c r="E62" s="143"/>
    </row>
    <row r="63" spans="1:5" x14ac:dyDescent="0.25">
      <c r="A63" t="s">
        <v>852</v>
      </c>
      <c r="B63" s="143">
        <v>42810</v>
      </c>
      <c r="C63">
        <v>177.24</v>
      </c>
      <c r="D63">
        <v>4.3118480000000003</v>
      </c>
      <c r="E63" s="143"/>
    </row>
    <row r="64" spans="1:5" x14ac:dyDescent="0.25">
      <c r="A64" t="s">
        <v>852</v>
      </c>
      <c r="B64" s="143">
        <v>42811</v>
      </c>
      <c r="C64">
        <v>175.65</v>
      </c>
      <c r="D64">
        <v>5.9209670000000001</v>
      </c>
      <c r="E64" s="143"/>
    </row>
    <row r="65" spans="1:5" x14ac:dyDescent="0.25">
      <c r="A65" t="s">
        <v>852</v>
      </c>
      <c r="B65" s="143">
        <v>42814</v>
      </c>
      <c r="C65">
        <v>175.7</v>
      </c>
      <c r="D65">
        <v>2.4761250000000001</v>
      </c>
      <c r="E65" s="143"/>
    </row>
    <row r="66" spans="1:5" x14ac:dyDescent="0.25">
      <c r="A66" t="s">
        <v>852</v>
      </c>
      <c r="B66" s="143">
        <v>42815</v>
      </c>
      <c r="C66">
        <v>173.88</v>
      </c>
      <c r="D66">
        <v>3.9277410000000001</v>
      </c>
      <c r="E66" s="143"/>
    </row>
    <row r="67" spans="1:5" x14ac:dyDescent="0.25">
      <c r="A67" t="s">
        <v>852</v>
      </c>
      <c r="B67" s="143">
        <v>42816</v>
      </c>
      <c r="C67">
        <v>174.78</v>
      </c>
      <c r="D67">
        <v>3.4505119999999998</v>
      </c>
      <c r="E67" s="143"/>
    </row>
    <row r="68" spans="1:5" x14ac:dyDescent="0.25">
      <c r="A68" t="s">
        <v>852</v>
      </c>
      <c r="B68" s="143">
        <v>42817</v>
      </c>
      <c r="C68">
        <v>174.82</v>
      </c>
      <c r="D68">
        <v>3.739976</v>
      </c>
      <c r="E68" s="143"/>
    </row>
    <row r="69" spans="1:5" x14ac:dyDescent="0.25">
      <c r="A69" t="s">
        <v>852</v>
      </c>
      <c r="B69" s="143">
        <v>42818</v>
      </c>
      <c r="C69">
        <v>173.83</v>
      </c>
      <c r="D69">
        <v>3.2216749999999998</v>
      </c>
      <c r="E69" s="143"/>
    </row>
    <row r="70" spans="1:5" x14ac:dyDescent="0.25">
      <c r="A70" t="s">
        <v>852</v>
      </c>
      <c r="B70" s="143">
        <v>42821</v>
      </c>
      <c r="C70">
        <v>173.77</v>
      </c>
      <c r="D70">
        <v>3.2590490000000001</v>
      </c>
      <c r="E70" s="143"/>
    </row>
    <row r="71" spans="1:5" x14ac:dyDescent="0.25">
      <c r="A71" t="s">
        <v>852</v>
      </c>
      <c r="B71" s="143">
        <v>42822</v>
      </c>
      <c r="C71">
        <v>174.51</v>
      </c>
      <c r="D71">
        <v>3.5238700000000001</v>
      </c>
      <c r="E71" s="143"/>
    </row>
    <row r="72" spans="1:5" x14ac:dyDescent="0.25">
      <c r="A72" t="s">
        <v>852</v>
      </c>
      <c r="B72" s="143">
        <v>42823</v>
      </c>
      <c r="C72">
        <v>173.94</v>
      </c>
      <c r="D72">
        <v>3.0856059999999998</v>
      </c>
      <c r="E72" s="143"/>
    </row>
    <row r="73" spans="1:5" x14ac:dyDescent="0.25">
      <c r="A73" t="s">
        <v>852</v>
      </c>
      <c r="B73" s="143">
        <v>42824</v>
      </c>
      <c r="C73">
        <v>173.86</v>
      </c>
      <c r="D73">
        <v>3.1682540000000001</v>
      </c>
      <c r="E73" s="143"/>
    </row>
    <row r="74" spans="1:5" x14ac:dyDescent="0.25">
      <c r="A74" t="s">
        <v>852</v>
      </c>
      <c r="B74" s="143">
        <v>42825</v>
      </c>
      <c r="C74">
        <v>174.14</v>
      </c>
      <c r="D74">
        <v>2.9136839999999999</v>
      </c>
      <c r="E74" s="143"/>
    </row>
    <row r="75" spans="1:5" x14ac:dyDescent="0.25">
      <c r="A75" t="s">
        <v>852</v>
      </c>
      <c r="B75" s="143">
        <v>42828</v>
      </c>
      <c r="C75">
        <v>174.5</v>
      </c>
      <c r="D75">
        <v>4.2864979999999999</v>
      </c>
      <c r="E75" s="143"/>
    </row>
    <row r="76" spans="1:5" x14ac:dyDescent="0.25">
      <c r="A76" t="s">
        <v>852</v>
      </c>
      <c r="B76" s="143">
        <v>42829</v>
      </c>
      <c r="C76">
        <v>174.52</v>
      </c>
      <c r="D76">
        <v>3.1088849999999999</v>
      </c>
      <c r="E76" s="143"/>
    </row>
    <row r="77" spans="1:5" x14ac:dyDescent="0.25">
      <c r="A77" t="s">
        <v>852</v>
      </c>
      <c r="B77" s="143">
        <v>42830</v>
      </c>
      <c r="C77">
        <v>172.88</v>
      </c>
      <c r="D77">
        <v>6.2388940000000002</v>
      </c>
      <c r="E77" s="143"/>
    </row>
    <row r="78" spans="1:5" x14ac:dyDescent="0.25">
      <c r="A78" t="s">
        <v>852</v>
      </c>
      <c r="B78" s="143">
        <v>42831</v>
      </c>
      <c r="C78">
        <v>172.45</v>
      </c>
      <c r="D78">
        <v>3.435403</v>
      </c>
      <c r="E78" s="143"/>
    </row>
    <row r="79" spans="1:5" x14ac:dyDescent="0.25">
      <c r="A79" t="s">
        <v>852</v>
      </c>
      <c r="B79" s="143">
        <v>42832</v>
      </c>
      <c r="C79">
        <v>172.14</v>
      </c>
      <c r="D79">
        <v>3.5883020000000001</v>
      </c>
      <c r="E79" s="143"/>
    </row>
    <row r="80" spans="1:5" x14ac:dyDescent="0.25">
      <c r="A80" t="s">
        <v>852</v>
      </c>
      <c r="B80" s="143">
        <v>42835</v>
      </c>
      <c r="C80">
        <v>171.2</v>
      </c>
      <c r="D80">
        <v>3.789936</v>
      </c>
      <c r="E80" s="143"/>
    </row>
    <row r="81" spans="1:5" x14ac:dyDescent="0.25">
      <c r="A81" t="s">
        <v>852</v>
      </c>
      <c r="B81" s="143">
        <v>42836</v>
      </c>
      <c r="C81">
        <v>170.58</v>
      </c>
      <c r="D81">
        <v>4.8919110000000003</v>
      </c>
      <c r="E81" s="143"/>
    </row>
    <row r="82" spans="1:5" x14ac:dyDescent="0.25">
      <c r="A82" t="s">
        <v>852</v>
      </c>
      <c r="B82" s="143">
        <v>42837</v>
      </c>
      <c r="C82">
        <v>170.66</v>
      </c>
      <c r="D82">
        <v>3.2769309999999998</v>
      </c>
      <c r="E82" s="143"/>
    </row>
    <row r="83" spans="1:5" x14ac:dyDescent="0.25">
      <c r="A83" t="s">
        <v>852</v>
      </c>
      <c r="B83" s="143">
        <v>42838</v>
      </c>
      <c r="C83">
        <v>169.53</v>
      </c>
      <c r="D83">
        <v>3.2054619999999998</v>
      </c>
      <c r="E83" s="143"/>
    </row>
    <row r="84" spans="1:5" x14ac:dyDescent="0.25">
      <c r="A84" t="s">
        <v>852</v>
      </c>
      <c r="B84" s="143">
        <v>42842</v>
      </c>
      <c r="C84">
        <v>171.1</v>
      </c>
      <c r="D84">
        <v>3.720218</v>
      </c>
      <c r="E84" s="143"/>
    </row>
    <row r="85" spans="1:5" x14ac:dyDescent="0.25">
      <c r="A85" t="s">
        <v>852</v>
      </c>
      <c r="B85" s="143">
        <v>42843</v>
      </c>
      <c r="C85">
        <v>170.05</v>
      </c>
      <c r="D85">
        <v>6.3454649999999999</v>
      </c>
      <c r="E85" s="143"/>
    </row>
    <row r="86" spans="1:5" x14ac:dyDescent="0.25">
      <c r="A86" t="s">
        <v>852</v>
      </c>
      <c r="B86" s="143">
        <v>42844</v>
      </c>
      <c r="C86">
        <v>161.69</v>
      </c>
      <c r="D86">
        <v>19.284284</v>
      </c>
      <c r="E86" s="143"/>
    </row>
    <row r="87" spans="1:5" x14ac:dyDescent="0.25">
      <c r="A87" t="s">
        <v>852</v>
      </c>
      <c r="B87" s="143">
        <v>42845</v>
      </c>
      <c r="C87">
        <v>162.30000000000001</v>
      </c>
      <c r="D87">
        <v>6.4873789999999998</v>
      </c>
      <c r="E87" s="143"/>
    </row>
    <row r="88" spans="1:5" x14ac:dyDescent="0.25">
      <c r="A88" t="s">
        <v>852</v>
      </c>
      <c r="B88" s="143">
        <v>42846</v>
      </c>
      <c r="C88">
        <v>160.38</v>
      </c>
      <c r="D88">
        <v>5.6077560000000002</v>
      </c>
      <c r="E88" s="143"/>
    </row>
    <row r="89" spans="1:5" x14ac:dyDescent="0.25">
      <c r="A89" t="s">
        <v>852</v>
      </c>
      <c r="B89" s="143">
        <v>42849</v>
      </c>
      <c r="C89">
        <v>160.75</v>
      </c>
      <c r="D89">
        <v>5.320608</v>
      </c>
      <c r="E89" s="143"/>
    </row>
    <row r="90" spans="1:5" x14ac:dyDescent="0.25">
      <c r="A90" t="s">
        <v>852</v>
      </c>
      <c r="B90" s="143">
        <v>42850</v>
      </c>
      <c r="C90">
        <v>160.38999999999999</v>
      </c>
      <c r="D90">
        <v>4.8604070000000004</v>
      </c>
      <c r="E90" s="143"/>
    </row>
    <row r="91" spans="1:5" x14ac:dyDescent="0.25">
      <c r="A91" t="s">
        <v>852</v>
      </c>
      <c r="B91" s="143">
        <v>42851</v>
      </c>
      <c r="C91">
        <v>160.06</v>
      </c>
      <c r="D91">
        <v>4.3280010000000004</v>
      </c>
      <c r="E91" s="143"/>
    </row>
    <row r="92" spans="1:5" x14ac:dyDescent="0.25">
      <c r="A92" t="s">
        <v>852</v>
      </c>
      <c r="B92" s="143">
        <v>42852</v>
      </c>
      <c r="C92">
        <v>160.32</v>
      </c>
      <c r="D92">
        <v>4.1229430000000002</v>
      </c>
      <c r="E92" s="143"/>
    </row>
    <row r="93" spans="1:5" x14ac:dyDescent="0.25">
      <c r="A93" t="s">
        <v>852</v>
      </c>
      <c r="B93" s="143">
        <v>42853</v>
      </c>
      <c r="C93">
        <v>160.29</v>
      </c>
      <c r="D93">
        <v>4.154147</v>
      </c>
      <c r="E93" s="143"/>
    </row>
    <row r="94" spans="1:5" x14ac:dyDescent="0.25">
      <c r="A94" t="s">
        <v>852</v>
      </c>
      <c r="B94" s="143">
        <v>42856</v>
      </c>
      <c r="C94">
        <v>158.84</v>
      </c>
      <c r="D94">
        <v>4.9353119999999997</v>
      </c>
      <c r="E94" s="143"/>
    </row>
    <row r="95" spans="1:5" x14ac:dyDescent="0.25">
      <c r="A95" t="s">
        <v>852</v>
      </c>
      <c r="B95" s="143">
        <v>42857</v>
      </c>
      <c r="C95">
        <v>159.1</v>
      </c>
      <c r="D95">
        <v>3.2082389999999998</v>
      </c>
      <c r="E95" s="143"/>
    </row>
    <row r="96" spans="1:5" x14ac:dyDescent="0.25">
      <c r="A96" t="s">
        <v>852</v>
      </c>
      <c r="B96" s="143">
        <v>42858</v>
      </c>
      <c r="C96">
        <v>158.63</v>
      </c>
      <c r="D96">
        <v>3.9933960000000002</v>
      </c>
      <c r="E96" s="143"/>
    </row>
    <row r="97" spans="1:12" x14ac:dyDescent="0.25">
      <c r="A97" t="s">
        <v>852</v>
      </c>
      <c r="B97" s="143">
        <v>42859</v>
      </c>
      <c r="C97">
        <v>159.05000000000001</v>
      </c>
      <c r="D97">
        <v>4.2806129999999998</v>
      </c>
      <c r="E97" s="143"/>
    </row>
    <row r="98" spans="1:12" x14ac:dyDescent="0.25">
      <c r="A98" t="s">
        <v>852</v>
      </c>
      <c r="B98" s="143">
        <v>42860</v>
      </c>
      <c r="C98">
        <v>155.05000000000001</v>
      </c>
      <c r="D98">
        <v>12.521335000000001</v>
      </c>
      <c r="E98" s="143"/>
    </row>
    <row r="99" spans="1:12" x14ac:dyDescent="0.25">
      <c r="A99" t="s">
        <v>852</v>
      </c>
      <c r="B99" s="143">
        <v>42863</v>
      </c>
      <c r="C99">
        <v>153.03</v>
      </c>
      <c r="D99">
        <v>7.4919659999999997</v>
      </c>
      <c r="E99" s="143">
        <v>42896</v>
      </c>
      <c r="F99">
        <v>1.5</v>
      </c>
      <c r="G99" t="s">
        <v>683</v>
      </c>
      <c r="H99" t="s">
        <v>778</v>
      </c>
      <c r="I99" t="s">
        <v>687</v>
      </c>
      <c r="J99">
        <v>2017</v>
      </c>
      <c r="K99">
        <v>2</v>
      </c>
      <c r="L99">
        <v>6</v>
      </c>
    </row>
    <row r="100" spans="1:12" x14ac:dyDescent="0.25">
      <c r="A100" t="s">
        <v>852</v>
      </c>
      <c r="B100" s="143">
        <v>42864</v>
      </c>
      <c r="C100">
        <v>152.11000000000001</v>
      </c>
      <c r="D100">
        <v>6.8530430000000004</v>
      </c>
      <c r="E100" s="143"/>
    </row>
    <row r="101" spans="1:12" x14ac:dyDescent="0.25">
      <c r="A101" t="s">
        <v>852</v>
      </c>
      <c r="B101" s="143">
        <v>42865</v>
      </c>
      <c r="C101">
        <v>151.25</v>
      </c>
      <c r="D101">
        <v>4.9998610000000001</v>
      </c>
      <c r="E101" s="143"/>
    </row>
    <row r="102" spans="1:12" x14ac:dyDescent="0.25">
      <c r="A102" t="s">
        <v>852</v>
      </c>
      <c r="B102" s="143">
        <v>42866</v>
      </c>
      <c r="C102">
        <v>150.65</v>
      </c>
      <c r="D102">
        <v>5.6279640000000004</v>
      </c>
      <c r="E102" s="143"/>
    </row>
    <row r="103" spans="1:12" x14ac:dyDescent="0.25">
      <c r="A103" t="s">
        <v>852</v>
      </c>
      <c r="B103" s="143">
        <v>42867</v>
      </c>
      <c r="C103">
        <v>150.37</v>
      </c>
      <c r="D103">
        <v>3.7157019999999998</v>
      </c>
      <c r="E103" s="143"/>
    </row>
    <row r="104" spans="1:12" x14ac:dyDescent="0.25">
      <c r="A104" t="s">
        <v>852</v>
      </c>
      <c r="B104" s="143">
        <v>42870</v>
      </c>
      <c r="C104">
        <v>151.51</v>
      </c>
      <c r="D104">
        <v>4.2454710000000002</v>
      </c>
      <c r="E104" s="143"/>
    </row>
    <row r="105" spans="1:12" x14ac:dyDescent="0.25">
      <c r="A105" t="s">
        <v>852</v>
      </c>
      <c r="B105" s="143">
        <v>42871</v>
      </c>
      <c r="C105">
        <v>153.68</v>
      </c>
      <c r="D105">
        <v>5.5136900000000004</v>
      </c>
      <c r="E105" s="143"/>
    </row>
    <row r="106" spans="1:12" x14ac:dyDescent="0.25">
      <c r="A106" t="s">
        <v>852</v>
      </c>
      <c r="B106" s="143">
        <v>42872</v>
      </c>
      <c r="C106">
        <v>150.93</v>
      </c>
      <c r="D106">
        <v>5.1914939999999996</v>
      </c>
      <c r="E106" s="143"/>
    </row>
    <row r="107" spans="1:12" x14ac:dyDescent="0.25">
      <c r="A107" t="s">
        <v>852</v>
      </c>
      <c r="B107" s="143">
        <v>42873</v>
      </c>
      <c r="C107">
        <v>150.78</v>
      </c>
      <c r="D107">
        <v>3.2743709999999999</v>
      </c>
      <c r="E107" s="143"/>
    </row>
    <row r="108" spans="1:12" x14ac:dyDescent="0.25">
      <c r="A108" t="s">
        <v>852</v>
      </c>
      <c r="B108" s="143">
        <v>42874</v>
      </c>
      <c r="C108">
        <v>151.97999999999999</v>
      </c>
      <c r="D108">
        <v>5.6432640000000003</v>
      </c>
      <c r="E108" s="143"/>
    </row>
    <row r="109" spans="1:12" x14ac:dyDescent="0.25">
      <c r="A109" t="s">
        <v>852</v>
      </c>
      <c r="B109" s="143">
        <v>42877</v>
      </c>
      <c r="C109">
        <v>152.63999999999999</v>
      </c>
      <c r="D109">
        <v>3.3025389999999999</v>
      </c>
      <c r="E109" s="143"/>
    </row>
    <row r="110" spans="1:12" x14ac:dyDescent="0.25">
      <c r="A110" t="s">
        <v>852</v>
      </c>
      <c r="B110" s="143">
        <v>42878</v>
      </c>
      <c r="C110">
        <v>152.03</v>
      </c>
      <c r="D110">
        <v>2.5645030000000002</v>
      </c>
      <c r="E110" s="143"/>
    </row>
    <row r="111" spans="1:12" x14ac:dyDescent="0.25">
      <c r="A111" t="s">
        <v>852</v>
      </c>
      <c r="B111" s="143">
        <v>42879</v>
      </c>
      <c r="C111">
        <v>152.51</v>
      </c>
      <c r="D111">
        <v>3.732399</v>
      </c>
      <c r="E111" s="143"/>
    </row>
    <row r="112" spans="1:12" x14ac:dyDescent="0.25">
      <c r="A112" t="s">
        <v>852</v>
      </c>
      <c r="B112" s="143">
        <v>42880</v>
      </c>
      <c r="C112">
        <v>153.19999999999999</v>
      </c>
      <c r="D112">
        <v>2.5828150000000001</v>
      </c>
      <c r="E112" s="143"/>
    </row>
    <row r="113" spans="1:5" x14ac:dyDescent="0.25">
      <c r="A113" t="s">
        <v>852</v>
      </c>
      <c r="B113" s="143">
        <v>42881</v>
      </c>
      <c r="C113">
        <v>152.49</v>
      </c>
      <c r="D113">
        <v>2.4435069999999999</v>
      </c>
      <c r="E113" s="143"/>
    </row>
    <row r="114" spans="1:5" x14ac:dyDescent="0.25">
      <c r="A114" t="s">
        <v>852</v>
      </c>
      <c r="B114" s="143">
        <v>42885</v>
      </c>
      <c r="C114">
        <v>151.72999999999999</v>
      </c>
      <c r="D114">
        <v>3.666032</v>
      </c>
      <c r="E114" s="143"/>
    </row>
    <row r="115" spans="1:5" x14ac:dyDescent="0.25">
      <c r="A115" t="s">
        <v>852</v>
      </c>
      <c r="B115" s="143">
        <v>42886</v>
      </c>
      <c r="C115">
        <v>152.63</v>
      </c>
      <c r="D115">
        <v>3.5434040000000002</v>
      </c>
      <c r="E115" s="143"/>
    </row>
    <row r="116" spans="1:5" x14ac:dyDescent="0.25">
      <c r="A116" t="s">
        <v>852</v>
      </c>
      <c r="B116" s="143">
        <v>42887</v>
      </c>
      <c r="C116">
        <v>152.66999999999999</v>
      </c>
      <c r="D116">
        <v>2.918126</v>
      </c>
      <c r="E116" s="143"/>
    </row>
    <row r="117" spans="1:5" x14ac:dyDescent="0.25">
      <c r="A117" t="s">
        <v>852</v>
      </c>
      <c r="B117" s="143">
        <v>42888</v>
      </c>
      <c r="C117">
        <v>152.05000000000001</v>
      </c>
      <c r="D117">
        <v>3.5857009999999998</v>
      </c>
      <c r="E117" s="143"/>
    </row>
    <row r="118" spans="1:5" x14ac:dyDescent="0.25">
      <c r="A118" t="s">
        <v>852</v>
      </c>
      <c r="B118" s="143">
        <v>42891</v>
      </c>
      <c r="C118">
        <v>152.41</v>
      </c>
      <c r="D118">
        <v>3.9752679999999998</v>
      </c>
      <c r="E118" s="143"/>
    </row>
    <row r="119" spans="1:5" x14ac:dyDescent="0.25">
      <c r="A119" t="s">
        <v>852</v>
      </c>
      <c r="B119" s="143">
        <v>42892</v>
      </c>
      <c r="C119">
        <v>152.37</v>
      </c>
      <c r="D119">
        <v>3.7971729999999999</v>
      </c>
      <c r="E119" s="143"/>
    </row>
    <row r="120" spans="1:5" x14ac:dyDescent="0.25">
      <c r="A120" t="s">
        <v>852</v>
      </c>
      <c r="B120" s="143">
        <v>42893</v>
      </c>
      <c r="C120">
        <v>150.97999999999999</v>
      </c>
      <c r="D120">
        <v>4.8657120000000003</v>
      </c>
      <c r="E120" s="143"/>
    </row>
    <row r="121" spans="1:5" x14ac:dyDescent="0.25">
      <c r="A121" t="s">
        <v>852</v>
      </c>
      <c r="B121" s="143">
        <v>42894</v>
      </c>
      <c r="C121">
        <v>152.1</v>
      </c>
      <c r="D121">
        <v>3.7089620000000001</v>
      </c>
      <c r="E121" s="143"/>
    </row>
    <row r="122" spans="1:5" x14ac:dyDescent="0.25">
      <c r="A122" t="s">
        <v>852</v>
      </c>
      <c r="B122" s="143">
        <v>42895</v>
      </c>
      <c r="C122">
        <v>154.1</v>
      </c>
      <c r="D122">
        <v>4.3614600000000001</v>
      </c>
      <c r="E122" s="143"/>
    </row>
    <row r="123" spans="1:5" x14ac:dyDescent="0.25">
      <c r="A123" t="s">
        <v>852</v>
      </c>
      <c r="B123" s="143">
        <v>42898</v>
      </c>
      <c r="C123">
        <v>155.18</v>
      </c>
      <c r="D123">
        <v>6.4714790000000004</v>
      </c>
      <c r="E123" s="143"/>
    </row>
    <row r="124" spans="1:5" x14ac:dyDescent="0.25">
      <c r="A124" t="s">
        <v>852</v>
      </c>
      <c r="B124" s="143">
        <v>42899</v>
      </c>
      <c r="C124">
        <v>154.25</v>
      </c>
      <c r="D124">
        <v>3.5235289999999999</v>
      </c>
      <c r="E124" s="143"/>
    </row>
    <row r="125" spans="1:5" x14ac:dyDescent="0.25">
      <c r="A125" t="s">
        <v>852</v>
      </c>
      <c r="B125" s="143">
        <v>42900</v>
      </c>
      <c r="C125">
        <v>153.81</v>
      </c>
      <c r="D125">
        <v>3.0497260000000002</v>
      </c>
      <c r="E125" s="143"/>
    </row>
    <row r="126" spans="1:5" x14ac:dyDescent="0.25">
      <c r="A126" t="s">
        <v>852</v>
      </c>
      <c r="B126" s="143">
        <v>42901</v>
      </c>
      <c r="C126">
        <v>154.22</v>
      </c>
      <c r="D126">
        <v>4.6542969999999997</v>
      </c>
      <c r="E126" s="143"/>
    </row>
    <row r="127" spans="1:5" x14ac:dyDescent="0.25">
      <c r="A127" t="s">
        <v>852</v>
      </c>
      <c r="B127" s="143">
        <v>42902</v>
      </c>
      <c r="C127">
        <v>155.38</v>
      </c>
      <c r="D127">
        <v>6.7419630000000002</v>
      </c>
      <c r="E127" s="143"/>
    </row>
    <row r="128" spans="1:5" x14ac:dyDescent="0.25">
      <c r="A128" t="s">
        <v>852</v>
      </c>
      <c r="B128" s="143">
        <v>42905</v>
      </c>
      <c r="C128">
        <v>154.84</v>
      </c>
      <c r="D128">
        <v>4.6295919999999997</v>
      </c>
      <c r="E128" s="143"/>
    </row>
    <row r="129" spans="1:5" x14ac:dyDescent="0.25">
      <c r="A129" t="s">
        <v>852</v>
      </c>
      <c r="B129" s="143">
        <v>42906</v>
      </c>
      <c r="C129">
        <v>154.94999999999999</v>
      </c>
      <c r="D129">
        <v>4.4818429999999996</v>
      </c>
      <c r="E129" s="143"/>
    </row>
    <row r="130" spans="1:5" x14ac:dyDescent="0.25">
      <c r="A130" t="s">
        <v>852</v>
      </c>
      <c r="B130" s="143">
        <v>42907</v>
      </c>
      <c r="C130">
        <v>153.79</v>
      </c>
      <c r="D130">
        <v>3.9596680000000002</v>
      </c>
      <c r="E130" s="143"/>
    </row>
    <row r="131" spans="1:5" x14ac:dyDescent="0.25">
      <c r="A131" t="s">
        <v>852</v>
      </c>
      <c r="B131" s="143">
        <v>42908</v>
      </c>
      <c r="C131">
        <v>154.4</v>
      </c>
      <c r="D131">
        <v>2.3768189999999998</v>
      </c>
      <c r="E131" s="143"/>
    </row>
    <row r="132" spans="1:5" x14ac:dyDescent="0.25">
      <c r="A132" t="s">
        <v>852</v>
      </c>
      <c r="B132" s="143">
        <v>42909</v>
      </c>
      <c r="C132">
        <v>154.11000000000001</v>
      </c>
      <c r="D132">
        <v>3.2822049999999998</v>
      </c>
      <c r="E132" s="143"/>
    </row>
    <row r="133" spans="1:5" x14ac:dyDescent="0.25">
      <c r="A133" t="s">
        <v>852</v>
      </c>
      <c r="B133" s="143">
        <v>42912</v>
      </c>
      <c r="C133">
        <v>155.22999999999999</v>
      </c>
      <c r="D133">
        <v>2.1534939999999998</v>
      </c>
      <c r="E133" s="143"/>
    </row>
    <row r="134" spans="1:5" x14ac:dyDescent="0.25">
      <c r="A134" t="s">
        <v>852</v>
      </c>
      <c r="B134" s="143">
        <v>42913</v>
      </c>
      <c r="C134">
        <v>154.75</v>
      </c>
      <c r="D134">
        <v>2.3864909999999999</v>
      </c>
      <c r="E134" s="143"/>
    </row>
    <row r="135" spans="1:5" x14ac:dyDescent="0.25">
      <c r="A135" t="s">
        <v>852</v>
      </c>
      <c r="B135" s="143">
        <v>42914</v>
      </c>
      <c r="C135">
        <v>155.32</v>
      </c>
      <c r="D135">
        <v>2.2209539999999999</v>
      </c>
      <c r="E135" s="143"/>
    </row>
    <row r="136" spans="1:5" x14ac:dyDescent="0.25">
      <c r="A136" t="s">
        <v>852</v>
      </c>
      <c r="B136" s="143">
        <v>42915</v>
      </c>
      <c r="C136">
        <v>154.13</v>
      </c>
      <c r="D136">
        <v>3.262159</v>
      </c>
      <c r="E136" s="143"/>
    </row>
    <row r="137" spans="1:5" x14ac:dyDescent="0.25">
      <c r="A137" t="s">
        <v>852</v>
      </c>
      <c r="B137" s="143">
        <v>42916</v>
      </c>
      <c r="C137">
        <v>153.83000000000001</v>
      </c>
      <c r="D137">
        <v>3.571536</v>
      </c>
      <c r="E137" s="143"/>
    </row>
    <row r="138" spans="1:5" x14ac:dyDescent="0.25">
      <c r="A138" t="s">
        <v>852</v>
      </c>
      <c r="B138" s="143">
        <v>42919</v>
      </c>
      <c r="C138">
        <v>155.58000000000001</v>
      </c>
      <c r="D138">
        <v>2.822651</v>
      </c>
      <c r="E138" s="143"/>
    </row>
    <row r="139" spans="1:5" x14ac:dyDescent="0.25">
      <c r="A139" t="s">
        <v>852</v>
      </c>
      <c r="B139" s="143">
        <v>42921</v>
      </c>
      <c r="C139">
        <v>153.66999999999999</v>
      </c>
      <c r="D139">
        <v>3.5643539999999998</v>
      </c>
      <c r="E139" s="143"/>
    </row>
    <row r="140" spans="1:5" x14ac:dyDescent="0.25">
      <c r="A140" t="s">
        <v>852</v>
      </c>
      <c r="B140" s="143">
        <v>42922</v>
      </c>
      <c r="C140">
        <v>152.36000000000001</v>
      </c>
      <c r="D140">
        <v>2.7575219999999998</v>
      </c>
      <c r="E140" s="143"/>
    </row>
    <row r="141" spans="1:5" x14ac:dyDescent="0.25">
      <c r="A141" t="s">
        <v>852</v>
      </c>
      <c r="B141" s="143">
        <v>42923</v>
      </c>
      <c r="C141">
        <v>152.94</v>
      </c>
      <c r="D141">
        <v>2.4600599999999999</v>
      </c>
      <c r="E141" s="143"/>
    </row>
    <row r="142" spans="1:5" x14ac:dyDescent="0.25">
      <c r="A142" t="s">
        <v>852</v>
      </c>
      <c r="B142" s="143">
        <v>42926</v>
      </c>
      <c r="C142">
        <v>153.41999999999999</v>
      </c>
      <c r="D142">
        <v>3.2062089999999999</v>
      </c>
      <c r="E142" s="143"/>
    </row>
    <row r="143" spans="1:5" x14ac:dyDescent="0.25">
      <c r="A143" t="s">
        <v>852</v>
      </c>
      <c r="B143" s="143">
        <v>42927</v>
      </c>
      <c r="C143">
        <v>153.19</v>
      </c>
      <c r="D143">
        <v>3.4475090000000002</v>
      </c>
      <c r="E143" s="143"/>
    </row>
    <row r="144" spans="1:5" x14ac:dyDescent="0.25">
      <c r="A144" t="s">
        <v>852</v>
      </c>
      <c r="B144" s="143">
        <v>42928</v>
      </c>
      <c r="C144">
        <v>153.69999999999999</v>
      </c>
      <c r="D144">
        <v>3.0978500000000002</v>
      </c>
      <c r="E144" s="143"/>
    </row>
    <row r="145" spans="1:5" x14ac:dyDescent="0.25">
      <c r="A145" t="s">
        <v>852</v>
      </c>
      <c r="B145" s="143">
        <v>42929</v>
      </c>
      <c r="C145">
        <v>153.63</v>
      </c>
      <c r="D145">
        <v>2.4761120000000001</v>
      </c>
      <c r="E145" s="143"/>
    </row>
    <row r="146" spans="1:5" x14ac:dyDescent="0.25">
      <c r="A146" t="s">
        <v>852</v>
      </c>
      <c r="B146" s="143">
        <v>42930</v>
      </c>
      <c r="C146">
        <v>154.24</v>
      </c>
      <c r="D146">
        <v>3.2563719999999998</v>
      </c>
      <c r="E146" s="143"/>
    </row>
    <row r="147" spans="1:5" x14ac:dyDescent="0.25">
      <c r="A147" t="s">
        <v>852</v>
      </c>
      <c r="B147" s="143">
        <v>42933</v>
      </c>
      <c r="C147">
        <v>153.01</v>
      </c>
      <c r="D147">
        <v>4.7625919999999997</v>
      </c>
      <c r="E147" s="143"/>
    </row>
    <row r="148" spans="1:5" x14ac:dyDescent="0.25">
      <c r="A148" t="s">
        <v>852</v>
      </c>
      <c r="B148" s="143">
        <v>42934</v>
      </c>
      <c r="C148">
        <v>154</v>
      </c>
      <c r="D148">
        <v>7.5668179999999996</v>
      </c>
      <c r="E148" s="143"/>
    </row>
    <row r="149" spans="1:5" x14ac:dyDescent="0.25">
      <c r="A149" t="s">
        <v>852</v>
      </c>
      <c r="B149" s="143">
        <v>42935</v>
      </c>
      <c r="C149">
        <v>147.53</v>
      </c>
      <c r="D149">
        <v>14.293609999999999</v>
      </c>
      <c r="E149" s="143"/>
    </row>
    <row r="150" spans="1:5" x14ac:dyDescent="0.25">
      <c r="A150" t="s">
        <v>852</v>
      </c>
      <c r="B150" s="143">
        <v>42936</v>
      </c>
      <c r="C150">
        <v>147.66</v>
      </c>
      <c r="D150">
        <v>7.2122330000000003</v>
      </c>
      <c r="E150" s="143"/>
    </row>
    <row r="151" spans="1:5" x14ac:dyDescent="0.25">
      <c r="A151" t="s">
        <v>852</v>
      </c>
      <c r="B151" s="143">
        <v>42937</v>
      </c>
      <c r="C151">
        <v>147.08000000000001</v>
      </c>
      <c r="D151">
        <v>6.5094589999999997</v>
      </c>
      <c r="E151" s="143"/>
    </row>
    <row r="152" spans="1:5" x14ac:dyDescent="0.25">
      <c r="A152" t="s">
        <v>852</v>
      </c>
      <c r="B152" s="143">
        <v>42940</v>
      </c>
      <c r="C152">
        <v>145.99</v>
      </c>
      <c r="D152">
        <v>3.8775930000000001</v>
      </c>
      <c r="E152" s="143"/>
    </row>
    <row r="153" spans="1:5" x14ac:dyDescent="0.25">
      <c r="A153" t="s">
        <v>852</v>
      </c>
      <c r="B153" s="143">
        <v>42941</v>
      </c>
      <c r="C153">
        <v>146.19</v>
      </c>
      <c r="D153">
        <v>4.2088950000000001</v>
      </c>
      <c r="E153" s="143"/>
    </row>
    <row r="154" spans="1:5" x14ac:dyDescent="0.25">
      <c r="A154" t="s">
        <v>852</v>
      </c>
      <c r="B154" s="143">
        <v>42942</v>
      </c>
      <c r="C154">
        <v>145.36000000000001</v>
      </c>
      <c r="D154">
        <v>3.9323610000000002</v>
      </c>
      <c r="E154" s="143"/>
    </row>
    <row r="155" spans="1:5" x14ac:dyDescent="0.25">
      <c r="A155" t="s">
        <v>852</v>
      </c>
      <c r="B155" s="143">
        <v>42943</v>
      </c>
      <c r="C155">
        <v>145.07</v>
      </c>
      <c r="D155">
        <v>6.430841</v>
      </c>
      <c r="E155" s="143"/>
    </row>
    <row r="156" spans="1:5" x14ac:dyDescent="0.25">
      <c r="A156" t="s">
        <v>852</v>
      </c>
      <c r="B156" s="143">
        <v>42944</v>
      </c>
      <c r="C156">
        <v>144.29</v>
      </c>
      <c r="D156">
        <v>3.054834</v>
      </c>
      <c r="E156" s="143"/>
    </row>
    <row r="157" spans="1:5" x14ac:dyDescent="0.25">
      <c r="A157" t="s">
        <v>852</v>
      </c>
      <c r="B157" s="143">
        <v>42947</v>
      </c>
      <c r="C157">
        <v>144.66999999999999</v>
      </c>
      <c r="D157">
        <v>4.3557180000000004</v>
      </c>
      <c r="E157" s="143"/>
    </row>
    <row r="158" spans="1:5" x14ac:dyDescent="0.25">
      <c r="A158" t="s">
        <v>852</v>
      </c>
      <c r="B158" s="143">
        <v>42948</v>
      </c>
      <c r="C158">
        <v>145.30000000000001</v>
      </c>
      <c r="D158">
        <v>3.2194769999999999</v>
      </c>
      <c r="E158" s="143"/>
    </row>
    <row r="159" spans="1:5" x14ac:dyDescent="0.25">
      <c r="A159" t="s">
        <v>852</v>
      </c>
      <c r="B159" s="143">
        <v>42949</v>
      </c>
      <c r="C159">
        <v>144.44999999999999</v>
      </c>
      <c r="D159">
        <v>3.5409489999999999</v>
      </c>
      <c r="E159" s="143"/>
    </row>
    <row r="160" spans="1:5" x14ac:dyDescent="0.25">
      <c r="A160" t="s">
        <v>852</v>
      </c>
      <c r="B160" s="143">
        <v>42950</v>
      </c>
      <c r="C160">
        <v>144.94</v>
      </c>
      <c r="D160">
        <v>3.035393</v>
      </c>
      <c r="E160" s="143"/>
    </row>
    <row r="161" spans="1:12" x14ac:dyDescent="0.25">
      <c r="A161" t="s">
        <v>852</v>
      </c>
      <c r="B161" s="143">
        <v>42951</v>
      </c>
      <c r="C161">
        <v>145.16</v>
      </c>
      <c r="D161">
        <v>2.5493999999999999</v>
      </c>
      <c r="E161" s="143"/>
    </row>
    <row r="162" spans="1:12" x14ac:dyDescent="0.25">
      <c r="A162" t="s">
        <v>852</v>
      </c>
      <c r="B162" s="143">
        <v>42954</v>
      </c>
      <c r="C162">
        <v>143.47</v>
      </c>
      <c r="D162">
        <v>4.6182840000000001</v>
      </c>
      <c r="E162" s="143"/>
    </row>
    <row r="163" spans="1:12" x14ac:dyDescent="0.25">
      <c r="A163" t="s">
        <v>852</v>
      </c>
      <c r="B163" s="143">
        <v>42955</v>
      </c>
      <c r="C163">
        <v>142.11000000000001</v>
      </c>
      <c r="D163">
        <v>3.298718</v>
      </c>
      <c r="E163" s="143">
        <v>42987</v>
      </c>
      <c r="F163">
        <v>1.5</v>
      </c>
      <c r="G163" t="s">
        <v>683</v>
      </c>
      <c r="H163" t="s">
        <v>778</v>
      </c>
      <c r="I163" t="s">
        <v>687</v>
      </c>
      <c r="J163">
        <v>2017</v>
      </c>
      <c r="K163">
        <v>3</v>
      </c>
      <c r="L163">
        <v>6</v>
      </c>
    </row>
    <row r="164" spans="1:12" x14ac:dyDescent="0.25">
      <c r="A164" t="s">
        <v>852</v>
      </c>
      <c r="B164" s="143">
        <v>42956</v>
      </c>
      <c r="C164">
        <v>141.77000000000001</v>
      </c>
      <c r="D164">
        <v>2.92577</v>
      </c>
      <c r="E164" s="143"/>
    </row>
    <row r="165" spans="1:12" x14ac:dyDescent="0.25">
      <c r="A165" t="s">
        <v>852</v>
      </c>
      <c r="B165" s="143">
        <v>42957</v>
      </c>
      <c r="C165">
        <v>141.84</v>
      </c>
      <c r="D165">
        <v>4.5253779999999999</v>
      </c>
      <c r="E165" s="143"/>
    </row>
    <row r="166" spans="1:12" x14ac:dyDescent="0.25">
      <c r="A166" t="s">
        <v>852</v>
      </c>
      <c r="B166" s="143">
        <v>42958</v>
      </c>
      <c r="C166">
        <v>141.84</v>
      </c>
      <c r="D166">
        <v>3.0043600000000001</v>
      </c>
      <c r="E166" s="143"/>
    </row>
    <row r="167" spans="1:12" x14ac:dyDescent="0.25">
      <c r="A167" t="s">
        <v>852</v>
      </c>
      <c r="B167" s="143">
        <v>42961</v>
      </c>
      <c r="C167">
        <v>142.32</v>
      </c>
      <c r="D167">
        <v>2.2486069999999998</v>
      </c>
      <c r="E167" s="143"/>
    </row>
    <row r="168" spans="1:12" x14ac:dyDescent="0.25">
      <c r="A168" t="s">
        <v>852</v>
      </c>
      <c r="B168" s="143">
        <v>42962</v>
      </c>
      <c r="C168">
        <v>142.07</v>
      </c>
      <c r="D168">
        <v>4.6815449999999998</v>
      </c>
      <c r="E168" s="143"/>
    </row>
    <row r="169" spans="1:12" x14ac:dyDescent="0.25">
      <c r="A169" t="s">
        <v>852</v>
      </c>
      <c r="B169" s="143">
        <v>42963</v>
      </c>
      <c r="C169">
        <v>142.5</v>
      </c>
      <c r="D169">
        <v>3.2878210000000001</v>
      </c>
      <c r="E169" s="143"/>
    </row>
    <row r="170" spans="1:12" x14ac:dyDescent="0.25">
      <c r="A170" t="s">
        <v>852</v>
      </c>
      <c r="B170" s="143">
        <v>42964</v>
      </c>
      <c r="C170">
        <v>140.69999999999999</v>
      </c>
      <c r="D170">
        <v>4.4220870000000003</v>
      </c>
      <c r="E170" s="143"/>
    </row>
    <row r="171" spans="1:12" x14ac:dyDescent="0.25">
      <c r="A171" t="s">
        <v>852</v>
      </c>
      <c r="B171" s="143">
        <v>42965</v>
      </c>
      <c r="C171">
        <v>139.69999999999999</v>
      </c>
      <c r="D171">
        <v>4.1527139999999996</v>
      </c>
      <c r="E171" s="143"/>
    </row>
    <row r="172" spans="1:12" x14ac:dyDescent="0.25">
      <c r="A172" t="s">
        <v>852</v>
      </c>
      <c r="B172" s="143">
        <v>42968</v>
      </c>
      <c r="C172">
        <v>140.33000000000001</v>
      </c>
      <c r="D172">
        <v>3.1906910000000002</v>
      </c>
      <c r="E172" s="143"/>
    </row>
    <row r="173" spans="1:12" x14ac:dyDescent="0.25">
      <c r="A173" t="s">
        <v>852</v>
      </c>
      <c r="B173" s="143">
        <v>42969</v>
      </c>
      <c r="C173">
        <v>141.01</v>
      </c>
      <c r="D173">
        <v>2.5444460000000002</v>
      </c>
      <c r="E173" s="143"/>
    </row>
    <row r="174" spans="1:12" x14ac:dyDescent="0.25">
      <c r="A174" t="s">
        <v>852</v>
      </c>
      <c r="B174" s="143">
        <v>42970</v>
      </c>
      <c r="C174">
        <v>142.13999999999999</v>
      </c>
      <c r="D174">
        <v>4.0483169999999999</v>
      </c>
      <c r="E174" s="143"/>
    </row>
    <row r="175" spans="1:12" x14ac:dyDescent="0.25">
      <c r="A175" t="s">
        <v>852</v>
      </c>
      <c r="B175" s="143">
        <v>42971</v>
      </c>
      <c r="C175">
        <v>142.94</v>
      </c>
      <c r="D175">
        <v>3.5921829999999999</v>
      </c>
      <c r="E175" s="143"/>
    </row>
    <row r="176" spans="1:12" x14ac:dyDescent="0.25">
      <c r="A176" t="s">
        <v>852</v>
      </c>
      <c r="B176" s="143">
        <v>42972</v>
      </c>
      <c r="C176">
        <v>143.74</v>
      </c>
      <c r="D176">
        <v>2.8728929999999999</v>
      </c>
      <c r="E176" s="143"/>
    </row>
    <row r="177" spans="1:5" x14ac:dyDescent="0.25">
      <c r="A177" t="s">
        <v>852</v>
      </c>
      <c r="B177" s="143">
        <v>42975</v>
      </c>
      <c r="C177">
        <v>142.51</v>
      </c>
      <c r="D177">
        <v>5.1344630000000002</v>
      </c>
      <c r="E177" s="143"/>
    </row>
    <row r="178" spans="1:5" x14ac:dyDescent="0.25">
      <c r="A178" t="s">
        <v>852</v>
      </c>
      <c r="B178" s="143">
        <v>42976</v>
      </c>
      <c r="C178">
        <v>143.13999999999999</v>
      </c>
      <c r="D178">
        <v>3.0095200000000002</v>
      </c>
      <c r="E178" s="143"/>
    </row>
    <row r="179" spans="1:5" x14ac:dyDescent="0.25">
      <c r="A179" t="s">
        <v>852</v>
      </c>
      <c r="B179" s="143">
        <v>42977</v>
      </c>
      <c r="C179">
        <v>142.56</v>
      </c>
      <c r="D179">
        <v>2.7359659999999999</v>
      </c>
      <c r="E179" s="143"/>
    </row>
    <row r="180" spans="1:5" x14ac:dyDescent="0.25">
      <c r="A180" t="s">
        <v>852</v>
      </c>
      <c r="B180" s="143">
        <v>42978</v>
      </c>
      <c r="C180">
        <v>143.03</v>
      </c>
      <c r="D180">
        <v>3.656428</v>
      </c>
      <c r="E180" s="143"/>
    </row>
    <row r="181" spans="1:5" x14ac:dyDescent="0.25">
      <c r="A181" t="s">
        <v>852</v>
      </c>
      <c r="B181" s="143">
        <v>42979</v>
      </c>
      <c r="C181">
        <v>144.08000000000001</v>
      </c>
      <c r="D181">
        <v>3.3517329999999999</v>
      </c>
      <c r="E181" s="143"/>
    </row>
    <row r="182" spans="1:5" x14ac:dyDescent="0.25">
      <c r="A182" t="s">
        <v>852</v>
      </c>
      <c r="B182" s="143">
        <v>42983</v>
      </c>
      <c r="C182">
        <v>143.04</v>
      </c>
      <c r="D182">
        <v>3.098735</v>
      </c>
      <c r="E182" s="143"/>
    </row>
    <row r="183" spans="1:5" x14ac:dyDescent="0.25">
      <c r="A183" t="s">
        <v>852</v>
      </c>
      <c r="B183" s="143">
        <v>42984</v>
      </c>
      <c r="C183">
        <v>143.82</v>
      </c>
      <c r="D183">
        <v>3.2733439999999998</v>
      </c>
      <c r="E183" s="143"/>
    </row>
    <row r="184" spans="1:5" x14ac:dyDescent="0.25">
      <c r="A184" t="s">
        <v>852</v>
      </c>
      <c r="B184" s="143">
        <v>42985</v>
      </c>
      <c r="C184">
        <v>142.9</v>
      </c>
      <c r="D184">
        <v>4.1881579999999996</v>
      </c>
      <c r="E184" s="143"/>
    </row>
    <row r="185" spans="1:5" x14ac:dyDescent="0.25">
      <c r="A185" t="s">
        <v>852</v>
      </c>
      <c r="B185" s="143">
        <v>42986</v>
      </c>
      <c r="C185">
        <v>142.44999999999999</v>
      </c>
      <c r="D185">
        <v>3.3661690000000002</v>
      </c>
      <c r="E185" s="143"/>
    </row>
    <row r="186" spans="1:5" x14ac:dyDescent="0.25">
      <c r="A186" t="s">
        <v>852</v>
      </c>
      <c r="B186" s="143">
        <v>42989</v>
      </c>
      <c r="C186">
        <v>144.86000000000001</v>
      </c>
      <c r="D186">
        <v>4.6133810000000004</v>
      </c>
      <c r="E186" s="143"/>
    </row>
    <row r="187" spans="1:5" x14ac:dyDescent="0.25">
      <c r="A187" t="s">
        <v>852</v>
      </c>
      <c r="B187" s="143">
        <v>42990</v>
      </c>
      <c r="C187">
        <v>145.76</v>
      </c>
      <c r="D187">
        <v>5.2381479999999998</v>
      </c>
      <c r="E187" s="143"/>
    </row>
    <row r="188" spans="1:5" x14ac:dyDescent="0.25">
      <c r="A188" t="s">
        <v>852</v>
      </c>
      <c r="B188" s="143">
        <v>42991</v>
      </c>
      <c r="C188">
        <v>145.99</v>
      </c>
      <c r="D188">
        <v>4.1009799999999998</v>
      </c>
      <c r="E188" s="143"/>
    </row>
    <row r="189" spans="1:5" x14ac:dyDescent="0.25">
      <c r="A189" t="s">
        <v>852</v>
      </c>
      <c r="B189" s="143">
        <v>42992</v>
      </c>
      <c r="C189">
        <v>145.54</v>
      </c>
      <c r="D189">
        <v>3.7568609999999998</v>
      </c>
      <c r="E189" s="143"/>
    </row>
    <row r="190" spans="1:5" x14ac:dyDescent="0.25">
      <c r="A190" t="s">
        <v>852</v>
      </c>
      <c r="B190" s="143">
        <v>42993</v>
      </c>
      <c r="C190">
        <v>144.82</v>
      </c>
      <c r="D190">
        <v>7.3972329999999999</v>
      </c>
      <c r="E190" s="143"/>
    </row>
    <row r="191" spans="1:5" x14ac:dyDescent="0.25">
      <c r="A191" t="s">
        <v>852</v>
      </c>
      <c r="B191" s="143">
        <v>42996</v>
      </c>
      <c r="C191">
        <v>144.55000000000001</v>
      </c>
      <c r="D191">
        <v>3.019514</v>
      </c>
      <c r="E191" s="143"/>
    </row>
    <row r="192" spans="1:5" x14ac:dyDescent="0.25">
      <c r="A192" t="s">
        <v>852</v>
      </c>
      <c r="B192" s="143">
        <v>42997</v>
      </c>
      <c r="C192">
        <v>144.38999999999999</v>
      </c>
      <c r="D192">
        <v>3.4643830000000002</v>
      </c>
      <c r="E192" s="143"/>
    </row>
    <row r="193" spans="1:5" x14ac:dyDescent="0.25">
      <c r="A193" t="s">
        <v>852</v>
      </c>
      <c r="B193" s="143">
        <v>42998</v>
      </c>
      <c r="C193">
        <v>145.88</v>
      </c>
      <c r="D193">
        <v>5.4475189999999998</v>
      </c>
      <c r="E193" s="143"/>
    </row>
    <row r="194" spans="1:5" x14ac:dyDescent="0.25">
      <c r="A194" t="s">
        <v>852</v>
      </c>
      <c r="B194" s="143">
        <v>42999</v>
      </c>
      <c r="C194">
        <v>145.26</v>
      </c>
      <c r="D194">
        <v>2.555596</v>
      </c>
      <c r="E194" s="143"/>
    </row>
    <row r="195" spans="1:5" x14ac:dyDescent="0.25">
      <c r="A195" t="s">
        <v>852</v>
      </c>
      <c r="B195" s="143">
        <v>43000</v>
      </c>
      <c r="C195">
        <v>145.13</v>
      </c>
      <c r="D195">
        <v>2.7923230000000001</v>
      </c>
      <c r="E195" s="143"/>
    </row>
    <row r="196" spans="1:5" x14ac:dyDescent="0.25">
      <c r="A196" t="s">
        <v>852</v>
      </c>
      <c r="B196" s="143">
        <v>43003</v>
      </c>
      <c r="C196">
        <v>145.87</v>
      </c>
      <c r="D196">
        <v>5.2131439999999998</v>
      </c>
      <c r="E196" s="143"/>
    </row>
    <row r="197" spans="1:5" x14ac:dyDescent="0.25">
      <c r="A197" t="s">
        <v>852</v>
      </c>
      <c r="B197" s="143">
        <v>43004</v>
      </c>
      <c r="C197">
        <v>146.56</v>
      </c>
      <c r="D197">
        <v>4.4886200000000001</v>
      </c>
      <c r="E197" s="143"/>
    </row>
    <row r="198" spans="1:5" x14ac:dyDescent="0.25">
      <c r="A198" t="s">
        <v>852</v>
      </c>
      <c r="B198" s="143">
        <v>43005</v>
      </c>
      <c r="C198">
        <v>145.66</v>
      </c>
      <c r="D198">
        <v>3.5027360000000001</v>
      </c>
      <c r="E198" s="143"/>
    </row>
    <row r="199" spans="1:5" x14ac:dyDescent="0.25">
      <c r="A199" t="s">
        <v>852</v>
      </c>
      <c r="B199" s="143">
        <v>43006</v>
      </c>
      <c r="C199">
        <v>145.66</v>
      </c>
      <c r="D199">
        <v>2.774788</v>
      </c>
      <c r="E199" s="143"/>
    </row>
    <row r="200" spans="1:5" x14ac:dyDescent="0.25">
      <c r="A200" t="s">
        <v>852</v>
      </c>
      <c r="B200" s="143">
        <v>43007</v>
      </c>
      <c r="C200">
        <v>145.08000000000001</v>
      </c>
      <c r="D200">
        <v>2.654731</v>
      </c>
      <c r="E200" s="143"/>
    </row>
    <row r="201" spans="1:5" x14ac:dyDescent="0.25">
      <c r="A201" t="s">
        <v>852</v>
      </c>
      <c r="B201" s="143">
        <v>43010</v>
      </c>
      <c r="C201">
        <v>146.66</v>
      </c>
      <c r="D201">
        <v>2.9732240000000001</v>
      </c>
      <c r="E201" s="143"/>
    </row>
    <row r="202" spans="1:5" x14ac:dyDescent="0.25">
      <c r="A202" t="s">
        <v>852</v>
      </c>
      <c r="B202" s="143">
        <v>43011</v>
      </c>
      <c r="C202">
        <v>146.78</v>
      </c>
      <c r="D202">
        <v>2.302724</v>
      </c>
      <c r="E202" s="143"/>
    </row>
    <row r="203" spans="1:5" x14ac:dyDescent="0.25">
      <c r="A203" t="s">
        <v>852</v>
      </c>
      <c r="B203" s="143">
        <v>43012</v>
      </c>
      <c r="C203">
        <v>146.47999999999999</v>
      </c>
      <c r="D203">
        <v>2.2444329999999999</v>
      </c>
      <c r="E203" s="143"/>
    </row>
    <row r="204" spans="1:5" x14ac:dyDescent="0.25">
      <c r="A204" t="s">
        <v>852</v>
      </c>
      <c r="B204" s="143">
        <v>43013</v>
      </c>
      <c r="C204">
        <v>146.72</v>
      </c>
      <c r="D204">
        <v>2.6865389999999998</v>
      </c>
      <c r="E204" s="143"/>
    </row>
    <row r="205" spans="1:5" x14ac:dyDescent="0.25">
      <c r="A205" t="s">
        <v>852</v>
      </c>
      <c r="B205" s="143">
        <v>43014</v>
      </c>
      <c r="C205">
        <v>146.47999999999999</v>
      </c>
      <c r="D205">
        <v>2.6231840000000002</v>
      </c>
      <c r="E205" s="143"/>
    </row>
    <row r="206" spans="1:5" x14ac:dyDescent="0.25">
      <c r="A206" t="s">
        <v>852</v>
      </c>
      <c r="B206" s="143">
        <v>43017</v>
      </c>
      <c r="C206">
        <v>147.38999999999999</v>
      </c>
      <c r="D206">
        <v>2.6825559999999999</v>
      </c>
      <c r="E206" s="143"/>
    </row>
    <row r="207" spans="1:5" x14ac:dyDescent="0.25">
      <c r="A207" t="s">
        <v>852</v>
      </c>
      <c r="B207" s="143">
        <v>43018</v>
      </c>
      <c r="C207">
        <v>148.5</v>
      </c>
      <c r="D207">
        <v>4.0326009999999997</v>
      </c>
      <c r="E207" s="143"/>
    </row>
    <row r="208" spans="1:5" x14ac:dyDescent="0.25">
      <c r="A208" t="s">
        <v>852</v>
      </c>
      <c r="B208" s="143">
        <v>43019</v>
      </c>
      <c r="C208">
        <v>147.62</v>
      </c>
      <c r="D208">
        <v>3.7022379999999999</v>
      </c>
      <c r="E208" s="143"/>
    </row>
    <row r="209" spans="1:5" x14ac:dyDescent="0.25">
      <c r="A209" t="s">
        <v>852</v>
      </c>
      <c r="B209" s="143">
        <v>43020</v>
      </c>
      <c r="C209">
        <v>147.03</v>
      </c>
      <c r="D209">
        <v>3.2643439999999999</v>
      </c>
      <c r="E209" s="143"/>
    </row>
    <row r="210" spans="1:5" x14ac:dyDescent="0.25">
      <c r="A210" t="s">
        <v>852</v>
      </c>
      <c r="B210" s="143">
        <v>43021</v>
      </c>
      <c r="C210">
        <v>147.1</v>
      </c>
      <c r="D210">
        <v>2.5065840000000001</v>
      </c>
      <c r="E210" s="143"/>
    </row>
    <row r="211" spans="1:5" x14ac:dyDescent="0.25">
      <c r="A211" t="s">
        <v>852</v>
      </c>
      <c r="B211" s="143">
        <v>43024</v>
      </c>
      <c r="C211">
        <v>146.83000000000001</v>
      </c>
      <c r="D211">
        <v>3.0520909999999999</v>
      </c>
      <c r="E211" s="143"/>
    </row>
    <row r="212" spans="1:5" x14ac:dyDescent="0.25">
      <c r="A212" t="s">
        <v>852</v>
      </c>
      <c r="B212" s="143">
        <v>43025</v>
      </c>
      <c r="C212">
        <v>146.54</v>
      </c>
      <c r="D212">
        <v>6.3723929999999998</v>
      </c>
      <c r="E212" s="143"/>
    </row>
    <row r="213" spans="1:5" x14ac:dyDescent="0.25">
      <c r="A213" t="s">
        <v>852</v>
      </c>
      <c r="B213" s="143">
        <v>43026</v>
      </c>
      <c r="C213">
        <v>159.53</v>
      </c>
      <c r="D213">
        <v>30.490192</v>
      </c>
      <c r="E213" s="143"/>
    </row>
    <row r="214" spans="1:5" x14ac:dyDescent="0.25">
      <c r="A214" t="s">
        <v>852</v>
      </c>
      <c r="B214" s="143">
        <v>43027</v>
      </c>
      <c r="C214">
        <v>160.9</v>
      </c>
      <c r="D214">
        <v>9.9141689999999993</v>
      </c>
      <c r="E214" s="143"/>
    </row>
    <row r="215" spans="1:5" x14ac:dyDescent="0.25">
      <c r="A215" t="s">
        <v>852</v>
      </c>
      <c r="B215" s="143">
        <v>43028</v>
      </c>
      <c r="C215">
        <v>162.07</v>
      </c>
      <c r="D215">
        <v>7.8688029999999998</v>
      </c>
      <c r="E215" s="143"/>
    </row>
    <row r="216" spans="1:5" x14ac:dyDescent="0.25">
      <c r="A216" t="s">
        <v>852</v>
      </c>
      <c r="B216" s="143">
        <v>43031</v>
      </c>
      <c r="C216">
        <v>159.55000000000001</v>
      </c>
      <c r="D216">
        <v>5.7793780000000003</v>
      </c>
      <c r="E216" s="143"/>
    </row>
    <row r="217" spans="1:5" x14ac:dyDescent="0.25">
      <c r="A217" t="s">
        <v>852</v>
      </c>
      <c r="B217" s="143">
        <v>43032</v>
      </c>
      <c r="C217">
        <v>155.88</v>
      </c>
      <c r="D217">
        <v>8.1946899999999996</v>
      </c>
      <c r="E217" s="143"/>
    </row>
    <row r="218" spans="1:5" x14ac:dyDescent="0.25">
      <c r="A218" t="s">
        <v>852</v>
      </c>
      <c r="B218" s="143">
        <v>43033</v>
      </c>
      <c r="C218">
        <v>153.5</v>
      </c>
      <c r="D218">
        <v>6.9211369999999999</v>
      </c>
      <c r="E218" s="143"/>
    </row>
    <row r="219" spans="1:5" x14ac:dyDescent="0.25">
      <c r="A219" t="s">
        <v>852</v>
      </c>
      <c r="B219" s="143">
        <v>43034</v>
      </c>
      <c r="C219">
        <v>153.6</v>
      </c>
      <c r="D219">
        <v>4.3005430000000002</v>
      </c>
      <c r="E219" s="143"/>
    </row>
    <row r="220" spans="1:5" x14ac:dyDescent="0.25">
      <c r="A220" t="s">
        <v>852</v>
      </c>
      <c r="B220" s="143">
        <v>43035</v>
      </c>
      <c r="C220">
        <v>153.68</v>
      </c>
      <c r="D220">
        <v>4.8951859999999998</v>
      </c>
      <c r="E220" s="143"/>
    </row>
    <row r="221" spans="1:5" x14ac:dyDescent="0.25">
      <c r="A221" t="s">
        <v>852</v>
      </c>
      <c r="B221" s="143">
        <v>43038</v>
      </c>
      <c r="C221">
        <v>154.36000000000001</v>
      </c>
      <c r="D221">
        <v>4.2104020000000002</v>
      </c>
      <c r="E221" s="143"/>
    </row>
    <row r="222" spans="1:5" x14ac:dyDescent="0.25">
      <c r="A222" t="s">
        <v>852</v>
      </c>
      <c r="B222" s="143">
        <v>43039</v>
      </c>
      <c r="C222">
        <v>154.06</v>
      </c>
      <c r="D222">
        <v>4.3282579999999999</v>
      </c>
      <c r="E222" s="143"/>
    </row>
    <row r="223" spans="1:5" x14ac:dyDescent="0.25">
      <c r="A223" t="s">
        <v>852</v>
      </c>
      <c r="B223" s="143">
        <v>43040</v>
      </c>
      <c r="C223">
        <v>154.03</v>
      </c>
      <c r="D223">
        <v>3.240246</v>
      </c>
      <c r="E223" s="143"/>
    </row>
    <row r="224" spans="1:5" x14ac:dyDescent="0.25">
      <c r="A224" t="s">
        <v>852</v>
      </c>
      <c r="B224" s="143">
        <v>43041</v>
      </c>
      <c r="C224">
        <v>153.35</v>
      </c>
      <c r="D224">
        <v>3.3976280000000001</v>
      </c>
      <c r="E224" s="143"/>
    </row>
    <row r="225" spans="1:12" x14ac:dyDescent="0.25">
      <c r="A225" t="s">
        <v>852</v>
      </c>
      <c r="B225" s="143">
        <v>43042</v>
      </c>
      <c r="C225">
        <v>151.58000000000001</v>
      </c>
      <c r="D225">
        <v>4.4318249999999999</v>
      </c>
      <c r="E225" s="143"/>
    </row>
    <row r="226" spans="1:12" x14ac:dyDescent="0.25">
      <c r="A226" t="s">
        <v>852</v>
      </c>
      <c r="B226" s="143">
        <v>43045</v>
      </c>
      <c r="C226">
        <v>150.84</v>
      </c>
      <c r="D226">
        <v>4.4988710000000003</v>
      </c>
      <c r="E226" s="143"/>
    </row>
    <row r="227" spans="1:12" x14ac:dyDescent="0.25">
      <c r="A227" t="s">
        <v>852</v>
      </c>
      <c r="B227" s="143">
        <v>43046</v>
      </c>
      <c r="C227">
        <v>151.35</v>
      </c>
      <c r="D227">
        <v>3.7010519999999998</v>
      </c>
      <c r="E227" s="143"/>
    </row>
    <row r="228" spans="1:12" x14ac:dyDescent="0.25">
      <c r="A228" t="s">
        <v>852</v>
      </c>
      <c r="B228" s="143">
        <v>43047</v>
      </c>
      <c r="C228">
        <v>151.57</v>
      </c>
      <c r="D228">
        <v>4.6344390000000004</v>
      </c>
      <c r="E228" s="143"/>
    </row>
    <row r="229" spans="1:12" x14ac:dyDescent="0.25">
      <c r="A229" t="s">
        <v>852</v>
      </c>
      <c r="B229" s="143">
        <v>43048</v>
      </c>
      <c r="C229">
        <v>150.30000000000001</v>
      </c>
      <c r="D229">
        <v>4.7765319999999996</v>
      </c>
      <c r="E229" s="143">
        <v>43078</v>
      </c>
      <c r="F229">
        <v>1.5</v>
      </c>
      <c r="G229" t="s">
        <v>683</v>
      </c>
      <c r="H229" t="s">
        <v>778</v>
      </c>
      <c r="I229" t="s">
        <v>687</v>
      </c>
      <c r="J229">
        <v>2017</v>
      </c>
      <c r="K229">
        <v>4</v>
      </c>
      <c r="L229">
        <v>6</v>
      </c>
    </row>
    <row r="230" spans="1:12" x14ac:dyDescent="0.25">
      <c r="A230" t="s">
        <v>852</v>
      </c>
      <c r="B230" s="143">
        <v>43049</v>
      </c>
      <c r="C230">
        <v>149.16</v>
      </c>
      <c r="D230">
        <v>4.3072759999999999</v>
      </c>
      <c r="E230" s="143"/>
    </row>
    <row r="231" spans="1:12" x14ac:dyDescent="0.25">
      <c r="A231" t="s">
        <v>852</v>
      </c>
      <c r="B231" s="143">
        <v>43052</v>
      </c>
      <c r="C231">
        <v>148.4</v>
      </c>
      <c r="D231">
        <v>5.1075460000000001</v>
      </c>
      <c r="E231" s="143"/>
    </row>
    <row r="232" spans="1:12" x14ac:dyDescent="0.25">
      <c r="A232" t="s">
        <v>852</v>
      </c>
      <c r="B232" s="143">
        <v>43053</v>
      </c>
      <c r="C232">
        <v>148.88999999999999</v>
      </c>
      <c r="D232">
        <v>3.7579509999999998</v>
      </c>
      <c r="E232" s="143"/>
    </row>
    <row r="233" spans="1:12" x14ac:dyDescent="0.25">
      <c r="A233" t="s">
        <v>852</v>
      </c>
      <c r="B233" s="143">
        <v>43054</v>
      </c>
      <c r="C233">
        <v>147.1</v>
      </c>
      <c r="D233">
        <v>4.7733280000000002</v>
      </c>
      <c r="E233" s="143"/>
    </row>
    <row r="234" spans="1:12" x14ac:dyDescent="0.25">
      <c r="A234" t="s">
        <v>852</v>
      </c>
      <c r="B234" s="143">
        <v>43055</v>
      </c>
      <c r="C234">
        <v>149.12</v>
      </c>
      <c r="D234">
        <v>5.446453</v>
      </c>
      <c r="E234" s="143"/>
    </row>
    <row r="235" spans="1:12" x14ac:dyDescent="0.25">
      <c r="A235" t="s">
        <v>852</v>
      </c>
      <c r="B235" s="143">
        <v>43056</v>
      </c>
      <c r="C235">
        <v>148.97</v>
      </c>
      <c r="D235">
        <v>4.9165000000000001</v>
      </c>
      <c r="E235" s="143"/>
    </row>
    <row r="236" spans="1:12" x14ac:dyDescent="0.25">
      <c r="A236" t="s">
        <v>852</v>
      </c>
      <c r="B236" s="143">
        <v>43059</v>
      </c>
      <c r="C236">
        <v>150.51</v>
      </c>
      <c r="D236">
        <v>5.6764950000000001</v>
      </c>
      <c r="E236" s="143"/>
    </row>
    <row r="237" spans="1:12" x14ac:dyDescent="0.25">
      <c r="A237" t="s">
        <v>852</v>
      </c>
      <c r="B237" s="143">
        <v>43060</v>
      </c>
      <c r="C237">
        <v>151.94999999999999</v>
      </c>
      <c r="D237">
        <v>3.7561840000000002</v>
      </c>
      <c r="E237" s="143"/>
    </row>
    <row r="238" spans="1:12" x14ac:dyDescent="0.25">
      <c r="A238" t="s">
        <v>852</v>
      </c>
      <c r="B238" s="143">
        <v>43061</v>
      </c>
      <c r="C238">
        <v>151.77000000000001</v>
      </c>
      <c r="D238">
        <v>3.2135959999999999</v>
      </c>
      <c r="E238" s="143"/>
    </row>
    <row r="239" spans="1:12" x14ac:dyDescent="0.25">
      <c r="A239" t="s">
        <v>852</v>
      </c>
      <c r="B239" s="143">
        <v>43063</v>
      </c>
      <c r="C239">
        <v>151.84</v>
      </c>
      <c r="D239">
        <v>1.193025</v>
      </c>
      <c r="E239" s="143"/>
    </row>
    <row r="240" spans="1:12" x14ac:dyDescent="0.25">
      <c r="A240" t="s">
        <v>852</v>
      </c>
      <c r="B240" s="143">
        <v>43066</v>
      </c>
      <c r="C240">
        <v>151.97999999999999</v>
      </c>
      <c r="D240">
        <v>3.3740420000000002</v>
      </c>
      <c r="E240" s="143"/>
    </row>
    <row r="241" spans="1:5" x14ac:dyDescent="0.25">
      <c r="A241" t="s">
        <v>852</v>
      </c>
      <c r="B241" s="143">
        <v>43067</v>
      </c>
      <c r="C241">
        <v>152.47</v>
      </c>
      <c r="D241">
        <v>3.9736699999999998</v>
      </c>
      <c r="E241" s="143"/>
    </row>
    <row r="242" spans="1:5" x14ac:dyDescent="0.25">
      <c r="A242" t="s">
        <v>852</v>
      </c>
      <c r="B242" s="143">
        <v>43068</v>
      </c>
      <c r="C242">
        <v>153.55000000000001</v>
      </c>
      <c r="D242">
        <v>5.0987020000000003</v>
      </c>
      <c r="E242" s="143"/>
    </row>
    <row r="243" spans="1:5" x14ac:dyDescent="0.25">
      <c r="A243" t="s">
        <v>852</v>
      </c>
      <c r="B243" s="143">
        <v>43069</v>
      </c>
      <c r="C243">
        <v>153.97</v>
      </c>
      <c r="D243">
        <v>6.500769</v>
      </c>
      <c r="E243" s="143"/>
    </row>
    <row r="244" spans="1:5" x14ac:dyDescent="0.25">
      <c r="A244" t="s">
        <v>852</v>
      </c>
      <c r="B244" s="143">
        <v>43070</v>
      </c>
      <c r="C244">
        <v>154.76</v>
      </c>
      <c r="D244">
        <v>5.5678520000000002</v>
      </c>
      <c r="E244" s="143"/>
    </row>
    <row r="245" spans="1:5" x14ac:dyDescent="0.25">
      <c r="A245" t="s">
        <v>852</v>
      </c>
      <c r="B245" s="143">
        <v>43073</v>
      </c>
      <c r="C245">
        <v>156.46</v>
      </c>
      <c r="D245">
        <v>4.6643160000000004</v>
      </c>
      <c r="E245" s="143"/>
    </row>
    <row r="246" spans="1:5" x14ac:dyDescent="0.25">
      <c r="A246" t="s">
        <v>852</v>
      </c>
      <c r="B246" s="143">
        <v>43074</v>
      </c>
      <c r="C246">
        <v>155.35</v>
      </c>
      <c r="D246">
        <v>5.0680430000000003</v>
      </c>
      <c r="E246" s="143"/>
    </row>
    <row r="247" spans="1:5" x14ac:dyDescent="0.25">
      <c r="A247" t="s">
        <v>852</v>
      </c>
      <c r="B247" s="143">
        <v>43075</v>
      </c>
      <c r="C247">
        <v>154.1</v>
      </c>
      <c r="D247">
        <v>3.4107280000000002</v>
      </c>
      <c r="E247" s="143"/>
    </row>
    <row r="248" spans="1:5" x14ac:dyDescent="0.25">
      <c r="A248" t="s">
        <v>852</v>
      </c>
      <c r="B248" s="143">
        <v>43076</v>
      </c>
      <c r="C248">
        <v>153.57</v>
      </c>
      <c r="D248">
        <v>3.7714289999999999</v>
      </c>
      <c r="E248" s="143"/>
    </row>
    <row r="249" spans="1:5" x14ac:dyDescent="0.25">
      <c r="A249" t="s">
        <v>852</v>
      </c>
      <c r="B249" s="143">
        <v>43077</v>
      </c>
      <c r="C249">
        <v>154.81</v>
      </c>
      <c r="D249">
        <v>3.5202810000000002</v>
      </c>
      <c r="E249" s="143"/>
    </row>
    <row r="250" spans="1:5" x14ac:dyDescent="0.25">
      <c r="A250" t="s">
        <v>852</v>
      </c>
      <c r="B250" s="143">
        <v>43080</v>
      </c>
      <c r="C250">
        <v>155.41</v>
      </c>
      <c r="D250">
        <v>4.1027189999999996</v>
      </c>
      <c r="E250" s="143"/>
    </row>
    <row r="251" spans="1:5" x14ac:dyDescent="0.25">
      <c r="A251" t="s">
        <v>852</v>
      </c>
      <c r="B251" s="143">
        <v>43081</v>
      </c>
      <c r="C251">
        <v>156.74</v>
      </c>
      <c r="D251">
        <v>6.3218009999999998</v>
      </c>
      <c r="E251" s="143"/>
    </row>
    <row r="252" spans="1:5" x14ac:dyDescent="0.25">
      <c r="A252" t="s">
        <v>852</v>
      </c>
      <c r="B252" s="143">
        <v>43082</v>
      </c>
      <c r="C252">
        <v>153.91</v>
      </c>
      <c r="D252">
        <v>5.6616179999999998</v>
      </c>
      <c r="E252" s="143"/>
    </row>
    <row r="253" spans="1:5" x14ac:dyDescent="0.25">
      <c r="A253" t="s">
        <v>852</v>
      </c>
      <c r="B253" s="143">
        <v>43083</v>
      </c>
      <c r="C253">
        <v>154</v>
      </c>
      <c r="D253">
        <v>4.6374399999999998</v>
      </c>
      <c r="E253" s="143"/>
    </row>
    <row r="254" spans="1:5" x14ac:dyDescent="0.25">
      <c r="A254" t="s">
        <v>852</v>
      </c>
      <c r="B254" s="143">
        <v>43084</v>
      </c>
      <c r="C254">
        <v>152.5</v>
      </c>
      <c r="D254">
        <v>11.279854</v>
      </c>
      <c r="E254" s="143"/>
    </row>
    <row r="255" spans="1:5" x14ac:dyDescent="0.25">
      <c r="A255" t="s">
        <v>852</v>
      </c>
      <c r="B255" s="143">
        <v>43087</v>
      </c>
      <c r="C255">
        <v>153.33000000000001</v>
      </c>
      <c r="D255">
        <v>5.0928380000000004</v>
      </c>
      <c r="E255" s="143"/>
    </row>
    <row r="256" spans="1:5" x14ac:dyDescent="0.25">
      <c r="A256" t="s">
        <v>852</v>
      </c>
      <c r="B256" s="143">
        <v>43088</v>
      </c>
      <c r="C256">
        <v>153.22999999999999</v>
      </c>
      <c r="D256">
        <v>4.1164490000000002</v>
      </c>
      <c r="E256" s="143"/>
    </row>
    <row r="257" spans="1:5" x14ac:dyDescent="0.25">
      <c r="A257" t="s">
        <v>852</v>
      </c>
      <c r="B257" s="143">
        <v>43089</v>
      </c>
      <c r="C257">
        <v>152.94999999999999</v>
      </c>
      <c r="D257">
        <v>3.7856670000000001</v>
      </c>
      <c r="E257" s="143"/>
    </row>
    <row r="258" spans="1:5" x14ac:dyDescent="0.25">
      <c r="A258" t="s">
        <v>852</v>
      </c>
      <c r="B258" s="143">
        <v>43090</v>
      </c>
      <c r="C258">
        <v>151.5</v>
      </c>
      <c r="D258">
        <v>4.1539349999999997</v>
      </c>
      <c r="E258" s="143"/>
    </row>
    <row r="259" spans="1:5" x14ac:dyDescent="0.25">
      <c r="A259" t="s">
        <v>852</v>
      </c>
      <c r="B259" s="143">
        <v>43091</v>
      </c>
      <c r="C259">
        <v>152.5</v>
      </c>
      <c r="D259">
        <v>2.990583</v>
      </c>
      <c r="E259" s="143"/>
    </row>
    <row r="260" spans="1:5" x14ac:dyDescent="0.25">
      <c r="A260" t="s">
        <v>852</v>
      </c>
      <c r="B260" s="143">
        <v>43095</v>
      </c>
      <c r="C260">
        <v>152.83000000000001</v>
      </c>
      <c r="D260">
        <v>2.4790169999999998</v>
      </c>
      <c r="E260" s="143"/>
    </row>
    <row r="261" spans="1:5" x14ac:dyDescent="0.25">
      <c r="A261" t="s">
        <v>852</v>
      </c>
      <c r="B261" s="143">
        <v>43096</v>
      </c>
      <c r="C261">
        <v>153.13</v>
      </c>
      <c r="D261">
        <v>2.149257</v>
      </c>
      <c r="E261" s="143"/>
    </row>
    <row r="262" spans="1:5" x14ac:dyDescent="0.25">
      <c r="A262" t="s">
        <v>852</v>
      </c>
      <c r="B262" s="143">
        <v>43097</v>
      </c>
      <c r="C262">
        <v>154.04</v>
      </c>
      <c r="D262">
        <v>2.687624</v>
      </c>
      <c r="E262" s="143"/>
    </row>
    <row r="263" spans="1:5" x14ac:dyDescent="0.25">
      <c r="A263" t="s">
        <v>852</v>
      </c>
      <c r="B263" s="143">
        <v>43098</v>
      </c>
      <c r="C263">
        <v>153.41999999999999</v>
      </c>
      <c r="D263">
        <v>3.3270870000000001</v>
      </c>
      <c r="E263" s="143"/>
    </row>
    <row r="264" spans="1:5" x14ac:dyDescent="0.25">
      <c r="A264" t="s">
        <v>852</v>
      </c>
      <c r="B264" s="143">
        <v>43102</v>
      </c>
      <c r="C264">
        <v>154.25</v>
      </c>
      <c r="D264">
        <v>4.2025030000000001</v>
      </c>
      <c r="E264" s="143"/>
    </row>
    <row r="265" spans="1:5" x14ac:dyDescent="0.25">
      <c r="A265" t="s">
        <v>852</v>
      </c>
      <c r="B265" s="143">
        <v>43103</v>
      </c>
      <c r="C265">
        <v>158.49</v>
      </c>
      <c r="D265">
        <v>9.4415669999999992</v>
      </c>
      <c r="E265" s="143"/>
    </row>
    <row r="266" spans="1:5" x14ac:dyDescent="0.25">
      <c r="A266" t="s">
        <v>852</v>
      </c>
      <c r="B266" s="143">
        <v>43104</v>
      </c>
      <c r="C266">
        <v>161.69999999999999</v>
      </c>
      <c r="D266">
        <v>7.5562490000000002</v>
      </c>
      <c r="E266" s="143"/>
    </row>
    <row r="267" spans="1:5" x14ac:dyDescent="0.25">
      <c r="A267" t="s">
        <v>852</v>
      </c>
      <c r="B267" s="143">
        <v>43105</v>
      </c>
      <c r="C267">
        <v>162.49</v>
      </c>
      <c r="D267">
        <v>5.1957639999999996</v>
      </c>
      <c r="E267" s="143"/>
    </row>
    <row r="268" spans="1:5" x14ac:dyDescent="0.25">
      <c r="A268" t="s">
        <v>852</v>
      </c>
      <c r="B268" s="143">
        <v>43108</v>
      </c>
      <c r="C268">
        <v>163.47</v>
      </c>
      <c r="D268">
        <v>5.2375230000000004</v>
      </c>
      <c r="E268" s="143"/>
    </row>
    <row r="269" spans="1:5" x14ac:dyDescent="0.25">
      <c r="A269" t="s">
        <v>852</v>
      </c>
      <c r="B269" s="143">
        <v>43109</v>
      </c>
      <c r="C269">
        <v>163.83000000000001</v>
      </c>
      <c r="D269">
        <v>4.3418099999999997</v>
      </c>
      <c r="E269" s="143"/>
    </row>
    <row r="270" spans="1:5" x14ac:dyDescent="0.25">
      <c r="A270" t="s">
        <v>852</v>
      </c>
      <c r="B270" s="143">
        <v>43110</v>
      </c>
      <c r="C270">
        <v>164.18</v>
      </c>
      <c r="D270">
        <v>4.174105</v>
      </c>
      <c r="E270" s="143"/>
    </row>
    <row r="271" spans="1:5" x14ac:dyDescent="0.25">
      <c r="A271" t="s">
        <v>852</v>
      </c>
      <c r="B271" s="143">
        <v>43111</v>
      </c>
      <c r="C271">
        <v>164.2</v>
      </c>
      <c r="D271">
        <v>3.7944529999999999</v>
      </c>
      <c r="E271" s="143"/>
    </row>
    <row r="272" spans="1:5" x14ac:dyDescent="0.25">
      <c r="A272" t="s">
        <v>852</v>
      </c>
      <c r="B272" s="143">
        <v>43112</v>
      </c>
      <c r="C272">
        <v>163.13999999999999</v>
      </c>
      <c r="D272">
        <v>5.0318860000000001</v>
      </c>
      <c r="E272" s="143"/>
    </row>
    <row r="273" spans="1:5" x14ac:dyDescent="0.25">
      <c r="A273" t="s">
        <v>852</v>
      </c>
      <c r="B273" s="143">
        <v>43116</v>
      </c>
      <c r="C273">
        <v>163.85</v>
      </c>
      <c r="D273">
        <v>7.7941950000000002</v>
      </c>
      <c r="E273" s="143"/>
    </row>
    <row r="274" spans="1:5" x14ac:dyDescent="0.25">
      <c r="A274" t="s">
        <v>852</v>
      </c>
      <c r="B274" s="143">
        <v>43117</v>
      </c>
      <c r="C274">
        <v>168.65</v>
      </c>
      <c r="D274">
        <v>11.710032999999999</v>
      </c>
      <c r="E274" s="143"/>
    </row>
    <row r="275" spans="1:5" x14ac:dyDescent="0.25">
      <c r="A275" t="s">
        <v>852</v>
      </c>
      <c r="B275" s="143">
        <v>43118</v>
      </c>
      <c r="C275">
        <v>169.12</v>
      </c>
      <c r="D275">
        <v>14.259345</v>
      </c>
      <c r="E275" s="143"/>
    </row>
    <row r="276" spans="1:5" x14ac:dyDescent="0.25">
      <c r="A276" t="s">
        <v>852</v>
      </c>
      <c r="B276" s="143">
        <v>43119</v>
      </c>
      <c r="C276">
        <v>162.37</v>
      </c>
      <c r="D276">
        <v>21.172488000000001</v>
      </c>
      <c r="E276" s="143"/>
    </row>
    <row r="277" spans="1:5" x14ac:dyDescent="0.25">
      <c r="A277" t="s">
        <v>852</v>
      </c>
      <c r="B277" s="143">
        <v>43122</v>
      </c>
      <c r="C277">
        <v>162.6</v>
      </c>
      <c r="D277">
        <v>8.4807950000000005</v>
      </c>
      <c r="E277" s="143"/>
    </row>
    <row r="278" spans="1:5" x14ac:dyDescent="0.25">
      <c r="A278" t="s">
        <v>852</v>
      </c>
      <c r="B278" s="143">
        <v>43123</v>
      </c>
      <c r="C278">
        <v>166.25</v>
      </c>
      <c r="D278">
        <v>7.4662319999999998</v>
      </c>
      <c r="E278" s="143"/>
    </row>
    <row r="279" spans="1:5" x14ac:dyDescent="0.25">
      <c r="A279" t="s">
        <v>852</v>
      </c>
      <c r="B279" s="143">
        <v>43124</v>
      </c>
      <c r="C279">
        <v>165.37</v>
      </c>
      <c r="D279">
        <v>5.645003</v>
      </c>
      <c r="E279" s="143"/>
    </row>
    <row r="280" spans="1:5" x14ac:dyDescent="0.25">
      <c r="A280" t="s">
        <v>852</v>
      </c>
      <c r="B280" s="143">
        <v>43125</v>
      </c>
      <c r="C280">
        <v>165.47</v>
      </c>
      <c r="D280">
        <v>3.3025199999999999</v>
      </c>
      <c r="E280" s="143"/>
    </row>
    <row r="281" spans="1:5" x14ac:dyDescent="0.25">
      <c r="A281" t="s">
        <v>852</v>
      </c>
      <c r="B281" s="143">
        <v>43126</v>
      </c>
      <c r="C281">
        <v>167.34</v>
      </c>
      <c r="D281">
        <v>3.7879130000000001</v>
      </c>
      <c r="E281" s="143"/>
    </row>
    <row r="282" spans="1:5" x14ac:dyDescent="0.25">
      <c r="A282" t="s">
        <v>852</v>
      </c>
      <c r="B282" s="143">
        <v>43129</v>
      </c>
      <c r="C282">
        <v>166.8</v>
      </c>
      <c r="D282">
        <v>3.5169950000000001</v>
      </c>
      <c r="E282" s="143"/>
    </row>
    <row r="283" spans="1:5" x14ac:dyDescent="0.25">
      <c r="A283" t="s">
        <v>852</v>
      </c>
      <c r="B283" s="143">
        <v>43130</v>
      </c>
      <c r="C283">
        <v>163.62</v>
      </c>
      <c r="D283">
        <v>4.9023409999999998</v>
      </c>
      <c r="E283" s="143"/>
    </row>
    <row r="284" spans="1:5" x14ac:dyDescent="0.25">
      <c r="A284" t="s">
        <v>852</v>
      </c>
      <c r="B284" s="143">
        <v>43131</v>
      </c>
      <c r="C284">
        <v>163.69999999999999</v>
      </c>
      <c r="D284">
        <v>4.0728299999999997</v>
      </c>
      <c r="E284" s="143"/>
    </row>
    <row r="285" spans="1:5" x14ac:dyDescent="0.25">
      <c r="A285" t="s">
        <v>852</v>
      </c>
      <c r="B285" s="143">
        <v>43132</v>
      </c>
      <c r="C285">
        <v>162.4</v>
      </c>
      <c r="D285">
        <v>4.4342420000000002</v>
      </c>
      <c r="E285" s="143"/>
    </row>
    <row r="286" spans="1:5" x14ac:dyDescent="0.25">
      <c r="A286" t="s">
        <v>852</v>
      </c>
      <c r="B286" s="143">
        <v>43133</v>
      </c>
      <c r="C286">
        <v>159.03</v>
      </c>
      <c r="D286">
        <v>5.251938</v>
      </c>
      <c r="E286" s="143"/>
    </row>
    <row r="287" spans="1:5" x14ac:dyDescent="0.25">
      <c r="A287" t="s">
        <v>852</v>
      </c>
      <c r="B287" s="143">
        <v>43136</v>
      </c>
      <c r="C287">
        <v>152.53</v>
      </c>
      <c r="D287">
        <v>8.7465989999999998</v>
      </c>
      <c r="E287" s="143"/>
    </row>
    <row r="288" spans="1:5" x14ac:dyDescent="0.25">
      <c r="A288" t="s">
        <v>852</v>
      </c>
      <c r="B288" s="143">
        <v>43137</v>
      </c>
      <c r="C288">
        <v>155.34</v>
      </c>
      <c r="D288">
        <v>9.8676779999999997</v>
      </c>
      <c r="E288" s="143"/>
    </row>
    <row r="289" spans="1:12" x14ac:dyDescent="0.25">
      <c r="A289" t="s">
        <v>852</v>
      </c>
      <c r="B289" s="143">
        <v>43138</v>
      </c>
      <c r="C289">
        <v>153.85</v>
      </c>
      <c r="D289">
        <v>6.1492069999999996</v>
      </c>
      <c r="E289" s="143"/>
    </row>
    <row r="290" spans="1:12" x14ac:dyDescent="0.25">
      <c r="A290" t="s">
        <v>852</v>
      </c>
      <c r="B290" s="143">
        <v>43139</v>
      </c>
      <c r="C290">
        <v>147.59</v>
      </c>
      <c r="D290">
        <v>6.7790949999999999</v>
      </c>
      <c r="E290" s="143">
        <v>43169</v>
      </c>
      <c r="F290">
        <v>1.5</v>
      </c>
      <c r="G290" t="s">
        <v>683</v>
      </c>
      <c r="H290" t="s">
        <v>778</v>
      </c>
      <c r="I290" t="s">
        <v>687</v>
      </c>
      <c r="J290">
        <v>2018</v>
      </c>
      <c r="K290">
        <v>1</v>
      </c>
      <c r="L290">
        <v>6</v>
      </c>
    </row>
    <row r="291" spans="1:12" x14ac:dyDescent="0.25">
      <c r="A291" t="s">
        <v>852</v>
      </c>
      <c r="B291" s="143">
        <v>43140</v>
      </c>
      <c r="C291">
        <v>149.51</v>
      </c>
      <c r="D291">
        <v>7.82829</v>
      </c>
      <c r="E291" s="143"/>
    </row>
    <row r="292" spans="1:12" x14ac:dyDescent="0.25">
      <c r="A292" t="s">
        <v>852</v>
      </c>
      <c r="B292" s="143">
        <v>43143</v>
      </c>
      <c r="C292">
        <v>151.4</v>
      </c>
      <c r="D292">
        <v>5.8813769999999996</v>
      </c>
      <c r="E292" s="143"/>
    </row>
    <row r="293" spans="1:12" x14ac:dyDescent="0.25">
      <c r="A293" t="s">
        <v>852</v>
      </c>
      <c r="B293" s="143">
        <v>43144</v>
      </c>
      <c r="C293">
        <v>150.75</v>
      </c>
      <c r="D293">
        <v>4.8910099999999996</v>
      </c>
      <c r="E293" s="143"/>
    </row>
    <row r="294" spans="1:12" x14ac:dyDescent="0.25">
      <c r="A294" t="s">
        <v>852</v>
      </c>
      <c r="B294" s="143">
        <v>43145</v>
      </c>
      <c r="C294">
        <v>154.76</v>
      </c>
      <c r="D294">
        <v>5.4790330000000003</v>
      </c>
      <c r="E294" s="143"/>
    </row>
    <row r="295" spans="1:12" x14ac:dyDescent="0.25">
      <c r="A295" t="s">
        <v>852</v>
      </c>
      <c r="B295" s="143">
        <v>43146</v>
      </c>
      <c r="C295">
        <v>156.01</v>
      </c>
      <c r="D295">
        <v>5.6235809999999997</v>
      </c>
      <c r="E295" s="143"/>
    </row>
    <row r="296" spans="1:12" x14ac:dyDescent="0.25">
      <c r="A296" t="s">
        <v>852</v>
      </c>
      <c r="B296" s="143">
        <v>43147</v>
      </c>
      <c r="C296">
        <v>156.18</v>
      </c>
      <c r="D296">
        <v>4.2829079999999999</v>
      </c>
      <c r="E296" s="143"/>
    </row>
    <row r="297" spans="1:12" x14ac:dyDescent="0.25">
      <c r="A297" t="s">
        <v>852</v>
      </c>
      <c r="B297" s="143">
        <v>43151</v>
      </c>
      <c r="C297">
        <v>155.16</v>
      </c>
      <c r="D297">
        <v>4.4896039999999999</v>
      </c>
      <c r="E297" s="143"/>
    </row>
    <row r="298" spans="1:12" x14ac:dyDescent="0.25">
      <c r="A298" t="s">
        <v>852</v>
      </c>
      <c r="B298" s="143">
        <v>43152</v>
      </c>
      <c r="C298">
        <v>153.96</v>
      </c>
      <c r="D298">
        <v>3.7285710000000001</v>
      </c>
      <c r="E298" s="143"/>
    </row>
    <row r="299" spans="1:12" x14ac:dyDescent="0.25">
      <c r="A299" t="s">
        <v>852</v>
      </c>
      <c r="B299" s="143">
        <v>43153</v>
      </c>
      <c r="C299">
        <v>153.18</v>
      </c>
      <c r="D299">
        <v>4.0246269999999997</v>
      </c>
      <c r="E299" s="143"/>
    </row>
    <row r="300" spans="1:12" x14ac:dyDescent="0.25">
      <c r="A300" t="s">
        <v>852</v>
      </c>
      <c r="B300" s="143">
        <v>43154</v>
      </c>
      <c r="C300">
        <v>155.52000000000001</v>
      </c>
      <c r="D300">
        <v>3.2560739999999999</v>
      </c>
      <c r="E300" s="143"/>
    </row>
    <row r="301" spans="1:12" x14ac:dyDescent="0.25">
      <c r="A301" t="s">
        <v>852</v>
      </c>
      <c r="B301" s="143">
        <v>43157</v>
      </c>
      <c r="C301">
        <v>158.58000000000001</v>
      </c>
      <c r="D301">
        <v>3.6102919999999998</v>
      </c>
      <c r="E301" s="143"/>
    </row>
    <row r="302" spans="1:12" x14ac:dyDescent="0.25">
      <c r="A302" t="s">
        <v>852</v>
      </c>
      <c r="B302" s="143">
        <v>43158</v>
      </c>
      <c r="C302">
        <v>156.55000000000001</v>
      </c>
      <c r="D302">
        <v>4.2372829999999997</v>
      </c>
      <c r="E302" s="143"/>
    </row>
    <row r="303" spans="1:12" x14ac:dyDescent="0.25">
      <c r="A303" t="s">
        <v>852</v>
      </c>
      <c r="B303" s="143">
        <v>43159</v>
      </c>
      <c r="C303">
        <v>155.83000000000001</v>
      </c>
      <c r="D303">
        <v>3.803512</v>
      </c>
      <c r="E303" s="143"/>
    </row>
    <row r="304" spans="1:12" x14ac:dyDescent="0.25">
      <c r="A304" t="s">
        <v>852</v>
      </c>
      <c r="B304" s="143">
        <v>43160</v>
      </c>
      <c r="C304">
        <v>153.81</v>
      </c>
      <c r="D304">
        <v>4.039339</v>
      </c>
      <c r="E304" s="143"/>
    </row>
    <row r="305" spans="1:5" x14ac:dyDescent="0.25">
      <c r="A305" t="s">
        <v>852</v>
      </c>
      <c r="B305" s="143">
        <v>43161</v>
      </c>
      <c r="C305">
        <v>154.49</v>
      </c>
      <c r="D305">
        <v>3.2611409999999998</v>
      </c>
      <c r="E305" s="143"/>
    </row>
    <row r="306" spans="1:5" x14ac:dyDescent="0.25">
      <c r="A306" t="s">
        <v>852</v>
      </c>
      <c r="B306" s="143">
        <v>43164</v>
      </c>
      <c r="C306">
        <v>156.94999999999999</v>
      </c>
      <c r="D306">
        <v>3.6706300000000001</v>
      </c>
      <c r="E306" s="143"/>
    </row>
    <row r="307" spans="1:5" x14ac:dyDescent="0.25">
      <c r="A307" t="s">
        <v>852</v>
      </c>
      <c r="B307" s="143">
        <v>43165</v>
      </c>
      <c r="C307">
        <v>155.72</v>
      </c>
      <c r="D307">
        <v>3.6857359999999999</v>
      </c>
      <c r="E307" s="143"/>
    </row>
    <row r="308" spans="1:5" x14ac:dyDescent="0.25">
      <c r="A308" t="s">
        <v>852</v>
      </c>
      <c r="B308" s="143">
        <v>43166</v>
      </c>
      <c r="C308">
        <v>158.32</v>
      </c>
      <c r="D308">
        <v>4.6076769999999998</v>
      </c>
      <c r="E308" s="143"/>
    </row>
    <row r="309" spans="1:5" x14ac:dyDescent="0.25">
      <c r="A309" t="s">
        <v>852</v>
      </c>
      <c r="B309" s="143">
        <v>43167</v>
      </c>
      <c r="C309">
        <v>156.21</v>
      </c>
      <c r="D309">
        <v>6.4556120000000004</v>
      </c>
      <c r="E309" s="143"/>
    </row>
    <row r="310" spans="1:5" x14ac:dyDescent="0.25">
      <c r="A310" t="s">
        <v>852</v>
      </c>
      <c r="B310" s="143">
        <v>43168</v>
      </c>
      <c r="C310">
        <v>159.31</v>
      </c>
      <c r="D310">
        <v>5.0222379999999998</v>
      </c>
      <c r="E310" s="143"/>
    </row>
    <row r="311" spans="1:5" x14ac:dyDescent="0.25">
      <c r="A311" t="s">
        <v>852</v>
      </c>
      <c r="B311" s="143">
        <v>43171</v>
      </c>
      <c r="C311">
        <v>160.26</v>
      </c>
      <c r="D311">
        <v>5.0634969999999999</v>
      </c>
      <c r="E311" s="143"/>
    </row>
    <row r="312" spans="1:5" x14ac:dyDescent="0.25">
      <c r="A312" t="s">
        <v>852</v>
      </c>
      <c r="B312" s="143">
        <v>43172</v>
      </c>
      <c r="C312">
        <v>159.32</v>
      </c>
      <c r="D312">
        <v>4.1855900000000004</v>
      </c>
      <c r="E312" s="143"/>
    </row>
    <row r="313" spans="1:5" x14ac:dyDescent="0.25">
      <c r="A313" t="s">
        <v>852</v>
      </c>
      <c r="B313" s="143">
        <v>43173</v>
      </c>
      <c r="C313">
        <v>158.12</v>
      </c>
      <c r="D313">
        <v>3.6318250000000001</v>
      </c>
      <c r="E313" s="143"/>
    </row>
    <row r="314" spans="1:5" x14ac:dyDescent="0.25">
      <c r="A314" t="s">
        <v>852</v>
      </c>
      <c r="B314" s="143">
        <v>43174</v>
      </c>
      <c r="C314">
        <v>159.61000000000001</v>
      </c>
      <c r="D314">
        <v>3.8705949999999998</v>
      </c>
      <c r="E314" s="143"/>
    </row>
    <row r="315" spans="1:5" x14ac:dyDescent="0.25">
      <c r="A315" t="s">
        <v>852</v>
      </c>
      <c r="B315" s="143">
        <v>43175</v>
      </c>
      <c r="C315">
        <v>160.26</v>
      </c>
      <c r="D315">
        <v>9.2626559999999998</v>
      </c>
      <c r="E315" s="143"/>
    </row>
    <row r="316" spans="1:5" x14ac:dyDescent="0.25">
      <c r="A316" t="s">
        <v>852</v>
      </c>
      <c r="B316" s="143">
        <v>43178</v>
      </c>
      <c r="C316">
        <v>157.35</v>
      </c>
      <c r="D316">
        <v>5.4819829999999996</v>
      </c>
      <c r="E316" s="143"/>
    </row>
    <row r="317" spans="1:5" x14ac:dyDescent="0.25">
      <c r="A317" t="s">
        <v>852</v>
      </c>
      <c r="B317" s="143">
        <v>43179</v>
      </c>
      <c r="C317">
        <v>156.19999999999999</v>
      </c>
      <c r="D317">
        <v>4.3367380000000004</v>
      </c>
      <c r="E317" s="143"/>
    </row>
    <row r="318" spans="1:5" x14ac:dyDescent="0.25">
      <c r="A318" t="s">
        <v>852</v>
      </c>
      <c r="B318" s="143">
        <v>43180</v>
      </c>
      <c r="C318">
        <v>156.69</v>
      </c>
      <c r="D318">
        <v>3.4821840000000002</v>
      </c>
      <c r="E318" s="143"/>
    </row>
    <row r="319" spans="1:5" x14ac:dyDescent="0.25">
      <c r="A319" t="s">
        <v>852</v>
      </c>
      <c r="B319" s="143">
        <v>43181</v>
      </c>
      <c r="C319">
        <v>152.09</v>
      </c>
      <c r="D319">
        <v>4.7463490000000004</v>
      </c>
      <c r="E319" s="143"/>
    </row>
    <row r="320" spans="1:5" x14ac:dyDescent="0.25">
      <c r="A320" t="s">
        <v>852</v>
      </c>
      <c r="B320" s="143">
        <v>43182</v>
      </c>
      <c r="C320">
        <v>148.88999999999999</v>
      </c>
      <c r="D320">
        <v>4.4408830000000004</v>
      </c>
      <c r="E320" s="143"/>
    </row>
    <row r="321" spans="1:5" x14ac:dyDescent="0.25">
      <c r="A321" t="s">
        <v>852</v>
      </c>
      <c r="B321" s="143">
        <v>43185</v>
      </c>
      <c r="C321">
        <v>153.37</v>
      </c>
      <c r="D321">
        <v>4.103904</v>
      </c>
      <c r="E321" s="143"/>
    </row>
    <row r="322" spans="1:5" x14ac:dyDescent="0.25">
      <c r="A322" t="s">
        <v>852</v>
      </c>
      <c r="B322" s="143">
        <v>43186</v>
      </c>
      <c r="C322">
        <v>151.91</v>
      </c>
      <c r="D322">
        <v>3.8837449999999998</v>
      </c>
      <c r="E322" s="143"/>
    </row>
    <row r="323" spans="1:5" x14ac:dyDescent="0.25">
      <c r="A323" t="s">
        <v>852</v>
      </c>
      <c r="B323" s="143">
        <v>43187</v>
      </c>
      <c r="C323">
        <v>152.52000000000001</v>
      </c>
      <c r="D323">
        <v>3.6648260000000001</v>
      </c>
      <c r="E323" s="143"/>
    </row>
    <row r="324" spans="1:5" x14ac:dyDescent="0.25">
      <c r="A324" t="s">
        <v>852</v>
      </c>
      <c r="B324" s="143">
        <v>43188</v>
      </c>
      <c r="C324">
        <v>153.43</v>
      </c>
      <c r="D324">
        <v>3.419959</v>
      </c>
      <c r="E324" s="143"/>
    </row>
    <row r="325" spans="1:5" x14ac:dyDescent="0.25">
      <c r="A325" t="s">
        <v>852</v>
      </c>
      <c r="B325" s="143">
        <v>43192</v>
      </c>
      <c r="C325">
        <v>150.07</v>
      </c>
      <c r="D325">
        <v>5.1504349999999999</v>
      </c>
      <c r="E325" s="143"/>
    </row>
    <row r="326" spans="1:5" x14ac:dyDescent="0.25">
      <c r="A326" t="s">
        <v>852</v>
      </c>
      <c r="B326" s="143">
        <v>43193</v>
      </c>
      <c r="C326">
        <v>149.85</v>
      </c>
      <c r="D326">
        <v>4.1356960000000003</v>
      </c>
      <c r="E326" s="143"/>
    </row>
    <row r="327" spans="1:5" x14ac:dyDescent="0.25">
      <c r="A327" t="s">
        <v>852</v>
      </c>
      <c r="B327" s="143">
        <v>43194</v>
      </c>
      <c r="C327">
        <v>154.12</v>
      </c>
      <c r="D327">
        <v>4.8052609999999998</v>
      </c>
      <c r="E327" s="143"/>
    </row>
    <row r="328" spans="1:5" x14ac:dyDescent="0.25">
      <c r="A328" t="s">
        <v>852</v>
      </c>
      <c r="B328" s="143">
        <v>43195</v>
      </c>
      <c r="C328">
        <v>154.03</v>
      </c>
      <c r="D328">
        <v>3.1853880000000001</v>
      </c>
      <c r="E328" s="143"/>
    </row>
    <row r="329" spans="1:5" x14ac:dyDescent="0.25">
      <c r="A329" t="s">
        <v>852</v>
      </c>
      <c r="B329" s="143">
        <v>43196</v>
      </c>
      <c r="C329">
        <v>150.57</v>
      </c>
      <c r="D329">
        <v>3.6729189999999998</v>
      </c>
      <c r="E329" s="143"/>
    </row>
    <row r="330" spans="1:5" x14ac:dyDescent="0.25">
      <c r="A330" t="s">
        <v>852</v>
      </c>
      <c r="B330" s="143">
        <v>43199</v>
      </c>
      <c r="C330">
        <v>152.69</v>
      </c>
      <c r="D330">
        <v>4.4131780000000003</v>
      </c>
      <c r="E330" s="143"/>
    </row>
    <row r="331" spans="1:5" x14ac:dyDescent="0.25">
      <c r="A331" t="s">
        <v>852</v>
      </c>
      <c r="B331" s="143">
        <v>43200</v>
      </c>
      <c r="C331">
        <v>155.38999999999999</v>
      </c>
      <c r="D331">
        <v>3.9559519999999999</v>
      </c>
      <c r="E331" s="143"/>
    </row>
    <row r="332" spans="1:5" x14ac:dyDescent="0.25">
      <c r="A332" t="s">
        <v>852</v>
      </c>
      <c r="B332" s="143">
        <v>43201</v>
      </c>
      <c r="C332">
        <v>155.36000000000001</v>
      </c>
      <c r="D332">
        <v>3.3065389999999999</v>
      </c>
      <c r="E332" s="143"/>
    </row>
    <row r="333" spans="1:5" x14ac:dyDescent="0.25">
      <c r="A333" t="s">
        <v>852</v>
      </c>
      <c r="B333" s="143">
        <v>43202</v>
      </c>
      <c r="C333">
        <v>158.07</v>
      </c>
      <c r="D333">
        <v>5.6394440000000001</v>
      </c>
      <c r="E333" s="143"/>
    </row>
    <row r="334" spans="1:5" x14ac:dyDescent="0.25">
      <c r="A334" t="s">
        <v>852</v>
      </c>
      <c r="B334" s="143">
        <v>43203</v>
      </c>
      <c r="C334">
        <v>156.71</v>
      </c>
      <c r="D334">
        <v>4.0570579999999996</v>
      </c>
      <c r="E334" s="143"/>
    </row>
    <row r="335" spans="1:5" x14ac:dyDescent="0.25">
      <c r="A335" t="s">
        <v>852</v>
      </c>
      <c r="B335" s="143">
        <v>43206</v>
      </c>
      <c r="C335">
        <v>157.88999999999999</v>
      </c>
      <c r="D335">
        <v>4.1867549999999998</v>
      </c>
      <c r="E335" s="143"/>
    </row>
    <row r="336" spans="1:5" x14ac:dyDescent="0.25">
      <c r="A336" t="s">
        <v>852</v>
      </c>
      <c r="B336" s="143">
        <v>43207</v>
      </c>
      <c r="C336">
        <v>160.91</v>
      </c>
      <c r="D336">
        <v>10.207534000000001</v>
      </c>
      <c r="E336" s="143"/>
    </row>
    <row r="337" spans="1:12" x14ac:dyDescent="0.25">
      <c r="A337" t="s">
        <v>852</v>
      </c>
      <c r="B337" s="143">
        <v>43208</v>
      </c>
      <c r="C337">
        <v>148.79</v>
      </c>
      <c r="D337">
        <v>20.381695000000001</v>
      </c>
      <c r="E337" s="143"/>
    </row>
    <row r="338" spans="1:12" x14ac:dyDescent="0.25">
      <c r="A338" t="s">
        <v>852</v>
      </c>
      <c r="B338" s="143">
        <v>43209</v>
      </c>
      <c r="C338">
        <v>147.69999999999999</v>
      </c>
      <c r="D338">
        <v>8.0860559999999992</v>
      </c>
      <c r="E338" s="143"/>
    </row>
    <row r="339" spans="1:12" x14ac:dyDescent="0.25">
      <c r="A339" t="s">
        <v>852</v>
      </c>
      <c r="B339" s="143">
        <v>43210</v>
      </c>
      <c r="C339">
        <v>144.9</v>
      </c>
      <c r="D339">
        <v>8.2656430000000007</v>
      </c>
      <c r="E339" s="143"/>
    </row>
    <row r="340" spans="1:12" x14ac:dyDescent="0.25">
      <c r="A340" t="s">
        <v>852</v>
      </c>
      <c r="B340" s="143">
        <v>43213</v>
      </c>
      <c r="C340">
        <v>145.86000000000001</v>
      </c>
      <c r="D340">
        <v>5.3156249999999998</v>
      </c>
      <c r="E340" s="143"/>
    </row>
    <row r="341" spans="1:12" x14ac:dyDescent="0.25">
      <c r="A341" t="s">
        <v>852</v>
      </c>
      <c r="B341" s="143">
        <v>43214</v>
      </c>
      <c r="C341">
        <v>145.56</v>
      </c>
      <c r="D341">
        <v>4.9164760000000003</v>
      </c>
      <c r="E341" s="143"/>
    </row>
    <row r="342" spans="1:12" x14ac:dyDescent="0.25">
      <c r="A342" t="s">
        <v>852</v>
      </c>
      <c r="B342" s="143">
        <v>43215</v>
      </c>
      <c r="C342">
        <v>145.94</v>
      </c>
      <c r="D342">
        <v>7.3263790000000002</v>
      </c>
      <c r="E342" s="143"/>
    </row>
    <row r="343" spans="1:12" x14ac:dyDescent="0.25">
      <c r="A343" t="s">
        <v>852</v>
      </c>
      <c r="B343" s="143">
        <v>43216</v>
      </c>
      <c r="C343">
        <v>146.72</v>
      </c>
      <c r="D343">
        <v>4.2658120000000004</v>
      </c>
      <c r="E343" s="143"/>
    </row>
    <row r="344" spans="1:12" x14ac:dyDescent="0.25">
      <c r="A344" t="s">
        <v>852</v>
      </c>
      <c r="B344" s="143">
        <v>43217</v>
      </c>
      <c r="C344">
        <v>146.47999999999999</v>
      </c>
      <c r="D344">
        <v>3.2054819999999999</v>
      </c>
      <c r="E344" s="143"/>
    </row>
    <row r="345" spans="1:12" x14ac:dyDescent="0.25">
      <c r="A345" t="s">
        <v>852</v>
      </c>
      <c r="B345" s="143">
        <v>43220</v>
      </c>
      <c r="C345">
        <v>144.96</v>
      </c>
      <c r="D345">
        <v>4.4155329999999999</v>
      </c>
      <c r="E345" s="143"/>
    </row>
    <row r="346" spans="1:12" x14ac:dyDescent="0.25">
      <c r="A346" t="s">
        <v>852</v>
      </c>
      <c r="B346" s="143">
        <v>43221</v>
      </c>
      <c r="C346">
        <v>145</v>
      </c>
      <c r="D346">
        <v>4.4333929999999997</v>
      </c>
      <c r="E346" s="143"/>
    </row>
    <row r="347" spans="1:12" x14ac:dyDescent="0.25">
      <c r="A347" t="s">
        <v>852</v>
      </c>
      <c r="B347" s="143">
        <v>43222</v>
      </c>
      <c r="C347">
        <v>142.44999999999999</v>
      </c>
      <c r="D347">
        <v>5.1949170000000002</v>
      </c>
      <c r="E347" s="143"/>
    </row>
    <row r="348" spans="1:12" x14ac:dyDescent="0.25">
      <c r="A348" t="s">
        <v>852</v>
      </c>
      <c r="B348" s="143">
        <v>43223</v>
      </c>
      <c r="C348">
        <v>141.99</v>
      </c>
      <c r="D348">
        <v>5.0185919999999999</v>
      </c>
      <c r="E348" s="143"/>
    </row>
    <row r="349" spans="1:12" x14ac:dyDescent="0.25">
      <c r="A349" t="s">
        <v>852</v>
      </c>
      <c r="B349" s="143">
        <v>43224</v>
      </c>
      <c r="C349">
        <v>143.91</v>
      </c>
      <c r="D349">
        <v>4.4021699999999999</v>
      </c>
      <c r="E349" s="143"/>
    </row>
    <row r="350" spans="1:12" x14ac:dyDescent="0.25">
      <c r="A350" t="s">
        <v>852</v>
      </c>
      <c r="B350" s="143">
        <v>43227</v>
      </c>
      <c r="C350">
        <v>143.22</v>
      </c>
      <c r="D350">
        <v>3.657009</v>
      </c>
      <c r="E350" s="143"/>
    </row>
    <row r="351" spans="1:12" x14ac:dyDescent="0.25">
      <c r="A351" t="s">
        <v>852</v>
      </c>
      <c r="B351" s="143">
        <v>43228</v>
      </c>
      <c r="C351">
        <v>143</v>
      </c>
      <c r="D351">
        <v>5.3691190000000004</v>
      </c>
      <c r="E351" s="143"/>
    </row>
    <row r="352" spans="1:12" x14ac:dyDescent="0.25">
      <c r="A352" t="s">
        <v>852</v>
      </c>
      <c r="B352" s="143">
        <v>43229</v>
      </c>
      <c r="C352">
        <v>142.61000000000001</v>
      </c>
      <c r="D352">
        <v>4.1959530000000003</v>
      </c>
      <c r="E352" s="143">
        <v>43260</v>
      </c>
      <c r="F352">
        <v>1.57</v>
      </c>
      <c r="G352" t="s">
        <v>683</v>
      </c>
      <c r="H352" t="s">
        <v>778</v>
      </c>
      <c r="I352" t="s">
        <v>687</v>
      </c>
      <c r="J352">
        <v>2018</v>
      </c>
      <c r="K352">
        <v>2</v>
      </c>
      <c r="L352">
        <v>6</v>
      </c>
    </row>
    <row r="353" spans="1:5" x14ac:dyDescent="0.25">
      <c r="A353" t="s">
        <v>852</v>
      </c>
      <c r="B353" s="143">
        <v>43230</v>
      </c>
      <c r="C353">
        <v>144.24</v>
      </c>
      <c r="D353">
        <v>3.7266080000000001</v>
      </c>
      <c r="E353" s="143"/>
    </row>
    <row r="354" spans="1:5" x14ac:dyDescent="0.25">
      <c r="A354" t="s">
        <v>852</v>
      </c>
      <c r="B354" s="143">
        <v>43231</v>
      </c>
      <c r="C354">
        <v>144.13999999999999</v>
      </c>
      <c r="D354">
        <v>3.0731670000000002</v>
      </c>
      <c r="E354" s="143"/>
    </row>
    <row r="355" spans="1:5" x14ac:dyDescent="0.25">
      <c r="A355" t="s">
        <v>852</v>
      </c>
      <c r="B355" s="143">
        <v>43234</v>
      </c>
      <c r="C355">
        <v>144.30000000000001</v>
      </c>
      <c r="D355">
        <v>3.216062</v>
      </c>
      <c r="E355" s="143"/>
    </row>
    <row r="356" spans="1:5" x14ac:dyDescent="0.25">
      <c r="A356" t="s">
        <v>852</v>
      </c>
      <c r="B356" s="143">
        <v>43235</v>
      </c>
      <c r="C356">
        <v>143.74</v>
      </c>
      <c r="D356">
        <v>4.0893969999999999</v>
      </c>
      <c r="E356" s="143"/>
    </row>
    <row r="357" spans="1:5" x14ac:dyDescent="0.25">
      <c r="A357" t="s">
        <v>852</v>
      </c>
      <c r="B357" s="143">
        <v>43236</v>
      </c>
      <c r="C357">
        <v>144.63</v>
      </c>
      <c r="D357">
        <v>3.1686589999999999</v>
      </c>
      <c r="E357" s="143"/>
    </row>
    <row r="358" spans="1:5" x14ac:dyDescent="0.25">
      <c r="A358" t="s">
        <v>852</v>
      </c>
      <c r="B358" s="143">
        <v>43237</v>
      </c>
      <c r="C358">
        <v>144.5</v>
      </c>
      <c r="D358">
        <v>3.147659</v>
      </c>
      <c r="E358" s="143"/>
    </row>
    <row r="359" spans="1:5" x14ac:dyDescent="0.25">
      <c r="A359" t="s">
        <v>852</v>
      </c>
      <c r="B359" s="143">
        <v>43238</v>
      </c>
      <c r="C359">
        <v>144.08000000000001</v>
      </c>
      <c r="D359">
        <v>2.6822430000000002</v>
      </c>
      <c r="E359" s="143"/>
    </row>
    <row r="360" spans="1:5" x14ac:dyDescent="0.25">
      <c r="A360" t="s">
        <v>852</v>
      </c>
      <c r="B360" s="143">
        <v>43241</v>
      </c>
      <c r="C360">
        <v>145.49</v>
      </c>
      <c r="D360">
        <v>2.894698</v>
      </c>
      <c r="E360" s="143"/>
    </row>
    <row r="361" spans="1:5" x14ac:dyDescent="0.25">
      <c r="A361" t="s">
        <v>852</v>
      </c>
      <c r="B361" s="143">
        <v>43242</v>
      </c>
      <c r="C361">
        <v>145.09</v>
      </c>
      <c r="D361">
        <v>2.2840199999999999</v>
      </c>
      <c r="E361" s="143"/>
    </row>
    <row r="362" spans="1:5" x14ac:dyDescent="0.25">
      <c r="A362" t="s">
        <v>852</v>
      </c>
      <c r="B362" s="143">
        <v>43243</v>
      </c>
      <c r="C362">
        <v>144.66999999999999</v>
      </c>
      <c r="D362">
        <v>3.4597470000000001</v>
      </c>
      <c r="E362" s="143"/>
    </row>
    <row r="363" spans="1:5" x14ac:dyDescent="0.25">
      <c r="A363" t="s">
        <v>852</v>
      </c>
      <c r="B363" s="143">
        <v>43244</v>
      </c>
      <c r="C363">
        <v>144.07</v>
      </c>
      <c r="D363">
        <v>3.398701</v>
      </c>
      <c r="E363" s="143"/>
    </row>
    <row r="364" spans="1:5" x14ac:dyDescent="0.25">
      <c r="A364" t="s">
        <v>852</v>
      </c>
      <c r="B364" s="143">
        <v>43245</v>
      </c>
      <c r="C364">
        <v>143.63999999999999</v>
      </c>
      <c r="D364">
        <v>4.9142939999999999</v>
      </c>
      <c r="E364" s="143"/>
    </row>
    <row r="365" spans="1:5" x14ac:dyDescent="0.25">
      <c r="A365" t="s">
        <v>852</v>
      </c>
      <c r="B365" s="143">
        <v>43249</v>
      </c>
      <c r="C365">
        <v>141.22</v>
      </c>
      <c r="D365">
        <v>4.5376380000000003</v>
      </c>
      <c r="E365" s="143"/>
    </row>
    <row r="366" spans="1:5" x14ac:dyDescent="0.25">
      <c r="A366" t="s">
        <v>852</v>
      </c>
      <c r="B366" s="143">
        <v>43250</v>
      </c>
      <c r="C366">
        <v>142.62</v>
      </c>
      <c r="D366">
        <v>5.1185299999999998</v>
      </c>
      <c r="E366" s="143"/>
    </row>
    <row r="367" spans="1:5" x14ac:dyDescent="0.25">
      <c r="A367" t="s">
        <v>852</v>
      </c>
      <c r="B367" s="143">
        <v>43251</v>
      </c>
      <c r="C367">
        <v>141.31</v>
      </c>
      <c r="D367">
        <v>6.8302560000000003</v>
      </c>
      <c r="E367" s="143"/>
    </row>
    <row r="368" spans="1:5" x14ac:dyDescent="0.25">
      <c r="A368" t="s">
        <v>852</v>
      </c>
      <c r="B368" s="143">
        <v>43252</v>
      </c>
      <c r="C368">
        <v>141.94999999999999</v>
      </c>
      <c r="D368">
        <v>3.8575300000000001</v>
      </c>
      <c r="E368" s="143"/>
    </row>
    <row r="369" spans="1:5" x14ac:dyDescent="0.25">
      <c r="A369" t="s">
        <v>852</v>
      </c>
      <c r="B369" s="143">
        <v>43255</v>
      </c>
      <c r="C369">
        <v>143.04</v>
      </c>
      <c r="D369">
        <v>3.0352570000000001</v>
      </c>
      <c r="E369" s="143"/>
    </row>
    <row r="370" spans="1:5" x14ac:dyDescent="0.25">
      <c r="A370" t="s">
        <v>852</v>
      </c>
      <c r="B370" s="143">
        <v>43256</v>
      </c>
      <c r="C370">
        <v>143.69999999999999</v>
      </c>
      <c r="D370">
        <v>2.836017</v>
      </c>
      <c r="E370" s="143"/>
    </row>
    <row r="371" spans="1:5" x14ac:dyDescent="0.25">
      <c r="A371" t="s">
        <v>852</v>
      </c>
      <c r="B371" s="143">
        <v>43257</v>
      </c>
      <c r="C371">
        <v>144.71</v>
      </c>
      <c r="D371">
        <v>3.2201390000000001</v>
      </c>
      <c r="E371" s="143"/>
    </row>
    <row r="372" spans="1:5" x14ac:dyDescent="0.25">
      <c r="A372" t="s">
        <v>852</v>
      </c>
      <c r="B372" s="143">
        <v>43258</v>
      </c>
      <c r="C372">
        <v>145.36000000000001</v>
      </c>
      <c r="D372">
        <v>4.316484</v>
      </c>
      <c r="E372" s="143"/>
    </row>
    <row r="373" spans="1:5" x14ac:dyDescent="0.25">
      <c r="A373" t="s">
        <v>852</v>
      </c>
      <c r="B373" s="143">
        <v>43259</v>
      </c>
      <c r="C373">
        <v>146.13999999999999</v>
      </c>
      <c r="D373">
        <v>5.2104679999999997</v>
      </c>
      <c r="E373" s="143"/>
    </row>
    <row r="374" spans="1:5" x14ac:dyDescent="0.25">
      <c r="A374" t="s">
        <v>852</v>
      </c>
      <c r="B374" s="143">
        <v>43262</v>
      </c>
      <c r="C374">
        <v>146.58000000000001</v>
      </c>
      <c r="D374">
        <v>3.2599860000000001</v>
      </c>
      <c r="E374" s="143"/>
    </row>
    <row r="375" spans="1:5" x14ac:dyDescent="0.25">
      <c r="A375" t="s">
        <v>852</v>
      </c>
      <c r="B375" s="143">
        <v>43263</v>
      </c>
      <c r="C375">
        <v>146.87</v>
      </c>
      <c r="D375">
        <v>2.6405150000000002</v>
      </c>
      <c r="E375" s="143"/>
    </row>
    <row r="376" spans="1:5" x14ac:dyDescent="0.25">
      <c r="A376" t="s">
        <v>852</v>
      </c>
      <c r="B376" s="143">
        <v>43264</v>
      </c>
      <c r="C376">
        <v>146.35</v>
      </c>
      <c r="D376">
        <v>2.9681799999999998</v>
      </c>
      <c r="E376" s="143"/>
    </row>
    <row r="377" spans="1:5" x14ac:dyDescent="0.25">
      <c r="A377" t="s">
        <v>852</v>
      </c>
      <c r="B377" s="143">
        <v>43265</v>
      </c>
      <c r="C377">
        <v>145.19999999999999</v>
      </c>
      <c r="D377">
        <v>3.326343</v>
      </c>
      <c r="E377" s="143"/>
    </row>
    <row r="378" spans="1:5" x14ac:dyDescent="0.25">
      <c r="A378" t="s">
        <v>852</v>
      </c>
      <c r="B378" s="143">
        <v>43266</v>
      </c>
      <c r="C378">
        <v>145.38999999999999</v>
      </c>
      <c r="D378">
        <v>9.1160479999999993</v>
      </c>
      <c r="E378" s="143"/>
    </row>
    <row r="379" spans="1:5" x14ac:dyDescent="0.25">
      <c r="A379" t="s">
        <v>852</v>
      </c>
      <c r="B379" s="143">
        <v>43269</v>
      </c>
      <c r="C379">
        <v>144.47999999999999</v>
      </c>
      <c r="D379">
        <v>4.2864060000000004</v>
      </c>
      <c r="E379" s="143"/>
    </row>
    <row r="380" spans="1:5" x14ac:dyDescent="0.25">
      <c r="A380" t="s">
        <v>852</v>
      </c>
      <c r="B380" s="143">
        <v>43270</v>
      </c>
      <c r="C380">
        <v>143.9</v>
      </c>
      <c r="D380">
        <v>3.487015</v>
      </c>
      <c r="E380" s="143"/>
    </row>
    <row r="381" spans="1:5" x14ac:dyDescent="0.25">
      <c r="A381" t="s">
        <v>852</v>
      </c>
      <c r="B381" s="143">
        <v>43271</v>
      </c>
      <c r="C381">
        <v>142.63</v>
      </c>
      <c r="D381">
        <v>3.329917</v>
      </c>
      <c r="E381" s="143"/>
    </row>
    <row r="382" spans="1:5" x14ac:dyDescent="0.25">
      <c r="A382" t="s">
        <v>852</v>
      </c>
      <c r="B382" s="143">
        <v>43272</v>
      </c>
      <c r="C382">
        <v>141.25</v>
      </c>
      <c r="D382">
        <v>3.8876499999999998</v>
      </c>
      <c r="E382" s="143"/>
    </row>
    <row r="383" spans="1:5" x14ac:dyDescent="0.25">
      <c r="A383" t="s">
        <v>852</v>
      </c>
      <c r="B383" s="143">
        <v>43273</v>
      </c>
      <c r="C383">
        <v>141.28</v>
      </c>
      <c r="D383">
        <v>6.0136779999999996</v>
      </c>
      <c r="E383" s="143"/>
    </row>
    <row r="384" spans="1:5" x14ac:dyDescent="0.25">
      <c r="A384" t="s">
        <v>852</v>
      </c>
      <c r="B384" s="143">
        <v>43276</v>
      </c>
      <c r="C384">
        <v>138.79</v>
      </c>
      <c r="D384">
        <v>8.9370849999999997</v>
      </c>
      <c r="E384" s="143"/>
    </row>
    <row r="385" spans="1:5" x14ac:dyDescent="0.25">
      <c r="A385" t="s">
        <v>852</v>
      </c>
      <c r="B385" s="143">
        <v>43277</v>
      </c>
      <c r="C385">
        <v>139.08000000000001</v>
      </c>
      <c r="D385">
        <v>4.1394549999999999</v>
      </c>
      <c r="E385" s="143"/>
    </row>
    <row r="386" spans="1:5" x14ac:dyDescent="0.25">
      <c r="A386" t="s">
        <v>852</v>
      </c>
      <c r="B386" s="143">
        <v>43278</v>
      </c>
      <c r="C386">
        <v>137.47999999999999</v>
      </c>
      <c r="D386">
        <v>4.1018280000000003</v>
      </c>
      <c r="E386" s="143"/>
    </row>
    <row r="387" spans="1:5" x14ac:dyDescent="0.25">
      <c r="A387" t="s">
        <v>852</v>
      </c>
      <c r="B387" s="143">
        <v>43279</v>
      </c>
      <c r="C387">
        <v>140.04</v>
      </c>
      <c r="D387">
        <v>4.5236660000000004</v>
      </c>
      <c r="E387" s="143"/>
    </row>
    <row r="388" spans="1:5" x14ac:dyDescent="0.25">
      <c r="A388" t="s">
        <v>852</v>
      </c>
      <c r="B388" s="143">
        <v>43280</v>
      </c>
      <c r="C388">
        <v>139.69999999999999</v>
      </c>
      <c r="D388">
        <v>3.7536839999999998</v>
      </c>
      <c r="E388" s="143"/>
    </row>
    <row r="389" spans="1:5" x14ac:dyDescent="0.25">
      <c r="A389" t="s">
        <v>852</v>
      </c>
      <c r="B389" s="143">
        <v>43283</v>
      </c>
      <c r="C389">
        <v>139.86000000000001</v>
      </c>
      <c r="D389">
        <v>3.4056419999999998</v>
      </c>
      <c r="E389" s="143"/>
    </row>
    <row r="390" spans="1:5" x14ac:dyDescent="0.25">
      <c r="A390" t="s">
        <v>852</v>
      </c>
      <c r="B390" s="143">
        <v>43284</v>
      </c>
      <c r="C390">
        <v>139.57</v>
      </c>
      <c r="D390">
        <v>1.9632320000000001</v>
      </c>
      <c r="E390" s="143"/>
    </row>
    <row r="391" spans="1:5" x14ac:dyDescent="0.25">
      <c r="A391" t="s">
        <v>852</v>
      </c>
      <c r="B391" s="143">
        <v>43286</v>
      </c>
      <c r="C391">
        <v>141.43</v>
      </c>
      <c r="D391">
        <v>3.7447300000000001</v>
      </c>
      <c r="E391" s="143"/>
    </row>
    <row r="392" spans="1:5" x14ac:dyDescent="0.25">
      <c r="A392" t="s">
        <v>852</v>
      </c>
      <c r="B392" s="143">
        <v>43287</v>
      </c>
      <c r="C392">
        <v>142.47999999999999</v>
      </c>
      <c r="D392">
        <v>2.9104260000000002</v>
      </c>
      <c r="E392" s="143"/>
    </row>
    <row r="393" spans="1:5" x14ac:dyDescent="0.25">
      <c r="A393" t="s">
        <v>852</v>
      </c>
      <c r="B393" s="143">
        <v>43290</v>
      </c>
      <c r="C393">
        <v>144.38999999999999</v>
      </c>
      <c r="D393">
        <v>3.904652</v>
      </c>
      <c r="E393" s="143"/>
    </row>
    <row r="394" spans="1:5" x14ac:dyDescent="0.25">
      <c r="A394" t="s">
        <v>852</v>
      </c>
      <c r="B394" s="143">
        <v>43291</v>
      </c>
      <c r="C394">
        <v>144.71</v>
      </c>
      <c r="D394">
        <v>3.7769910000000002</v>
      </c>
      <c r="E394" s="143"/>
    </row>
    <row r="395" spans="1:5" x14ac:dyDescent="0.25">
      <c r="A395" t="s">
        <v>852</v>
      </c>
      <c r="B395" s="143">
        <v>43292</v>
      </c>
      <c r="C395">
        <v>144.94</v>
      </c>
      <c r="D395">
        <v>3.5265650000000002</v>
      </c>
      <c r="E395" s="143"/>
    </row>
    <row r="396" spans="1:5" x14ac:dyDescent="0.25">
      <c r="A396" t="s">
        <v>852</v>
      </c>
      <c r="B396" s="143">
        <v>43293</v>
      </c>
      <c r="C396">
        <v>146.44999999999999</v>
      </c>
      <c r="D396">
        <v>3.1195050000000002</v>
      </c>
      <c r="E396" s="143"/>
    </row>
    <row r="397" spans="1:5" x14ac:dyDescent="0.25">
      <c r="A397" t="s">
        <v>852</v>
      </c>
      <c r="B397" s="143">
        <v>43294</v>
      </c>
      <c r="C397">
        <v>145.9</v>
      </c>
      <c r="D397">
        <v>3.0676380000000001</v>
      </c>
      <c r="E397" s="143"/>
    </row>
    <row r="398" spans="1:5" x14ac:dyDescent="0.25">
      <c r="A398" t="s">
        <v>852</v>
      </c>
      <c r="B398" s="143">
        <v>43297</v>
      </c>
      <c r="C398">
        <v>145.46</v>
      </c>
      <c r="D398">
        <v>3.468817</v>
      </c>
      <c r="E398" s="143"/>
    </row>
    <row r="399" spans="1:5" x14ac:dyDescent="0.25">
      <c r="A399" t="s">
        <v>852</v>
      </c>
      <c r="B399" s="143">
        <v>43298</v>
      </c>
      <c r="C399">
        <v>143.49</v>
      </c>
      <c r="D399">
        <v>5.0967409999999997</v>
      </c>
      <c r="E399" s="143"/>
    </row>
    <row r="400" spans="1:5" x14ac:dyDescent="0.25">
      <c r="A400" t="s">
        <v>852</v>
      </c>
      <c r="B400" s="143">
        <v>43299</v>
      </c>
      <c r="C400">
        <v>144.52000000000001</v>
      </c>
      <c r="D400">
        <v>6.9352879999999999</v>
      </c>
      <c r="E400" s="143"/>
    </row>
    <row r="401" spans="1:12" x14ac:dyDescent="0.25">
      <c r="A401" t="s">
        <v>852</v>
      </c>
      <c r="B401" s="143">
        <v>43300</v>
      </c>
      <c r="C401">
        <v>149.24</v>
      </c>
      <c r="D401">
        <v>14.655804</v>
      </c>
      <c r="E401" s="143"/>
    </row>
    <row r="402" spans="1:12" x14ac:dyDescent="0.25">
      <c r="A402" t="s">
        <v>852</v>
      </c>
      <c r="B402" s="143">
        <v>43301</v>
      </c>
      <c r="C402">
        <v>146.35</v>
      </c>
      <c r="D402">
        <v>6.415972</v>
      </c>
      <c r="E402" s="143"/>
    </row>
    <row r="403" spans="1:12" x14ac:dyDescent="0.25">
      <c r="A403" t="s">
        <v>852</v>
      </c>
      <c r="B403" s="143">
        <v>43304</v>
      </c>
      <c r="C403">
        <v>145.69999999999999</v>
      </c>
      <c r="D403">
        <v>3.8978920000000001</v>
      </c>
      <c r="E403" s="143"/>
    </row>
    <row r="404" spans="1:12" x14ac:dyDescent="0.25">
      <c r="A404" t="s">
        <v>852</v>
      </c>
      <c r="B404" s="143">
        <v>43305</v>
      </c>
      <c r="C404">
        <v>146.38</v>
      </c>
      <c r="D404">
        <v>3.8916249999999999</v>
      </c>
      <c r="E404" s="143"/>
    </row>
    <row r="405" spans="1:12" x14ac:dyDescent="0.25">
      <c r="A405" t="s">
        <v>852</v>
      </c>
      <c r="B405" s="143">
        <v>43306</v>
      </c>
      <c r="C405">
        <v>146.62</v>
      </c>
      <c r="D405">
        <v>3.6231819999999999</v>
      </c>
      <c r="E405" s="143"/>
    </row>
    <row r="406" spans="1:12" x14ac:dyDescent="0.25">
      <c r="A406" t="s">
        <v>852</v>
      </c>
      <c r="B406" s="143">
        <v>43307</v>
      </c>
      <c r="C406">
        <v>146.71</v>
      </c>
      <c r="D406">
        <v>4.778022</v>
      </c>
      <c r="E406" s="143"/>
    </row>
    <row r="407" spans="1:12" x14ac:dyDescent="0.25">
      <c r="A407" t="s">
        <v>852</v>
      </c>
      <c r="B407" s="143">
        <v>43308</v>
      </c>
      <c r="C407">
        <v>145.15</v>
      </c>
      <c r="D407">
        <v>3.7496420000000001</v>
      </c>
      <c r="E407" s="143"/>
    </row>
    <row r="408" spans="1:12" x14ac:dyDescent="0.25">
      <c r="A408" t="s">
        <v>852</v>
      </c>
      <c r="B408" s="143">
        <v>43311</v>
      </c>
      <c r="C408">
        <v>145.49</v>
      </c>
      <c r="D408">
        <v>3.6082830000000001</v>
      </c>
      <c r="E408" s="143"/>
    </row>
    <row r="409" spans="1:12" x14ac:dyDescent="0.25">
      <c r="A409" t="s">
        <v>852</v>
      </c>
      <c r="B409" s="143">
        <v>43312</v>
      </c>
      <c r="C409">
        <v>144.93</v>
      </c>
      <c r="D409">
        <v>5.4744780000000004</v>
      </c>
      <c r="E409" s="143"/>
    </row>
    <row r="410" spans="1:12" x14ac:dyDescent="0.25">
      <c r="A410" t="s">
        <v>852</v>
      </c>
      <c r="B410" s="143">
        <v>43313</v>
      </c>
      <c r="C410">
        <v>143.5</v>
      </c>
      <c r="D410">
        <v>3.3883860000000001</v>
      </c>
      <c r="E410" s="143"/>
    </row>
    <row r="411" spans="1:12" x14ac:dyDescent="0.25">
      <c r="A411" t="s">
        <v>852</v>
      </c>
      <c r="B411" s="143">
        <v>43314</v>
      </c>
      <c r="C411">
        <v>142.96</v>
      </c>
      <c r="D411">
        <v>3.8414470000000001</v>
      </c>
      <c r="E411" s="143"/>
    </row>
    <row r="412" spans="1:12" x14ac:dyDescent="0.25">
      <c r="A412" t="s">
        <v>852</v>
      </c>
      <c r="B412" s="143">
        <v>43315</v>
      </c>
      <c r="C412">
        <v>147.69999999999999</v>
      </c>
      <c r="D412">
        <v>8.0535669999999993</v>
      </c>
      <c r="E412" s="143"/>
    </row>
    <row r="413" spans="1:12" x14ac:dyDescent="0.25">
      <c r="A413" t="s">
        <v>852</v>
      </c>
      <c r="B413" s="143">
        <v>43318</v>
      </c>
      <c r="C413">
        <v>146.03</v>
      </c>
      <c r="D413">
        <v>3.9137430000000002</v>
      </c>
      <c r="E413" s="143"/>
    </row>
    <row r="414" spans="1:12" x14ac:dyDescent="0.25">
      <c r="A414" t="s">
        <v>852</v>
      </c>
      <c r="B414" s="143">
        <v>43319</v>
      </c>
      <c r="C414">
        <v>147.01</v>
      </c>
      <c r="D414">
        <v>3.5087579999999998</v>
      </c>
      <c r="E414" s="143"/>
    </row>
    <row r="415" spans="1:12" x14ac:dyDescent="0.25">
      <c r="A415" t="s">
        <v>852</v>
      </c>
      <c r="B415" s="143">
        <v>43320</v>
      </c>
      <c r="C415">
        <v>146.88999999999999</v>
      </c>
      <c r="D415">
        <v>3.5817459999999999</v>
      </c>
      <c r="E415" s="143"/>
    </row>
    <row r="416" spans="1:12" x14ac:dyDescent="0.25">
      <c r="A416" t="s">
        <v>852</v>
      </c>
      <c r="B416" s="143">
        <v>43321</v>
      </c>
      <c r="C416">
        <v>144.77000000000001</v>
      </c>
      <c r="D416">
        <v>3.0935039999999998</v>
      </c>
      <c r="E416" s="143">
        <v>43353</v>
      </c>
      <c r="F416">
        <v>1.57</v>
      </c>
      <c r="G416" t="s">
        <v>683</v>
      </c>
      <c r="H416" t="s">
        <v>778</v>
      </c>
      <c r="I416" t="s">
        <v>687</v>
      </c>
      <c r="J416">
        <v>2018</v>
      </c>
      <c r="K416">
        <v>3</v>
      </c>
      <c r="L416">
        <v>1</v>
      </c>
    </row>
    <row r="417" spans="1:5" x14ac:dyDescent="0.25">
      <c r="A417" t="s">
        <v>852</v>
      </c>
      <c r="B417" s="143">
        <v>43322</v>
      </c>
      <c r="C417">
        <v>144.47999999999999</v>
      </c>
      <c r="D417">
        <v>3.003158</v>
      </c>
      <c r="E417" s="143"/>
    </row>
    <row r="418" spans="1:5" x14ac:dyDescent="0.25">
      <c r="A418" t="s">
        <v>852</v>
      </c>
      <c r="B418" s="143">
        <v>43325</v>
      </c>
      <c r="C418">
        <v>142.71</v>
      </c>
      <c r="D418">
        <v>2.8588420000000001</v>
      </c>
      <c r="E418" s="143"/>
    </row>
    <row r="419" spans="1:5" x14ac:dyDescent="0.25">
      <c r="A419" t="s">
        <v>852</v>
      </c>
      <c r="B419" s="143">
        <v>43326</v>
      </c>
      <c r="C419">
        <v>143.36000000000001</v>
      </c>
      <c r="D419">
        <v>2.8600409999999998</v>
      </c>
      <c r="E419" s="143"/>
    </row>
    <row r="420" spans="1:5" x14ac:dyDescent="0.25">
      <c r="A420" t="s">
        <v>852</v>
      </c>
      <c r="B420" s="143">
        <v>43327</v>
      </c>
      <c r="C420">
        <v>143.91</v>
      </c>
      <c r="D420">
        <v>4.2414959999999997</v>
      </c>
      <c r="E420" s="143"/>
    </row>
    <row r="421" spans="1:5" x14ac:dyDescent="0.25">
      <c r="A421" t="s">
        <v>852</v>
      </c>
      <c r="B421" s="143">
        <v>43328</v>
      </c>
      <c r="C421">
        <v>145.34</v>
      </c>
      <c r="D421">
        <v>5.2508780000000002</v>
      </c>
      <c r="E421" s="143"/>
    </row>
    <row r="422" spans="1:5" x14ac:dyDescent="0.25">
      <c r="A422" t="s">
        <v>852</v>
      </c>
      <c r="B422" s="143">
        <v>43329</v>
      </c>
      <c r="C422">
        <v>146.06</v>
      </c>
      <c r="D422">
        <v>2.67882</v>
      </c>
      <c r="E422" s="143"/>
    </row>
    <row r="423" spans="1:5" x14ac:dyDescent="0.25">
      <c r="A423" t="s">
        <v>852</v>
      </c>
      <c r="B423" s="143">
        <v>43332</v>
      </c>
      <c r="C423">
        <v>146.51</v>
      </c>
      <c r="D423">
        <v>2.499654</v>
      </c>
      <c r="E423" s="143"/>
    </row>
    <row r="424" spans="1:5" x14ac:dyDescent="0.25">
      <c r="A424" t="s">
        <v>852</v>
      </c>
      <c r="B424" s="143">
        <v>43333</v>
      </c>
      <c r="C424">
        <v>145.97</v>
      </c>
      <c r="D424">
        <v>3.1068760000000002</v>
      </c>
      <c r="E424" s="143"/>
    </row>
    <row r="425" spans="1:5" x14ac:dyDescent="0.25">
      <c r="A425" t="s">
        <v>852</v>
      </c>
      <c r="B425" s="143">
        <v>43334</v>
      </c>
      <c r="C425">
        <v>145.24</v>
      </c>
      <c r="D425">
        <v>2.3889610000000001</v>
      </c>
      <c r="E425" s="143"/>
    </row>
    <row r="426" spans="1:5" x14ac:dyDescent="0.25">
      <c r="A426" t="s">
        <v>852</v>
      </c>
      <c r="B426" s="143">
        <v>43335</v>
      </c>
      <c r="C426">
        <v>145.37</v>
      </c>
      <c r="D426">
        <v>2.2206030000000001</v>
      </c>
      <c r="E426" s="143"/>
    </row>
    <row r="427" spans="1:5" x14ac:dyDescent="0.25">
      <c r="A427" t="s">
        <v>852</v>
      </c>
      <c r="B427" s="143">
        <v>43336</v>
      </c>
      <c r="C427">
        <v>146.04</v>
      </c>
      <c r="D427">
        <v>2.7768130000000002</v>
      </c>
      <c r="E427" s="143"/>
    </row>
    <row r="428" spans="1:5" x14ac:dyDescent="0.25">
      <c r="A428" t="s">
        <v>852</v>
      </c>
      <c r="B428" s="143">
        <v>43339</v>
      </c>
      <c r="C428">
        <v>146.69</v>
      </c>
      <c r="D428">
        <v>3.491565</v>
      </c>
      <c r="E428" s="143"/>
    </row>
    <row r="429" spans="1:5" x14ac:dyDescent="0.25">
      <c r="A429" t="s">
        <v>852</v>
      </c>
      <c r="B429" s="143">
        <v>43340</v>
      </c>
      <c r="C429">
        <v>146.59</v>
      </c>
      <c r="D429">
        <v>2.4553280000000002</v>
      </c>
      <c r="E429" s="143"/>
    </row>
    <row r="430" spans="1:5" x14ac:dyDescent="0.25">
      <c r="A430" t="s">
        <v>852</v>
      </c>
      <c r="B430" s="143">
        <v>43341</v>
      </c>
      <c r="C430">
        <v>147.54</v>
      </c>
      <c r="D430">
        <v>3.153845</v>
      </c>
      <c r="E430" s="143"/>
    </row>
    <row r="431" spans="1:5" x14ac:dyDescent="0.25">
      <c r="A431" t="s">
        <v>852</v>
      </c>
      <c r="B431" s="143">
        <v>43342</v>
      </c>
      <c r="C431">
        <v>145.93</v>
      </c>
      <c r="D431">
        <v>3.3403689999999999</v>
      </c>
      <c r="E431" s="143"/>
    </row>
    <row r="432" spans="1:5" x14ac:dyDescent="0.25">
      <c r="A432" t="s">
        <v>852</v>
      </c>
      <c r="B432" s="143">
        <v>43343</v>
      </c>
      <c r="C432">
        <v>146.47999999999999</v>
      </c>
      <c r="D432">
        <v>3.4884759999999999</v>
      </c>
      <c r="E432" s="143"/>
    </row>
    <row r="433" spans="1:5" x14ac:dyDescent="0.25">
      <c r="A433" t="s">
        <v>852</v>
      </c>
      <c r="B433" s="143">
        <v>43347</v>
      </c>
      <c r="C433">
        <v>145.68</v>
      </c>
      <c r="D433">
        <v>3.3261530000000001</v>
      </c>
      <c r="E433" s="143"/>
    </row>
    <row r="434" spans="1:5" x14ac:dyDescent="0.25">
      <c r="A434" t="s">
        <v>852</v>
      </c>
      <c r="B434" s="143">
        <v>43348</v>
      </c>
      <c r="C434">
        <v>146.66</v>
      </c>
      <c r="D434">
        <v>3.1265399999999999</v>
      </c>
      <c r="E434" s="143"/>
    </row>
    <row r="435" spans="1:5" x14ac:dyDescent="0.25">
      <c r="A435" t="s">
        <v>852</v>
      </c>
      <c r="B435" s="143">
        <v>43349</v>
      </c>
      <c r="C435">
        <v>146.38999999999999</v>
      </c>
      <c r="D435">
        <v>4.248831</v>
      </c>
      <c r="E435" s="143"/>
    </row>
    <row r="436" spans="1:5" x14ac:dyDescent="0.25">
      <c r="A436" t="s">
        <v>852</v>
      </c>
      <c r="B436" s="143">
        <v>43350</v>
      </c>
      <c r="C436">
        <v>145.44999999999999</v>
      </c>
      <c r="D436">
        <v>4.6931269999999996</v>
      </c>
      <c r="E436" s="143"/>
    </row>
    <row r="437" spans="1:5" x14ac:dyDescent="0.25">
      <c r="A437" t="s">
        <v>852</v>
      </c>
      <c r="B437" s="143">
        <v>43353</v>
      </c>
      <c r="C437">
        <v>145.65</v>
      </c>
      <c r="D437">
        <v>3.6182919999999998</v>
      </c>
      <c r="E437" s="143"/>
    </row>
    <row r="438" spans="1:5" x14ac:dyDescent="0.25">
      <c r="A438" t="s">
        <v>852</v>
      </c>
      <c r="B438" s="143">
        <v>43354</v>
      </c>
      <c r="C438">
        <v>146.49</v>
      </c>
      <c r="D438">
        <v>3.3747739999999999</v>
      </c>
      <c r="E438" s="143"/>
    </row>
    <row r="439" spans="1:5" x14ac:dyDescent="0.25">
      <c r="A439" t="s">
        <v>852</v>
      </c>
      <c r="B439" s="143">
        <v>43355</v>
      </c>
      <c r="C439">
        <v>146.57</v>
      </c>
      <c r="D439">
        <v>4.5066790000000001</v>
      </c>
      <c r="E439" s="143"/>
    </row>
    <row r="440" spans="1:5" x14ac:dyDescent="0.25">
      <c r="A440" t="s">
        <v>852</v>
      </c>
      <c r="B440" s="143">
        <v>43356</v>
      </c>
      <c r="C440">
        <v>148.94999999999999</v>
      </c>
      <c r="D440">
        <v>5.3465400000000001</v>
      </c>
      <c r="E440" s="143"/>
    </row>
    <row r="441" spans="1:5" x14ac:dyDescent="0.25">
      <c r="A441" t="s">
        <v>852</v>
      </c>
      <c r="B441" s="143">
        <v>43357</v>
      </c>
      <c r="C441">
        <v>148.33000000000001</v>
      </c>
      <c r="D441">
        <v>3.4521440000000001</v>
      </c>
      <c r="E441" s="143"/>
    </row>
    <row r="442" spans="1:5" x14ac:dyDescent="0.25">
      <c r="A442" t="s">
        <v>852</v>
      </c>
      <c r="B442" s="143">
        <v>43360</v>
      </c>
      <c r="C442">
        <v>147.94</v>
      </c>
      <c r="D442">
        <v>3.551882</v>
      </c>
      <c r="E442" s="143"/>
    </row>
    <row r="443" spans="1:5" x14ac:dyDescent="0.25">
      <c r="A443" t="s">
        <v>852</v>
      </c>
      <c r="B443" s="143">
        <v>43361</v>
      </c>
      <c r="C443">
        <v>148.56</v>
      </c>
      <c r="D443">
        <v>3.6295959999999998</v>
      </c>
      <c r="E443" s="143"/>
    </row>
    <row r="444" spans="1:5" x14ac:dyDescent="0.25">
      <c r="A444" t="s">
        <v>852</v>
      </c>
      <c r="B444" s="143">
        <v>43362</v>
      </c>
      <c r="C444">
        <v>149.06</v>
      </c>
      <c r="D444">
        <v>4.2463819999999997</v>
      </c>
      <c r="E444" s="143"/>
    </row>
    <row r="445" spans="1:5" x14ac:dyDescent="0.25">
      <c r="A445" t="s">
        <v>852</v>
      </c>
      <c r="B445" s="143">
        <v>43363</v>
      </c>
      <c r="C445">
        <v>151.15</v>
      </c>
      <c r="D445">
        <v>5.952223</v>
      </c>
      <c r="E445" s="143"/>
    </row>
    <row r="446" spans="1:5" x14ac:dyDescent="0.25">
      <c r="A446" t="s">
        <v>852</v>
      </c>
      <c r="B446" s="143">
        <v>43364</v>
      </c>
      <c r="C446">
        <v>151.35</v>
      </c>
      <c r="D446">
        <v>19.947877999999999</v>
      </c>
      <c r="E446" s="143"/>
    </row>
    <row r="447" spans="1:5" x14ac:dyDescent="0.25">
      <c r="A447" t="s">
        <v>852</v>
      </c>
      <c r="B447" s="143">
        <v>43367</v>
      </c>
      <c r="C447">
        <v>150.03</v>
      </c>
      <c r="D447">
        <v>4.2649840000000001</v>
      </c>
      <c r="E447" s="143"/>
    </row>
    <row r="448" spans="1:5" x14ac:dyDescent="0.25">
      <c r="A448" t="s">
        <v>852</v>
      </c>
      <c r="B448" s="143">
        <v>43368</v>
      </c>
      <c r="C448">
        <v>148.91</v>
      </c>
      <c r="D448">
        <v>4.3974570000000002</v>
      </c>
      <c r="E448" s="143"/>
    </row>
    <row r="449" spans="1:5" x14ac:dyDescent="0.25">
      <c r="A449" t="s">
        <v>852</v>
      </c>
      <c r="B449" s="143">
        <v>43369</v>
      </c>
      <c r="C449">
        <v>151.61000000000001</v>
      </c>
      <c r="D449">
        <v>7.4018620000000004</v>
      </c>
      <c r="E449" s="143"/>
    </row>
    <row r="450" spans="1:5" x14ac:dyDescent="0.25">
      <c r="A450" t="s">
        <v>852</v>
      </c>
      <c r="B450" s="143">
        <v>43370</v>
      </c>
      <c r="C450">
        <v>151.5</v>
      </c>
      <c r="D450">
        <v>3.477643</v>
      </c>
      <c r="E450" s="143"/>
    </row>
    <row r="451" spans="1:5" x14ac:dyDescent="0.25">
      <c r="A451" t="s">
        <v>852</v>
      </c>
      <c r="B451" s="143">
        <v>43371</v>
      </c>
      <c r="C451">
        <v>151.21</v>
      </c>
      <c r="D451">
        <v>3.3057979999999998</v>
      </c>
      <c r="E451" s="143"/>
    </row>
    <row r="452" spans="1:5" x14ac:dyDescent="0.25">
      <c r="A452" t="s">
        <v>852</v>
      </c>
      <c r="B452" s="143">
        <v>43374</v>
      </c>
      <c r="C452">
        <v>153</v>
      </c>
      <c r="D452">
        <v>3.7574190000000001</v>
      </c>
      <c r="E452" s="143"/>
    </row>
    <row r="453" spans="1:5" x14ac:dyDescent="0.25">
      <c r="A453" t="s">
        <v>852</v>
      </c>
      <c r="B453" s="143">
        <v>43375</v>
      </c>
      <c r="C453">
        <v>153.75</v>
      </c>
      <c r="D453">
        <v>3.030125</v>
      </c>
      <c r="E453" s="143"/>
    </row>
    <row r="454" spans="1:5" x14ac:dyDescent="0.25">
      <c r="A454" t="s">
        <v>852</v>
      </c>
      <c r="B454" s="143">
        <v>43376</v>
      </c>
      <c r="C454">
        <v>153.22</v>
      </c>
      <c r="D454">
        <v>3.3152979999999999</v>
      </c>
      <c r="E454" s="143"/>
    </row>
    <row r="455" spans="1:5" x14ac:dyDescent="0.25">
      <c r="A455" t="s">
        <v>852</v>
      </c>
      <c r="B455" s="143">
        <v>43377</v>
      </c>
      <c r="C455">
        <v>151.31</v>
      </c>
      <c r="D455">
        <v>4.238143</v>
      </c>
      <c r="E455" s="143"/>
    </row>
    <row r="456" spans="1:5" x14ac:dyDescent="0.25">
      <c r="A456" t="s">
        <v>852</v>
      </c>
      <c r="B456" s="143">
        <v>43378</v>
      </c>
      <c r="C456">
        <v>149.03</v>
      </c>
      <c r="D456">
        <v>4.602252</v>
      </c>
      <c r="E456" s="143"/>
    </row>
    <row r="457" spans="1:5" x14ac:dyDescent="0.25">
      <c r="A457" t="s">
        <v>852</v>
      </c>
      <c r="B457" s="143">
        <v>43381</v>
      </c>
      <c r="C457">
        <v>148.38999999999999</v>
      </c>
      <c r="D457">
        <v>3.239347</v>
      </c>
      <c r="E457" s="143"/>
    </row>
    <row r="458" spans="1:5" x14ac:dyDescent="0.25">
      <c r="A458" t="s">
        <v>852</v>
      </c>
      <c r="B458" s="143">
        <v>43382</v>
      </c>
      <c r="C458">
        <v>147.24</v>
      </c>
      <c r="D458">
        <v>3.642496</v>
      </c>
      <c r="E458" s="143"/>
    </row>
    <row r="459" spans="1:5" x14ac:dyDescent="0.25">
      <c r="A459" t="s">
        <v>852</v>
      </c>
      <c r="B459" s="143">
        <v>43383</v>
      </c>
      <c r="C459">
        <v>142.69</v>
      </c>
      <c r="D459">
        <v>5.5476970000000003</v>
      </c>
      <c r="E459" s="143"/>
    </row>
    <row r="460" spans="1:5" x14ac:dyDescent="0.25">
      <c r="A460" t="s">
        <v>852</v>
      </c>
      <c r="B460" s="143">
        <v>43384</v>
      </c>
      <c r="C460">
        <v>139.02000000000001</v>
      </c>
      <c r="D460">
        <v>8.7104909999999993</v>
      </c>
      <c r="E460" s="143"/>
    </row>
    <row r="461" spans="1:5" x14ac:dyDescent="0.25">
      <c r="A461" t="s">
        <v>852</v>
      </c>
      <c r="B461" s="143">
        <v>43385</v>
      </c>
      <c r="C461">
        <v>140.85</v>
      </c>
      <c r="D461">
        <v>6.5634030000000001</v>
      </c>
      <c r="E461" s="143"/>
    </row>
    <row r="462" spans="1:5" x14ac:dyDescent="0.25">
      <c r="A462" t="s">
        <v>852</v>
      </c>
      <c r="B462" s="143">
        <v>43388</v>
      </c>
      <c r="C462">
        <v>141.13</v>
      </c>
      <c r="D462">
        <v>4.9655329999999998</v>
      </c>
      <c r="E462" s="143"/>
    </row>
    <row r="463" spans="1:5" x14ac:dyDescent="0.25">
      <c r="A463" t="s">
        <v>852</v>
      </c>
      <c r="B463" s="143">
        <v>43389</v>
      </c>
      <c r="C463">
        <v>145.12</v>
      </c>
      <c r="D463">
        <v>8.6954890000000002</v>
      </c>
      <c r="E463" s="143"/>
    </row>
    <row r="464" spans="1:5" x14ac:dyDescent="0.25">
      <c r="A464" t="s">
        <v>852</v>
      </c>
      <c r="B464" s="143">
        <v>43390</v>
      </c>
      <c r="C464">
        <v>134.05000000000001</v>
      </c>
      <c r="D464">
        <v>19.463961999999999</v>
      </c>
      <c r="E464" s="143"/>
    </row>
    <row r="465" spans="1:12" x14ac:dyDescent="0.25">
      <c r="A465" t="s">
        <v>852</v>
      </c>
      <c r="B465" s="143">
        <v>43391</v>
      </c>
      <c r="C465">
        <v>130.55000000000001</v>
      </c>
      <c r="D465">
        <v>10.011678</v>
      </c>
      <c r="E465" s="143"/>
    </row>
    <row r="466" spans="1:12" x14ac:dyDescent="0.25">
      <c r="A466" t="s">
        <v>852</v>
      </c>
      <c r="B466" s="143">
        <v>43392</v>
      </c>
      <c r="C466">
        <v>129.1</v>
      </c>
      <c r="D466">
        <v>7.7916359999999996</v>
      </c>
      <c r="E466" s="143"/>
    </row>
    <row r="467" spans="1:12" x14ac:dyDescent="0.25">
      <c r="A467" t="s">
        <v>852</v>
      </c>
      <c r="B467" s="143">
        <v>43395</v>
      </c>
      <c r="C467">
        <v>130.02000000000001</v>
      </c>
      <c r="D467">
        <v>5.7195179999999999</v>
      </c>
      <c r="E467" s="143"/>
    </row>
    <row r="468" spans="1:12" x14ac:dyDescent="0.25">
      <c r="A468" t="s">
        <v>852</v>
      </c>
      <c r="B468" s="143">
        <v>43396</v>
      </c>
      <c r="C468">
        <v>131.21</v>
      </c>
      <c r="D468">
        <v>6.4635800000000003</v>
      </c>
      <c r="E468" s="143"/>
    </row>
    <row r="469" spans="1:12" x14ac:dyDescent="0.25">
      <c r="A469" t="s">
        <v>852</v>
      </c>
      <c r="B469" s="143">
        <v>43397</v>
      </c>
      <c r="C469">
        <v>127.21</v>
      </c>
      <c r="D469">
        <v>5.7103200000000003</v>
      </c>
      <c r="E469" s="143"/>
    </row>
    <row r="470" spans="1:12" x14ac:dyDescent="0.25">
      <c r="A470" t="s">
        <v>852</v>
      </c>
      <c r="B470" s="143">
        <v>43398</v>
      </c>
      <c r="C470">
        <v>126.45</v>
      </c>
      <c r="D470">
        <v>10.304327000000001</v>
      </c>
      <c r="E470" s="143"/>
    </row>
    <row r="471" spans="1:12" x14ac:dyDescent="0.25">
      <c r="A471" t="s">
        <v>852</v>
      </c>
      <c r="B471" s="143">
        <v>43399</v>
      </c>
      <c r="C471">
        <v>124.79</v>
      </c>
      <c r="D471">
        <v>8.7670290000000008</v>
      </c>
      <c r="E471" s="143"/>
    </row>
    <row r="472" spans="1:12" x14ac:dyDescent="0.25">
      <c r="A472" t="s">
        <v>852</v>
      </c>
      <c r="B472" s="143">
        <v>43402</v>
      </c>
      <c r="C472">
        <v>119.64</v>
      </c>
      <c r="D472">
        <v>20.450448000000002</v>
      </c>
      <c r="E472" s="143"/>
    </row>
    <row r="473" spans="1:12" x14ac:dyDescent="0.25">
      <c r="A473" t="s">
        <v>852</v>
      </c>
      <c r="B473" s="143">
        <v>43403</v>
      </c>
      <c r="C473">
        <v>115.4</v>
      </c>
      <c r="D473">
        <v>21.458594000000002</v>
      </c>
      <c r="E473" s="143"/>
    </row>
    <row r="474" spans="1:12" x14ac:dyDescent="0.25">
      <c r="A474" t="s">
        <v>852</v>
      </c>
      <c r="B474" s="143">
        <v>43404</v>
      </c>
      <c r="C474">
        <v>115.43</v>
      </c>
      <c r="D474">
        <v>21.644977999999998</v>
      </c>
      <c r="E474" s="143"/>
    </row>
    <row r="475" spans="1:12" x14ac:dyDescent="0.25">
      <c r="A475" t="s">
        <v>852</v>
      </c>
      <c r="B475" s="143">
        <v>43405</v>
      </c>
      <c r="C475">
        <v>116.83</v>
      </c>
      <c r="D475">
        <v>13.62673</v>
      </c>
      <c r="E475" s="143"/>
    </row>
    <row r="476" spans="1:12" x14ac:dyDescent="0.25">
      <c r="A476" t="s">
        <v>852</v>
      </c>
      <c r="B476" s="143">
        <v>43406</v>
      </c>
      <c r="C476">
        <v>115.67</v>
      </c>
      <c r="D476">
        <v>10.592681000000001</v>
      </c>
      <c r="E476" s="143"/>
    </row>
    <row r="477" spans="1:12" x14ac:dyDescent="0.25">
      <c r="A477" t="s">
        <v>852</v>
      </c>
      <c r="B477" s="143">
        <v>43409</v>
      </c>
      <c r="C477">
        <v>120.06</v>
      </c>
      <c r="D477">
        <v>9.1445980000000002</v>
      </c>
      <c r="E477" s="143"/>
    </row>
    <row r="478" spans="1:12" x14ac:dyDescent="0.25">
      <c r="A478" t="s">
        <v>852</v>
      </c>
      <c r="B478" s="143">
        <v>43410</v>
      </c>
      <c r="C478">
        <v>123.12</v>
      </c>
      <c r="D478">
        <v>9.5973919999999993</v>
      </c>
      <c r="E478" s="143"/>
    </row>
    <row r="479" spans="1:12" x14ac:dyDescent="0.25">
      <c r="A479" t="s">
        <v>852</v>
      </c>
      <c r="B479" s="143">
        <v>43411</v>
      </c>
      <c r="C479">
        <v>124.84</v>
      </c>
      <c r="D479">
        <v>12.382666</v>
      </c>
      <c r="E479" s="143"/>
    </row>
    <row r="480" spans="1:12" x14ac:dyDescent="0.25">
      <c r="A480" t="s">
        <v>852</v>
      </c>
      <c r="B480" s="143">
        <v>43412</v>
      </c>
      <c r="C480">
        <v>123.38</v>
      </c>
      <c r="D480">
        <v>10.396439000000001</v>
      </c>
      <c r="E480" s="143">
        <v>43444</v>
      </c>
      <c r="F480">
        <v>1.57</v>
      </c>
      <c r="G480" t="s">
        <v>683</v>
      </c>
      <c r="H480" t="s">
        <v>778</v>
      </c>
      <c r="I480" t="s">
        <v>687</v>
      </c>
      <c r="J480">
        <v>2018</v>
      </c>
      <c r="K480">
        <v>4</v>
      </c>
      <c r="L480">
        <v>1</v>
      </c>
    </row>
    <row r="481" spans="1:5" x14ac:dyDescent="0.25">
      <c r="A481" t="s">
        <v>852</v>
      </c>
      <c r="B481" s="143">
        <v>43413</v>
      </c>
      <c r="C481">
        <v>123.54</v>
      </c>
      <c r="D481">
        <v>6.9619020000000003</v>
      </c>
      <c r="E481" s="143"/>
    </row>
    <row r="482" spans="1:5" x14ac:dyDescent="0.25">
      <c r="A482" t="s">
        <v>852</v>
      </c>
      <c r="B482" s="143">
        <v>43416</v>
      </c>
      <c r="C482">
        <v>120.9</v>
      </c>
      <c r="D482">
        <v>5.3791130000000003</v>
      </c>
      <c r="E482" s="143"/>
    </row>
    <row r="483" spans="1:5" x14ac:dyDescent="0.25">
      <c r="A483" t="s">
        <v>852</v>
      </c>
      <c r="B483" s="143">
        <v>43417</v>
      </c>
      <c r="C483">
        <v>120.84</v>
      </c>
      <c r="D483">
        <v>4.0843850000000002</v>
      </c>
      <c r="E483" s="143"/>
    </row>
    <row r="484" spans="1:5" x14ac:dyDescent="0.25">
      <c r="A484" t="s">
        <v>852</v>
      </c>
      <c r="B484" s="143">
        <v>43418</v>
      </c>
      <c r="C484">
        <v>120.2</v>
      </c>
      <c r="D484">
        <v>4.7622749999999998</v>
      </c>
      <c r="E484" s="143"/>
    </row>
    <row r="485" spans="1:5" x14ac:dyDescent="0.25">
      <c r="A485" t="s">
        <v>852</v>
      </c>
      <c r="B485" s="143">
        <v>43419</v>
      </c>
      <c r="C485">
        <v>121.44</v>
      </c>
      <c r="D485">
        <v>5.207973</v>
      </c>
      <c r="E485" s="143"/>
    </row>
    <row r="486" spans="1:5" x14ac:dyDescent="0.25">
      <c r="A486" t="s">
        <v>852</v>
      </c>
      <c r="B486" s="143">
        <v>43420</v>
      </c>
      <c r="C486">
        <v>121.57</v>
      </c>
      <c r="D486">
        <v>4.0763150000000001</v>
      </c>
      <c r="E486" s="143"/>
    </row>
    <row r="487" spans="1:5" x14ac:dyDescent="0.25">
      <c r="A487" t="s">
        <v>852</v>
      </c>
      <c r="B487" s="143">
        <v>43423</v>
      </c>
      <c r="C487">
        <v>120.31</v>
      </c>
      <c r="D487">
        <v>4.1312379999999997</v>
      </c>
      <c r="E487" s="143"/>
    </row>
    <row r="488" spans="1:5" x14ac:dyDescent="0.25">
      <c r="A488" t="s">
        <v>852</v>
      </c>
      <c r="B488" s="143">
        <v>43424</v>
      </c>
      <c r="C488">
        <v>117.2</v>
      </c>
      <c r="D488">
        <v>6.2337769999999999</v>
      </c>
      <c r="E488" s="143"/>
    </row>
    <row r="489" spans="1:5" x14ac:dyDescent="0.25">
      <c r="A489" t="s">
        <v>852</v>
      </c>
      <c r="B489" s="143">
        <v>43425</v>
      </c>
      <c r="C489">
        <v>118.57</v>
      </c>
      <c r="D489">
        <v>5.3358420000000004</v>
      </c>
      <c r="E489" s="143"/>
    </row>
    <row r="490" spans="1:5" x14ac:dyDescent="0.25">
      <c r="A490" t="s">
        <v>852</v>
      </c>
      <c r="B490" s="143">
        <v>43427</v>
      </c>
      <c r="C490">
        <v>117.19</v>
      </c>
      <c r="D490">
        <v>2.33473</v>
      </c>
      <c r="E490" s="143"/>
    </row>
    <row r="491" spans="1:5" x14ac:dyDescent="0.25">
      <c r="A491" t="s">
        <v>852</v>
      </c>
      <c r="B491" s="143">
        <v>43430</v>
      </c>
      <c r="C491">
        <v>119.56</v>
      </c>
      <c r="D491">
        <v>5.0111299999999996</v>
      </c>
      <c r="E491" s="143"/>
    </row>
    <row r="492" spans="1:5" x14ac:dyDescent="0.25">
      <c r="A492" t="s">
        <v>852</v>
      </c>
      <c r="B492" s="143">
        <v>43431</v>
      </c>
      <c r="C492">
        <v>120.03</v>
      </c>
      <c r="D492">
        <v>4.9037709999999999</v>
      </c>
      <c r="E492" s="143"/>
    </row>
    <row r="493" spans="1:5" x14ac:dyDescent="0.25">
      <c r="A493" t="s">
        <v>852</v>
      </c>
      <c r="B493" s="143">
        <v>43432</v>
      </c>
      <c r="C493">
        <v>123</v>
      </c>
      <c r="D493">
        <v>5.1045199999999999</v>
      </c>
      <c r="E493" s="143"/>
    </row>
    <row r="494" spans="1:5" x14ac:dyDescent="0.25">
      <c r="A494" t="s">
        <v>852</v>
      </c>
      <c r="B494" s="143">
        <v>43433</v>
      </c>
      <c r="C494">
        <v>121.48</v>
      </c>
      <c r="D494">
        <v>5.200113</v>
      </c>
      <c r="E494" s="143"/>
    </row>
    <row r="495" spans="1:5" x14ac:dyDescent="0.25">
      <c r="A495" t="s">
        <v>852</v>
      </c>
      <c r="B495" s="143">
        <v>43434</v>
      </c>
      <c r="C495">
        <v>124.27</v>
      </c>
      <c r="D495">
        <v>7.2515900000000002</v>
      </c>
      <c r="E495" s="143"/>
    </row>
    <row r="496" spans="1:5" x14ac:dyDescent="0.25">
      <c r="A496" t="s">
        <v>852</v>
      </c>
      <c r="B496" s="143">
        <v>43437</v>
      </c>
      <c r="C496">
        <v>125.31</v>
      </c>
      <c r="D496">
        <v>5.8431119999999996</v>
      </c>
      <c r="E496" s="143"/>
    </row>
    <row r="497" spans="1:5" x14ac:dyDescent="0.25">
      <c r="A497" t="s">
        <v>852</v>
      </c>
      <c r="B497" s="143">
        <v>43438</v>
      </c>
      <c r="C497">
        <v>121.6</v>
      </c>
      <c r="D497">
        <v>6.0006969999999997</v>
      </c>
      <c r="E497" s="143"/>
    </row>
    <row r="498" spans="1:5" x14ac:dyDescent="0.25">
      <c r="A498" t="s">
        <v>852</v>
      </c>
      <c r="B498" s="143">
        <v>43440</v>
      </c>
      <c r="C498">
        <v>123.91</v>
      </c>
      <c r="D498">
        <v>6.9380490000000004</v>
      </c>
      <c r="E498" s="143"/>
    </row>
    <row r="499" spans="1:5" x14ac:dyDescent="0.25">
      <c r="A499" t="s">
        <v>852</v>
      </c>
      <c r="B499" s="143">
        <v>43441</v>
      </c>
      <c r="C499">
        <v>119.34</v>
      </c>
      <c r="D499">
        <v>7.0196160000000001</v>
      </c>
      <c r="E499" s="143"/>
    </row>
    <row r="500" spans="1:5" x14ac:dyDescent="0.25">
      <c r="A500" t="s">
        <v>852</v>
      </c>
      <c r="B500" s="143">
        <v>43444</v>
      </c>
      <c r="C500">
        <v>121.13</v>
      </c>
      <c r="D500">
        <v>6.549506</v>
      </c>
      <c r="E500" s="143"/>
    </row>
    <row r="501" spans="1:5" x14ac:dyDescent="0.25">
      <c r="A501" t="s">
        <v>852</v>
      </c>
      <c r="B501" s="143">
        <v>43445</v>
      </c>
      <c r="C501">
        <v>120.89</v>
      </c>
      <c r="D501">
        <v>5.0430809999999999</v>
      </c>
      <c r="E501" s="143"/>
    </row>
    <row r="502" spans="1:5" x14ac:dyDescent="0.25">
      <c r="A502" t="s">
        <v>852</v>
      </c>
      <c r="B502" s="143">
        <v>43446</v>
      </c>
      <c r="C502">
        <v>121.16</v>
      </c>
      <c r="D502">
        <v>3.5607899999999999</v>
      </c>
      <c r="E502" s="143"/>
    </row>
    <row r="503" spans="1:5" x14ac:dyDescent="0.25">
      <c r="A503" t="s">
        <v>852</v>
      </c>
      <c r="B503" s="143">
        <v>43447</v>
      </c>
      <c r="C503">
        <v>120.73</v>
      </c>
      <c r="D503">
        <v>3.9935969999999998</v>
      </c>
      <c r="E503" s="143"/>
    </row>
    <row r="504" spans="1:5" x14ac:dyDescent="0.25">
      <c r="A504" t="s">
        <v>852</v>
      </c>
      <c r="B504" s="143">
        <v>43448</v>
      </c>
      <c r="C504">
        <v>119.9</v>
      </c>
      <c r="D504">
        <v>4.5542040000000004</v>
      </c>
      <c r="E504" s="143"/>
    </row>
    <row r="505" spans="1:5" x14ac:dyDescent="0.25">
      <c r="A505" t="s">
        <v>852</v>
      </c>
      <c r="B505" s="143">
        <v>43451</v>
      </c>
      <c r="C505">
        <v>116.1</v>
      </c>
      <c r="D505">
        <v>7.3744759999999996</v>
      </c>
      <c r="E505" s="143"/>
    </row>
    <row r="506" spans="1:5" x14ac:dyDescent="0.25">
      <c r="A506" t="s">
        <v>852</v>
      </c>
      <c r="B506" s="143">
        <v>43452</v>
      </c>
      <c r="C506">
        <v>116.65</v>
      </c>
      <c r="D506">
        <v>6.2901860000000003</v>
      </c>
      <c r="E506" s="143"/>
    </row>
    <row r="507" spans="1:5" x14ac:dyDescent="0.25">
      <c r="A507" t="s">
        <v>852</v>
      </c>
      <c r="B507" s="143">
        <v>43453</v>
      </c>
      <c r="C507">
        <v>116.43</v>
      </c>
      <c r="D507">
        <v>6.9798229999999997</v>
      </c>
      <c r="E507" s="143"/>
    </row>
    <row r="508" spans="1:5" x14ac:dyDescent="0.25">
      <c r="A508" t="s">
        <v>852</v>
      </c>
      <c r="B508" s="143">
        <v>43454</v>
      </c>
      <c r="C508">
        <v>113.02</v>
      </c>
      <c r="D508">
        <v>8.4543499999999998</v>
      </c>
      <c r="E508" s="143"/>
    </row>
    <row r="509" spans="1:5" x14ac:dyDescent="0.25">
      <c r="A509" t="s">
        <v>852</v>
      </c>
      <c r="B509" s="143">
        <v>43455</v>
      </c>
      <c r="C509">
        <v>110.94</v>
      </c>
      <c r="D509">
        <v>10.386452999999999</v>
      </c>
      <c r="E509" s="143"/>
    </row>
    <row r="510" spans="1:5" x14ac:dyDescent="0.25">
      <c r="A510" t="s">
        <v>852</v>
      </c>
      <c r="B510" s="143">
        <v>43458</v>
      </c>
      <c r="C510">
        <v>107.57</v>
      </c>
      <c r="D510">
        <v>3.8213759999999999</v>
      </c>
      <c r="E510" s="143"/>
    </row>
    <row r="511" spans="1:5" x14ac:dyDescent="0.25">
      <c r="A511" t="s">
        <v>852</v>
      </c>
      <c r="B511" s="143">
        <v>43460</v>
      </c>
      <c r="C511">
        <v>111.39</v>
      </c>
      <c r="D511">
        <v>6.6457940000000004</v>
      </c>
      <c r="E511" s="143"/>
    </row>
    <row r="512" spans="1:5" x14ac:dyDescent="0.25">
      <c r="A512" t="s">
        <v>852</v>
      </c>
      <c r="B512" s="143">
        <v>43461</v>
      </c>
      <c r="C512">
        <v>113.78</v>
      </c>
      <c r="D512">
        <v>6.0455899999999998</v>
      </c>
      <c r="E512" s="143"/>
    </row>
    <row r="513" spans="1:5" x14ac:dyDescent="0.25">
      <c r="A513" t="s">
        <v>852</v>
      </c>
      <c r="B513" s="143">
        <v>43462</v>
      </c>
      <c r="C513">
        <v>113.03</v>
      </c>
      <c r="D513">
        <v>5.1175329999999999</v>
      </c>
      <c r="E513" s="143"/>
    </row>
    <row r="514" spans="1:5" x14ac:dyDescent="0.25">
      <c r="A514" t="s">
        <v>852</v>
      </c>
      <c r="B514" s="143">
        <v>43465</v>
      </c>
      <c r="C514">
        <v>113.67</v>
      </c>
      <c r="D514">
        <v>4.982755</v>
      </c>
      <c r="E514" s="143"/>
    </row>
    <row r="515" spans="1:5" x14ac:dyDescent="0.25">
      <c r="A515" t="s">
        <v>852</v>
      </c>
      <c r="B515" s="143">
        <v>43467</v>
      </c>
      <c r="C515">
        <v>115.21</v>
      </c>
      <c r="D515">
        <v>4.2399240000000002</v>
      </c>
      <c r="E515" s="143"/>
    </row>
    <row r="516" spans="1:5" x14ac:dyDescent="0.25">
      <c r="A516" t="s">
        <v>852</v>
      </c>
      <c r="B516" s="143">
        <v>43468</v>
      </c>
      <c r="C516">
        <v>112.91</v>
      </c>
      <c r="D516">
        <v>4.3466589999999998</v>
      </c>
      <c r="E516" s="143"/>
    </row>
    <row r="517" spans="1:5" x14ac:dyDescent="0.25">
      <c r="A517" t="s">
        <v>852</v>
      </c>
      <c r="B517" s="143">
        <v>43469</v>
      </c>
      <c r="C517">
        <v>117.32</v>
      </c>
      <c r="D517">
        <v>4.4777550000000002</v>
      </c>
      <c r="E517" s="143"/>
    </row>
    <row r="518" spans="1:5" x14ac:dyDescent="0.25">
      <c r="A518" t="s">
        <v>852</v>
      </c>
      <c r="B518" s="143">
        <v>43472</v>
      </c>
      <c r="C518">
        <v>118.15</v>
      </c>
      <c r="D518">
        <v>3.751204</v>
      </c>
      <c r="E518" s="143"/>
    </row>
    <row r="519" spans="1:5" x14ac:dyDescent="0.25">
      <c r="A519" t="s">
        <v>852</v>
      </c>
      <c r="B519" s="143">
        <v>43473</v>
      </c>
      <c r="C519">
        <v>119.83</v>
      </c>
      <c r="D519">
        <v>4.763636</v>
      </c>
      <c r="E519" s="143"/>
    </row>
    <row r="520" spans="1:5" x14ac:dyDescent="0.25">
      <c r="A520" t="s">
        <v>852</v>
      </c>
      <c r="B520" s="143">
        <v>43474</v>
      </c>
      <c r="C520">
        <v>120.69</v>
      </c>
      <c r="D520">
        <v>3.6336629999999999</v>
      </c>
      <c r="E520" s="143"/>
    </row>
    <row r="521" spans="1:5" x14ac:dyDescent="0.25">
      <c r="A521" t="s">
        <v>852</v>
      </c>
      <c r="B521" s="143">
        <v>43475</v>
      </c>
      <c r="C521">
        <v>121.79</v>
      </c>
      <c r="D521">
        <v>3.9099710000000001</v>
      </c>
      <c r="E521" s="143"/>
    </row>
    <row r="522" spans="1:5" x14ac:dyDescent="0.25">
      <c r="A522" t="s">
        <v>852</v>
      </c>
      <c r="B522" s="143">
        <v>43476</v>
      </c>
      <c r="C522">
        <v>121.46</v>
      </c>
      <c r="D522">
        <v>3.7223700000000002</v>
      </c>
      <c r="E522" s="143"/>
    </row>
    <row r="523" spans="1:5" x14ac:dyDescent="0.25">
      <c r="A523" t="s">
        <v>852</v>
      </c>
      <c r="B523" s="143">
        <v>43479</v>
      </c>
      <c r="C523">
        <v>120.39</v>
      </c>
      <c r="D523">
        <v>5.2289089999999998</v>
      </c>
      <c r="E523" s="143"/>
    </row>
    <row r="524" spans="1:5" x14ac:dyDescent="0.25">
      <c r="A524" t="s">
        <v>852</v>
      </c>
      <c r="B524" s="143">
        <v>43480</v>
      </c>
      <c r="C524">
        <v>121.73</v>
      </c>
      <c r="D524">
        <v>3.5077189999999998</v>
      </c>
      <c r="E524" s="143"/>
    </row>
    <row r="525" spans="1:5" x14ac:dyDescent="0.25">
      <c r="A525" t="s">
        <v>852</v>
      </c>
      <c r="B525" s="143">
        <v>43481</v>
      </c>
      <c r="C525">
        <v>121.62</v>
      </c>
      <c r="D525">
        <v>3.8411</v>
      </c>
      <c r="E525" s="143"/>
    </row>
    <row r="526" spans="1:5" x14ac:dyDescent="0.25">
      <c r="A526" t="s">
        <v>852</v>
      </c>
      <c r="B526" s="143">
        <v>43482</v>
      </c>
      <c r="C526">
        <v>122.19</v>
      </c>
      <c r="D526">
        <v>5.029871</v>
      </c>
      <c r="E526" s="143"/>
    </row>
    <row r="527" spans="1:5" x14ac:dyDescent="0.25">
      <c r="A527" t="s">
        <v>852</v>
      </c>
      <c r="B527" s="143">
        <v>43483</v>
      </c>
      <c r="C527">
        <v>123.82</v>
      </c>
      <c r="D527">
        <v>6.0085090000000001</v>
      </c>
      <c r="E527" s="143"/>
    </row>
    <row r="528" spans="1:5" x14ac:dyDescent="0.25">
      <c r="A528" t="s">
        <v>852</v>
      </c>
      <c r="B528" s="143">
        <v>43487</v>
      </c>
      <c r="C528">
        <v>122.52</v>
      </c>
      <c r="D528">
        <v>10.052384</v>
      </c>
      <c r="E528" s="143"/>
    </row>
    <row r="529" spans="1:12" x14ac:dyDescent="0.25">
      <c r="A529" t="s">
        <v>852</v>
      </c>
      <c r="B529" s="143">
        <v>43488</v>
      </c>
      <c r="C529">
        <v>132.88999999999999</v>
      </c>
      <c r="D529">
        <v>22.063666000000001</v>
      </c>
      <c r="E529" s="143"/>
    </row>
    <row r="530" spans="1:12" x14ac:dyDescent="0.25">
      <c r="A530" t="s">
        <v>852</v>
      </c>
      <c r="B530" s="143">
        <v>43489</v>
      </c>
      <c r="C530">
        <v>132.53</v>
      </c>
      <c r="D530">
        <v>6.3229280000000001</v>
      </c>
      <c r="E530" s="143"/>
    </row>
    <row r="531" spans="1:12" x14ac:dyDescent="0.25">
      <c r="A531" t="s">
        <v>852</v>
      </c>
      <c r="B531" s="143">
        <v>43490</v>
      </c>
      <c r="C531">
        <v>133.97</v>
      </c>
      <c r="D531">
        <v>5.7084999999999999</v>
      </c>
      <c r="E531" s="143"/>
    </row>
    <row r="532" spans="1:12" x14ac:dyDescent="0.25">
      <c r="A532" t="s">
        <v>852</v>
      </c>
      <c r="B532" s="143">
        <v>43493</v>
      </c>
      <c r="C532">
        <v>134.27000000000001</v>
      </c>
      <c r="D532">
        <v>5.3577360000000001</v>
      </c>
      <c r="E532" s="143"/>
    </row>
    <row r="533" spans="1:12" x14ac:dyDescent="0.25">
      <c r="A533" t="s">
        <v>852</v>
      </c>
      <c r="B533" s="143">
        <v>43494</v>
      </c>
      <c r="C533">
        <v>134.33000000000001</v>
      </c>
      <c r="D533">
        <v>5.0371290000000002</v>
      </c>
      <c r="E533" s="143"/>
    </row>
    <row r="534" spans="1:12" x14ac:dyDescent="0.25">
      <c r="A534" t="s">
        <v>852</v>
      </c>
      <c r="B534" s="143">
        <v>43495</v>
      </c>
      <c r="C534">
        <v>134.38</v>
      </c>
      <c r="D534">
        <v>4.5009189999999997</v>
      </c>
      <c r="E534" s="143"/>
    </row>
    <row r="535" spans="1:12" x14ac:dyDescent="0.25">
      <c r="A535" t="s">
        <v>852</v>
      </c>
      <c r="B535" s="143">
        <v>43496</v>
      </c>
      <c r="C535">
        <v>134.41999999999999</v>
      </c>
      <c r="D535">
        <v>4.8840310000000002</v>
      </c>
      <c r="E535" s="143"/>
    </row>
    <row r="536" spans="1:12" x14ac:dyDescent="0.25">
      <c r="A536" t="s">
        <v>852</v>
      </c>
      <c r="B536" s="143">
        <v>43497</v>
      </c>
      <c r="C536">
        <v>134.1</v>
      </c>
      <c r="D536">
        <v>3.806047</v>
      </c>
      <c r="E536" s="143"/>
    </row>
    <row r="537" spans="1:12" x14ac:dyDescent="0.25">
      <c r="A537" t="s">
        <v>852</v>
      </c>
      <c r="B537" s="143">
        <v>43500</v>
      </c>
      <c r="C537">
        <v>135.19</v>
      </c>
      <c r="D537">
        <v>3.9665970000000002</v>
      </c>
      <c r="E537" s="143"/>
    </row>
    <row r="538" spans="1:12" x14ac:dyDescent="0.25">
      <c r="A538" t="s">
        <v>852</v>
      </c>
      <c r="B538" s="143">
        <v>43501</v>
      </c>
      <c r="C538">
        <v>135.55000000000001</v>
      </c>
      <c r="D538">
        <v>5.3989070000000003</v>
      </c>
      <c r="E538" s="143"/>
    </row>
    <row r="539" spans="1:12" x14ac:dyDescent="0.25">
      <c r="A539" t="s">
        <v>852</v>
      </c>
      <c r="B539" s="143">
        <v>43502</v>
      </c>
      <c r="C539">
        <v>136.32</v>
      </c>
      <c r="D539">
        <v>4.87967</v>
      </c>
      <c r="E539" s="143"/>
    </row>
    <row r="540" spans="1:12" x14ac:dyDescent="0.25">
      <c r="A540" t="s">
        <v>852</v>
      </c>
      <c r="B540" s="143">
        <v>43503</v>
      </c>
      <c r="C540">
        <v>133.19</v>
      </c>
      <c r="D540">
        <v>4.3794389999999996</v>
      </c>
      <c r="E540" s="143">
        <v>43533</v>
      </c>
      <c r="F540">
        <v>1.57</v>
      </c>
      <c r="G540" t="s">
        <v>683</v>
      </c>
      <c r="H540" t="s">
        <v>778</v>
      </c>
      <c r="I540" t="s">
        <v>687</v>
      </c>
      <c r="J540">
        <v>2019</v>
      </c>
      <c r="K540">
        <v>1</v>
      </c>
      <c r="L540">
        <v>6</v>
      </c>
    </row>
    <row r="541" spans="1:12" x14ac:dyDescent="0.25">
      <c r="A541" t="s">
        <v>852</v>
      </c>
      <c r="B541" s="143">
        <v>43504</v>
      </c>
      <c r="C541">
        <v>133.71</v>
      </c>
      <c r="D541">
        <v>3.2500740000000001</v>
      </c>
      <c r="E541" s="143"/>
    </row>
    <row r="542" spans="1:12" x14ac:dyDescent="0.25">
      <c r="A542" t="s">
        <v>852</v>
      </c>
      <c r="B542" s="143">
        <v>43507</v>
      </c>
      <c r="C542">
        <v>133.99</v>
      </c>
      <c r="D542">
        <v>3.0950690000000001</v>
      </c>
      <c r="E542" s="143"/>
    </row>
    <row r="543" spans="1:12" x14ac:dyDescent="0.25">
      <c r="A543" t="s">
        <v>852</v>
      </c>
      <c r="B543" s="143">
        <v>43508</v>
      </c>
      <c r="C543">
        <v>136.05000000000001</v>
      </c>
      <c r="D543">
        <v>3.317161</v>
      </c>
      <c r="E543" s="143"/>
    </row>
    <row r="544" spans="1:12" x14ac:dyDescent="0.25">
      <c r="A544" t="s">
        <v>852</v>
      </c>
      <c r="B544" s="143">
        <v>43509</v>
      </c>
      <c r="C544">
        <v>137.52000000000001</v>
      </c>
      <c r="D544">
        <v>4.2530419999999998</v>
      </c>
      <c r="E544" s="143"/>
    </row>
    <row r="545" spans="1:5" x14ac:dyDescent="0.25">
      <c r="A545" t="s">
        <v>852</v>
      </c>
      <c r="B545" s="143">
        <v>43510</v>
      </c>
      <c r="C545">
        <v>136.47999999999999</v>
      </c>
      <c r="D545">
        <v>2.7898390000000002</v>
      </c>
      <c r="E545" s="143"/>
    </row>
    <row r="546" spans="1:5" x14ac:dyDescent="0.25">
      <c r="A546" t="s">
        <v>852</v>
      </c>
      <c r="B546" s="143">
        <v>43511</v>
      </c>
      <c r="C546">
        <v>138.03</v>
      </c>
      <c r="D546">
        <v>3.8440620000000001</v>
      </c>
      <c r="E546" s="143"/>
    </row>
    <row r="547" spans="1:5" x14ac:dyDescent="0.25">
      <c r="A547" t="s">
        <v>852</v>
      </c>
      <c r="B547" s="143">
        <v>43515</v>
      </c>
      <c r="C547">
        <v>138.69999999999999</v>
      </c>
      <c r="D547">
        <v>3.385675</v>
      </c>
      <c r="E547" s="143"/>
    </row>
    <row r="548" spans="1:5" x14ac:dyDescent="0.25">
      <c r="A548" t="s">
        <v>852</v>
      </c>
      <c r="B548" s="143">
        <v>43516</v>
      </c>
      <c r="C548">
        <v>138</v>
      </c>
      <c r="D548">
        <v>3.8019790000000002</v>
      </c>
      <c r="E548" s="143"/>
    </row>
    <row r="549" spans="1:5" x14ac:dyDescent="0.25">
      <c r="A549" t="s">
        <v>852</v>
      </c>
      <c r="B549" s="143">
        <v>43517</v>
      </c>
      <c r="C549">
        <v>137.84</v>
      </c>
      <c r="D549">
        <v>2.9374669999999998</v>
      </c>
      <c r="E549" s="143"/>
    </row>
    <row r="550" spans="1:5" x14ac:dyDescent="0.25">
      <c r="A550" t="s">
        <v>852</v>
      </c>
      <c r="B550" s="143">
        <v>43518</v>
      </c>
      <c r="C550">
        <v>139.25</v>
      </c>
      <c r="D550">
        <v>3.1136979999999999</v>
      </c>
      <c r="E550" s="143"/>
    </row>
    <row r="551" spans="1:5" x14ac:dyDescent="0.25">
      <c r="A551" t="s">
        <v>852</v>
      </c>
      <c r="B551" s="143">
        <v>43521</v>
      </c>
      <c r="C551">
        <v>139.46</v>
      </c>
      <c r="D551">
        <v>3.1941609999999998</v>
      </c>
      <c r="E551" s="143"/>
    </row>
    <row r="552" spans="1:5" x14ac:dyDescent="0.25">
      <c r="A552" t="s">
        <v>852</v>
      </c>
      <c r="B552" s="143">
        <v>43522</v>
      </c>
      <c r="C552">
        <v>139.72</v>
      </c>
      <c r="D552">
        <v>3.060381</v>
      </c>
      <c r="E552" s="143"/>
    </row>
    <row r="553" spans="1:5" x14ac:dyDescent="0.25">
      <c r="A553" t="s">
        <v>852</v>
      </c>
      <c r="B553" s="143">
        <v>43523</v>
      </c>
      <c r="C553">
        <v>139.16999999999999</v>
      </c>
      <c r="D553">
        <v>2.5309680000000001</v>
      </c>
      <c r="E553" s="143"/>
    </row>
    <row r="554" spans="1:5" x14ac:dyDescent="0.25">
      <c r="A554" t="s">
        <v>852</v>
      </c>
      <c r="B554" s="143">
        <v>43524</v>
      </c>
      <c r="C554">
        <v>138.13</v>
      </c>
      <c r="D554">
        <v>3.4577879999999999</v>
      </c>
      <c r="E554" s="143"/>
    </row>
    <row r="555" spans="1:5" x14ac:dyDescent="0.25">
      <c r="A555" t="s">
        <v>852</v>
      </c>
      <c r="B555" s="143">
        <v>43525</v>
      </c>
      <c r="C555">
        <v>139.19999999999999</v>
      </c>
      <c r="D555">
        <v>3.0300440000000002</v>
      </c>
      <c r="E555" s="143"/>
    </row>
    <row r="556" spans="1:5" x14ac:dyDescent="0.25">
      <c r="A556" t="s">
        <v>852</v>
      </c>
      <c r="B556" s="143">
        <v>43528</v>
      </c>
      <c r="C556">
        <v>138.43</v>
      </c>
      <c r="D556">
        <v>3.4072170000000002</v>
      </c>
      <c r="E556" s="143"/>
    </row>
    <row r="557" spans="1:5" x14ac:dyDescent="0.25">
      <c r="A557" t="s">
        <v>852</v>
      </c>
      <c r="B557" s="143">
        <v>43529</v>
      </c>
      <c r="C557">
        <v>137.88</v>
      </c>
      <c r="D557">
        <v>4.2506500000000003</v>
      </c>
      <c r="E557" s="143"/>
    </row>
    <row r="558" spans="1:5" x14ac:dyDescent="0.25">
      <c r="A558" t="s">
        <v>852</v>
      </c>
      <c r="B558" s="143">
        <v>43530</v>
      </c>
      <c r="C558">
        <v>136.97999999999999</v>
      </c>
      <c r="D558">
        <v>2.768256</v>
      </c>
      <c r="E558" s="143"/>
    </row>
    <row r="559" spans="1:5" x14ac:dyDescent="0.25">
      <c r="A559" t="s">
        <v>852</v>
      </c>
      <c r="B559" s="143">
        <v>43531</v>
      </c>
      <c r="C559">
        <v>135.36000000000001</v>
      </c>
      <c r="D559">
        <v>4.3588019999999998</v>
      </c>
      <c r="E559" s="143"/>
    </row>
    <row r="560" spans="1:5" x14ac:dyDescent="0.25">
      <c r="A560" t="s">
        <v>852</v>
      </c>
      <c r="B560" s="143">
        <v>43532</v>
      </c>
      <c r="C560">
        <v>135.09</v>
      </c>
      <c r="D560">
        <v>3.7737219999999998</v>
      </c>
      <c r="E560" s="143"/>
    </row>
    <row r="561" spans="1:5" x14ac:dyDescent="0.25">
      <c r="A561" t="s">
        <v>852</v>
      </c>
      <c r="B561" s="143">
        <v>43535</v>
      </c>
      <c r="C561">
        <v>137.71</v>
      </c>
      <c r="D561">
        <v>3.9395169999999999</v>
      </c>
      <c r="E561" s="143"/>
    </row>
    <row r="562" spans="1:5" x14ac:dyDescent="0.25">
      <c r="A562" t="s">
        <v>852</v>
      </c>
      <c r="B562" s="143">
        <v>43536</v>
      </c>
      <c r="C562">
        <v>138.28</v>
      </c>
      <c r="D562">
        <v>3.954653</v>
      </c>
      <c r="E562" s="143"/>
    </row>
    <row r="563" spans="1:5" x14ac:dyDescent="0.25">
      <c r="A563" t="s">
        <v>852</v>
      </c>
      <c r="B563" s="143">
        <v>43537</v>
      </c>
      <c r="C563">
        <v>138.56</v>
      </c>
      <c r="D563">
        <v>3.1731790000000002</v>
      </c>
      <c r="E563" s="143"/>
    </row>
    <row r="564" spans="1:5" x14ac:dyDescent="0.25">
      <c r="A564" t="s">
        <v>852</v>
      </c>
      <c r="B564" s="143">
        <v>43538</v>
      </c>
      <c r="C564">
        <v>138.79</v>
      </c>
      <c r="D564">
        <v>2.7387899999999998</v>
      </c>
      <c r="E564" s="143"/>
    </row>
    <row r="565" spans="1:5" x14ac:dyDescent="0.25">
      <c r="A565" t="s">
        <v>852</v>
      </c>
      <c r="B565" s="143">
        <v>43539</v>
      </c>
      <c r="C565">
        <v>139.43</v>
      </c>
      <c r="D565">
        <v>7.1536869999999997</v>
      </c>
      <c r="E565" s="143"/>
    </row>
    <row r="566" spans="1:5" x14ac:dyDescent="0.25">
      <c r="A566" t="s">
        <v>852</v>
      </c>
      <c r="B566" s="143">
        <v>43542</v>
      </c>
      <c r="C566">
        <v>140.21</v>
      </c>
      <c r="D566">
        <v>3.26851</v>
      </c>
      <c r="E566" s="143"/>
    </row>
    <row r="567" spans="1:5" x14ac:dyDescent="0.25">
      <c r="A567" t="s">
        <v>852</v>
      </c>
      <c r="B567" s="143">
        <v>43543</v>
      </c>
      <c r="C567">
        <v>140.49</v>
      </c>
      <c r="D567">
        <v>3.4823360000000001</v>
      </c>
      <c r="E567" s="143"/>
    </row>
    <row r="568" spans="1:5" x14ac:dyDescent="0.25">
      <c r="A568" t="s">
        <v>852</v>
      </c>
      <c r="B568" s="143">
        <v>43544</v>
      </c>
      <c r="C568">
        <v>139.6</v>
      </c>
      <c r="D568">
        <v>3.6494550000000001</v>
      </c>
      <c r="E568" s="143"/>
    </row>
    <row r="569" spans="1:5" x14ac:dyDescent="0.25">
      <c r="A569" t="s">
        <v>852</v>
      </c>
      <c r="B569" s="143">
        <v>43545</v>
      </c>
      <c r="C569">
        <v>141.44</v>
      </c>
      <c r="D569">
        <v>3.6054200000000001</v>
      </c>
      <c r="E569" s="143"/>
    </row>
    <row r="570" spans="1:5" x14ac:dyDescent="0.25">
      <c r="A570" t="s">
        <v>852</v>
      </c>
      <c r="B570" s="143">
        <v>43546</v>
      </c>
      <c r="C570">
        <v>139.44999999999999</v>
      </c>
      <c r="D570">
        <v>3.8776160000000002</v>
      </c>
      <c r="E570" s="143"/>
    </row>
    <row r="571" spans="1:5" x14ac:dyDescent="0.25">
      <c r="A571" t="s">
        <v>852</v>
      </c>
      <c r="B571" s="143">
        <v>43549</v>
      </c>
      <c r="C571">
        <v>139.18</v>
      </c>
      <c r="D571">
        <v>2.839766</v>
      </c>
      <c r="E571" s="143"/>
    </row>
    <row r="572" spans="1:5" x14ac:dyDescent="0.25">
      <c r="A572" t="s">
        <v>852</v>
      </c>
      <c r="B572" s="143">
        <v>43550</v>
      </c>
      <c r="C572">
        <v>140.22</v>
      </c>
      <c r="D572">
        <v>2.5537079999999999</v>
      </c>
      <c r="E572" s="143"/>
    </row>
    <row r="573" spans="1:5" x14ac:dyDescent="0.25">
      <c r="A573" t="s">
        <v>852</v>
      </c>
      <c r="B573" s="143">
        <v>43551</v>
      </c>
      <c r="C573">
        <v>139.24</v>
      </c>
      <c r="D573">
        <v>3.098233</v>
      </c>
      <c r="E573" s="143"/>
    </row>
    <row r="574" spans="1:5" x14ac:dyDescent="0.25">
      <c r="A574" t="s">
        <v>852</v>
      </c>
      <c r="B574" s="143">
        <v>43552</v>
      </c>
      <c r="C574">
        <v>139.91999999999999</v>
      </c>
      <c r="D574">
        <v>2.6638839999999999</v>
      </c>
      <c r="E574" s="143"/>
    </row>
    <row r="575" spans="1:5" x14ac:dyDescent="0.25">
      <c r="A575" t="s">
        <v>852</v>
      </c>
      <c r="B575" s="143">
        <v>43553</v>
      </c>
      <c r="C575">
        <v>141.1</v>
      </c>
      <c r="D575">
        <v>3.1014539999999999</v>
      </c>
      <c r="E575" s="143"/>
    </row>
    <row r="576" spans="1:5" x14ac:dyDescent="0.25">
      <c r="A576" t="s">
        <v>852</v>
      </c>
      <c r="B576" s="143">
        <v>43556</v>
      </c>
      <c r="C576">
        <v>143.30000000000001</v>
      </c>
      <c r="D576">
        <v>3.9842499999999998</v>
      </c>
      <c r="E576" s="143"/>
    </row>
    <row r="577" spans="1:5" x14ac:dyDescent="0.25">
      <c r="A577" t="s">
        <v>852</v>
      </c>
      <c r="B577" s="143">
        <v>43557</v>
      </c>
      <c r="C577">
        <v>143</v>
      </c>
      <c r="D577">
        <v>2.4049200000000002</v>
      </c>
      <c r="E577" s="143"/>
    </row>
    <row r="578" spans="1:5" x14ac:dyDescent="0.25">
      <c r="A578" t="s">
        <v>852</v>
      </c>
      <c r="B578" s="143">
        <v>43558</v>
      </c>
      <c r="C578">
        <v>143.63</v>
      </c>
      <c r="D578">
        <v>2.6816450000000001</v>
      </c>
      <c r="E578" s="143"/>
    </row>
    <row r="579" spans="1:5" x14ac:dyDescent="0.25">
      <c r="A579" t="s">
        <v>852</v>
      </c>
      <c r="B579" s="143">
        <v>43559</v>
      </c>
      <c r="C579">
        <v>142.78</v>
      </c>
      <c r="D579">
        <v>2.7714620000000001</v>
      </c>
      <c r="E579" s="143"/>
    </row>
    <row r="580" spans="1:5" x14ac:dyDescent="0.25">
      <c r="A580" t="s">
        <v>852</v>
      </c>
      <c r="B580" s="143">
        <v>43560</v>
      </c>
      <c r="C580">
        <v>143.28</v>
      </c>
      <c r="D580">
        <v>2.7319849999999999</v>
      </c>
      <c r="E580" s="143"/>
    </row>
    <row r="581" spans="1:5" x14ac:dyDescent="0.25">
      <c r="A581" t="s">
        <v>852</v>
      </c>
      <c r="B581" s="143">
        <v>43563</v>
      </c>
      <c r="C581">
        <v>143.38999999999999</v>
      </c>
      <c r="D581">
        <v>2.1182280000000002</v>
      </c>
      <c r="E581" s="143"/>
    </row>
    <row r="582" spans="1:5" x14ac:dyDescent="0.25">
      <c r="A582" t="s">
        <v>852</v>
      </c>
      <c r="B582" s="143">
        <v>43564</v>
      </c>
      <c r="C582">
        <v>142.11000000000001</v>
      </c>
      <c r="D582">
        <v>3.0384600000000002</v>
      </c>
      <c r="E582" s="143"/>
    </row>
    <row r="583" spans="1:5" x14ac:dyDescent="0.25">
      <c r="A583" t="s">
        <v>852</v>
      </c>
      <c r="B583" s="143">
        <v>43565</v>
      </c>
      <c r="C583">
        <v>143.02000000000001</v>
      </c>
      <c r="D583">
        <v>2.6783100000000002</v>
      </c>
      <c r="E583" s="143"/>
    </row>
    <row r="584" spans="1:5" x14ac:dyDescent="0.25">
      <c r="A584" t="s">
        <v>852</v>
      </c>
      <c r="B584" s="143">
        <v>43566</v>
      </c>
      <c r="C584">
        <v>143.78</v>
      </c>
      <c r="D584">
        <v>2.9419849999999999</v>
      </c>
      <c r="E584" s="143"/>
    </row>
    <row r="585" spans="1:5" x14ac:dyDescent="0.25">
      <c r="A585" t="s">
        <v>852</v>
      </c>
      <c r="B585" s="143">
        <v>43567</v>
      </c>
      <c r="C585">
        <v>144.35</v>
      </c>
      <c r="D585">
        <v>2.8988990000000001</v>
      </c>
      <c r="E585" s="143"/>
    </row>
    <row r="586" spans="1:5" x14ac:dyDescent="0.25">
      <c r="A586" t="s">
        <v>852</v>
      </c>
      <c r="B586" s="143">
        <v>43570</v>
      </c>
      <c r="C586">
        <v>143.9</v>
      </c>
      <c r="D586">
        <v>3.6031580000000001</v>
      </c>
      <c r="E586" s="143"/>
    </row>
    <row r="587" spans="1:5" x14ac:dyDescent="0.25">
      <c r="A587" t="s">
        <v>852</v>
      </c>
      <c r="B587" s="143">
        <v>43571</v>
      </c>
      <c r="C587">
        <v>145.13999999999999</v>
      </c>
      <c r="D587">
        <v>6.3016709999999998</v>
      </c>
      <c r="E587" s="143"/>
    </row>
    <row r="588" spans="1:5" x14ac:dyDescent="0.25">
      <c r="A588" t="s">
        <v>852</v>
      </c>
      <c r="B588" s="143">
        <v>43572</v>
      </c>
      <c r="C588">
        <v>139.11000000000001</v>
      </c>
      <c r="D588">
        <v>12.525693</v>
      </c>
      <c r="E588" s="143"/>
    </row>
    <row r="589" spans="1:5" x14ac:dyDescent="0.25">
      <c r="A589" t="s">
        <v>852</v>
      </c>
      <c r="B589" s="143">
        <v>43573</v>
      </c>
      <c r="C589">
        <v>140.33000000000001</v>
      </c>
      <c r="D589">
        <v>4.9600150000000003</v>
      </c>
      <c r="E589" s="143"/>
    </row>
    <row r="590" spans="1:5" x14ac:dyDescent="0.25">
      <c r="A590" t="s">
        <v>852</v>
      </c>
      <c r="B590" s="143">
        <v>43577</v>
      </c>
      <c r="C590">
        <v>138.88999999999999</v>
      </c>
      <c r="D590">
        <v>4.4943330000000001</v>
      </c>
      <c r="E590" s="143"/>
    </row>
    <row r="591" spans="1:5" x14ac:dyDescent="0.25">
      <c r="A591" t="s">
        <v>852</v>
      </c>
      <c r="B591" s="143">
        <v>43578</v>
      </c>
      <c r="C591">
        <v>140.44</v>
      </c>
      <c r="D591">
        <v>4.4622400000000004</v>
      </c>
      <c r="E591" s="143"/>
    </row>
    <row r="592" spans="1:5" x14ac:dyDescent="0.25">
      <c r="A592" t="s">
        <v>852</v>
      </c>
      <c r="B592" s="143">
        <v>43579</v>
      </c>
      <c r="C592">
        <v>139.94999999999999</v>
      </c>
      <c r="D592">
        <v>2.774867</v>
      </c>
      <c r="E592" s="143"/>
    </row>
    <row r="593" spans="1:12" x14ac:dyDescent="0.25">
      <c r="A593" t="s">
        <v>852</v>
      </c>
      <c r="B593" s="143">
        <v>43580</v>
      </c>
      <c r="C593">
        <v>138.63</v>
      </c>
      <c r="D593">
        <v>2.9101129999999999</v>
      </c>
      <c r="E593" s="143"/>
    </row>
    <row r="594" spans="1:12" x14ac:dyDescent="0.25">
      <c r="A594" t="s">
        <v>852</v>
      </c>
      <c r="B594" s="143">
        <v>43581</v>
      </c>
      <c r="C594">
        <v>139.44</v>
      </c>
      <c r="D594">
        <v>2.3198340000000002</v>
      </c>
      <c r="E594" s="143"/>
    </row>
    <row r="595" spans="1:12" x14ac:dyDescent="0.25">
      <c r="A595" t="s">
        <v>852</v>
      </c>
      <c r="B595" s="143">
        <v>43584</v>
      </c>
      <c r="C595">
        <v>139.05000000000001</v>
      </c>
      <c r="D595">
        <v>2.9583330000000001</v>
      </c>
      <c r="E595" s="143"/>
    </row>
    <row r="596" spans="1:12" x14ac:dyDescent="0.25">
      <c r="A596" t="s">
        <v>852</v>
      </c>
      <c r="B596" s="143">
        <v>43585</v>
      </c>
      <c r="C596">
        <v>140.27000000000001</v>
      </c>
      <c r="D596">
        <v>4.6388280000000002</v>
      </c>
      <c r="E596" s="143"/>
    </row>
    <row r="597" spans="1:12" x14ac:dyDescent="0.25">
      <c r="A597" t="s">
        <v>852</v>
      </c>
      <c r="B597" s="143">
        <v>43586</v>
      </c>
      <c r="C597">
        <v>140.56</v>
      </c>
      <c r="D597">
        <v>3.0536829999999999</v>
      </c>
      <c r="E597" s="143"/>
    </row>
    <row r="598" spans="1:12" x14ac:dyDescent="0.25">
      <c r="A598" t="s">
        <v>852</v>
      </c>
      <c r="B598" s="143">
        <v>43587</v>
      </c>
      <c r="C598">
        <v>139.59</v>
      </c>
      <c r="D598">
        <v>3.5413519999999998</v>
      </c>
      <c r="E598" s="143"/>
    </row>
    <row r="599" spans="1:12" x14ac:dyDescent="0.25">
      <c r="A599" t="s">
        <v>852</v>
      </c>
      <c r="B599" s="143">
        <v>43588</v>
      </c>
      <c r="C599">
        <v>140.25</v>
      </c>
      <c r="D599">
        <v>2.5800339999999999</v>
      </c>
      <c r="E599" s="143"/>
    </row>
    <row r="600" spans="1:12" x14ac:dyDescent="0.25">
      <c r="A600" t="s">
        <v>852</v>
      </c>
      <c r="B600" s="143">
        <v>43591</v>
      </c>
      <c r="C600">
        <v>140.38</v>
      </c>
      <c r="D600">
        <v>2.7936550000000002</v>
      </c>
      <c r="E600" s="143"/>
    </row>
    <row r="601" spans="1:12" x14ac:dyDescent="0.25">
      <c r="A601" t="s">
        <v>852</v>
      </c>
      <c r="B601" s="143">
        <v>43592</v>
      </c>
      <c r="C601">
        <v>137.63999999999999</v>
      </c>
      <c r="D601">
        <v>4.7267710000000003</v>
      </c>
      <c r="E601" s="143"/>
    </row>
    <row r="602" spans="1:12" x14ac:dyDescent="0.25">
      <c r="A602" t="s">
        <v>852</v>
      </c>
      <c r="B602" s="143">
        <v>43593</v>
      </c>
      <c r="C602">
        <v>138</v>
      </c>
      <c r="D602">
        <v>3.8189090000000001</v>
      </c>
      <c r="E602" s="143"/>
    </row>
    <row r="603" spans="1:12" x14ac:dyDescent="0.25">
      <c r="A603" t="s">
        <v>852</v>
      </c>
      <c r="B603" s="143">
        <v>43594</v>
      </c>
      <c r="C603">
        <v>135.34</v>
      </c>
      <c r="D603">
        <v>4.1929420000000004</v>
      </c>
      <c r="E603" s="143">
        <v>43626</v>
      </c>
      <c r="F603">
        <v>1.62</v>
      </c>
      <c r="G603" t="s">
        <v>683</v>
      </c>
      <c r="H603" t="s">
        <v>778</v>
      </c>
      <c r="I603" t="s">
        <v>687</v>
      </c>
      <c r="J603">
        <v>2019</v>
      </c>
      <c r="K603">
        <v>2</v>
      </c>
      <c r="L603">
        <v>1</v>
      </c>
    </row>
    <row r="604" spans="1:12" x14ac:dyDescent="0.25">
      <c r="A604" t="s">
        <v>852</v>
      </c>
      <c r="B604" s="143">
        <v>43595</v>
      </c>
      <c r="C604">
        <v>135.32</v>
      </c>
      <c r="D604">
        <v>3.9776859999999998</v>
      </c>
      <c r="E604" s="143"/>
    </row>
    <row r="605" spans="1:12" x14ac:dyDescent="0.25">
      <c r="A605" t="s">
        <v>852</v>
      </c>
      <c r="B605" s="143">
        <v>43598</v>
      </c>
      <c r="C605">
        <v>131.41999999999999</v>
      </c>
      <c r="D605">
        <v>4.9580209999999996</v>
      </c>
      <c r="E605" s="143"/>
    </row>
    <row r="606" spans="1:12" x14ac:dyDescent="0.25">
      <c r="A606" t="s">
        <v>852</v>
      </c>
      <c r="B606" s="143">
        <v>43599</v>
      </c>
      <c r="C606">
        <v>133.31</v>
      </c>
      <c r="D606">
        <v>3.2803740000000001</v>
      </c>
      <c r="E606" s="143"/>
    </row>
    <row r="607" spans="1:12" x14ac:dyDescent="0.25">
      <c r="A607" t="s">
        <v>852</v>
      </c>
      <c r="B607" s="143">
        <v>43600</v>
      </c>
      <c r="C607">
        <v>134.4</v>
      </c>
      <c r="D607">
        <v>2.5510090000000001</v>
      </c>
      <c r="E607" s="143"/>
    </row>
    <row r="608" spans="1:12" x14ac:dyDescent="0.25">
      <c r="A608" t="s">
        <v>852</v>
      </c>
      <c r="B608" s="143">
        <v>43601</v>
      </c>
      <c r="C608">
        <v>135.88</v>
      </c>
      <c r="D608">
        <v>3.0174720000000002</v>
      </c>
      <c r="E608" s="143"/>
    </row>
    <row r="609" spans="1:5" x14ac:dyDescent="0.25">
      <c r="A609" t="s">
        <v>852</v>
      </c>
      <c r="B609" s="143">
        <v>43602</v>
      </c>
      <c r="C609">
        <v>134.32</v>
      </c>
      <c r="D609">
        <v>2.619135</v>
      </c>
      <c r="E609" s="143"/>
    </row>
    <row r="610" spans="1:5" x14ac:dyDescent="0.25">
      <c r="A610" t="s">
        <v>852</v>
      </c>
      <c r="B610" s="143">
        <v>43605</v>
      </c>
      <c r="C610">
        <v>135.12</v>
      </c>
      <c r="D610">
        <v>3.2646489999999999</v>
      </c>
      <c r="E610" s="143"/>
    </row>
    <row r="611" spans="1:5" x14ac:dyDescent="0.25">
      <c r="A611" t="s">
        <v>852</v>
      </c>
      <c r="B611" s="143">
        <v>43606</v>
      </c>
      <c r="C611">
        <v>136.44999999999999</v>
      </c>
      <c r="D611">
        <v>2.503504</v>
      </c>
      <c r="E611" s="143"/>
    </row>
    <row r="612" spans="1:5" x14ac:dyDescent="0.25">
      <c r="A612" t="s">
        <v>852</v>
      </c>
      <c r="B612" s="143">
        <v>43607</v>
      </c>
      <c r="C612">
        <v>136.35</v>
      </c>
      <c r="D612">
        <v>1.8498209999999999</v>
      </c>
      <c r="E612" s="143"/>
    </row>
    <row r="613" spans="1:5" x14ac:dyDescent="0.25">
      <c r="A613" t="s">
        <v>852</v>
      </c>
      <c r="B613" s="143">
        <v>43608</v>
      </c>
      <c r="C613">
        <v>132.38999999999999</v>
      </c>
      <c r="D613">
        <v>5.3434369999999998</v>
      </c>
      <c r="E613" s="143"/>
    </row>
    <row r="614" spans="1:5" x14ac:dyDescent="0.25">
      <c r="A614" t="s">
        <v>852</v>
      </c>
      <c r="B614" s="143">
        <v>43609</v>
      </c>
      <c r="C614">
        <v>132.28</v>
      </c>
      <c r="D614">
        <v>2.5961210000000001</v>
      </c>
      <c r="E614" s="143"/>
    </row>
    <row r="615" spans="1:5" x14ac:dyDescent="0.25">
      <c r="A615" t="s">
        <v>852</v>
      </c>
      <c r="B615" s="143">
        <v>43613</v>
      </c>
      <c r="C615">
        <v>130.46</v>
      </c>
      <c r="D615">
        <v>4.9091209999999998</v>
      </c>
      <c r="E615" s="143"/>
    </row>
    <row r="616" spans="1:5" x14ac:dyDescent="0.25">
      <c r="A616" t="s">
        <v>852</v>
      </c>
      <c r="B616" s="143">
        <v>43614</v>
      </c>
      <c r="C616">
        <v>129.69</v>
      </c>
      <c r="D616">
        <v>3.6789779999999999</v>
      </c>
      <c r="E616" s="143"/>
    </row>
    <row r="617" spans="1:5" x14ac:dyDescent="0.25">
      <c r="A617" t="s">
        <v>852</v>
      </c>
      <c r="B617" s="143">
        <v>43615</v>
      </c>
      <c r="C617">
        <v>129.57</v>
      </c>
      <c r="D617">
        <v>2.7418800000000001</v>
      </c>
      <c r="E617" s="143"/>
    </row>
    <row r="618" spans="1:5" x14ac:dyDescent="0.25">
      <c r="A618" t="s">
        <v>852</v>
      </c>
      <c r="B618" s="143">
        <v>43616</v>
      </c>
      <c r="C618">
        <v>126.99</v>
      </c>
      <c r="D618">
        <v>3.5393430000000001</v>
      </c>
      <c r="E618" s="143"/>
    </row>
    <row r="619" spans="1:5" x14ac:dyDescent="0.25">
      <c r="A619" t="s">
        <v>852</v>
      </c>
      <c r="B619" s="143">
        <v>43619</v>
      </c>
      <c r="C619">
        <v>128.27000000000001</v>
      </c>
      <c r="D619">
        <v>4.26708</v>
      </c>
      <c r="E619" s="143"/>
    </row>
    <row r="620" spans="1:5" x14ac:dyDescent="0.25">
      <c r="A620" t="s">
        <v>852</v>
      </c>
      <c r="B620" s="143">
        <v>43620</v>
      </c>
      <c r="C620">
        <v>132.69</v>
      </c>
      <c r="D620">
        <v>3.913535</v>
      </c>
      <c r="E620" s="143"/>
    </row>
    <row r="621" spans="1:5" x14ac:dyDescent="0.25">
      <c r="A621" t="s">
        <v>852</v>
      </c>
      <c r="B621" s="143">
        <v>43621</v>
      </c>
      <c r="C621">
        <v>131.49</v>
      </c>
      <c r="D621">
        <v>3.1615839999999999</v>
      </c>
      <c r="E621" s="143"/>
    </row>
    <row r="622" spans="1:5" x14ac:dyDescent="0.25">
      <c r="A622" t="s">
        <v>852</v>
      </c>
      <c r="B622" s="143">
        <v>43622</v>
      </c>
      <c r="C622">
        <v>132.22</v>
      </c>
      <c r="D622">
        <v>2.2982480000000001</v>
      </c>
      <c r="E622" s="143"/>
    </row>
    <row r="623" spans="1:5" x14ac:dyDescent="0.25">
      <c r="A623" t="s">
        <v>852</v>
      </c>
      <c r="B623" s="143">
        <v>43623</v>
      </c>
      <c r="C623">
        <v>133.31</v>
      </c>
      <c r="D623">
        <v>2.5533980000000001</v>
      </c>
      <c r="E623" s="143"/>
    </row>
    <row r="624" spans="1:5" x14ac:dyDescent="0.25">
      <c r="A624" t="s">
        <v>852</v>
      </c>
      <c r="B624" s="143">
        <v>43626</v>
      </c>
      <c r="C624">
        <v>134.74</v>
      </c>
      <c r="D624">
        <v>2.911327</v>
      </c>
      <c r="E624" s="143"/>
    </row>
    <row r="625" spans="1:5" x14ac:dyDescent="0.25">
      <c r="A625" t="s">
        <v>852</v>
      </c>
      <c r="B625" s="143">
        <v>43627</v>
      </c>
      <c r="C625">
        <v>135.94999999999999</v>
      </c>
      <c r="D625">
        <v>3.4073449999999998</v>
      </c>
      <c r="E625" s="143"/>
    </row>
    <row r="626" spans="1:5" x14ac:dyDescent="0.25">
      <c r="A626" t="s">
        <v>852</v>
      </c>
      <c r="B626" s="143">
        <v>43628</v>
      </c>
      <c r="C626">
        <v>134.87</v>
      </c>
      <c r="D626">
        <v>2.2547410000000001</v>
      </c>
      <c r="E626" s="143"/>
    </row>
    <row r="627" spans="1:5" x14ac:dyDescent="0.25">
      <c r="A627" t="s">
        <v>852</v>
      </c>
      <c r="B627" s="143">
        <v>43629</v>
      </c>
      <c r="C627">
        <v>135.76</v>
      </c>
      <c r="D627">
        <v>2.955419</v>
      </c>
      <c r="E627" s="143"/>
    </row>
    <row r="628" spans="1:5" x14ac:dyDescent="0.25">
      <c r="A628" t="s">
        <v>852</v>
      </c>
      <c r="B628" s="143">
        <v>43630</v>
      </c>
      <c r="C628">
        <v>135.15</v>
      </c>
      <c r="D628">
        <v>2.1933669999999998</v>
      </c>
      <c r="E628" s="143"/>
    </row>
    <row r="629" spans="1:5" x14ac:dyDescent="0.25">
      <c r="A629" t="s">
        <v>852</v>
      </c>
      <c r="B629" s="143">
        <v>43633</v>
      </c>
      <c r="C629">
        <v>134.94999999999999</v>
      </c>
      <c r="D629">
        <v>2.1941290000000002</v>
      </c>
      <c r="E629" s="143"/>
    </row>
    <row r="630" spans="1:5" x14ac:dyDescent="0.25">
      <c r="A630" t="s">
        <v>852</v>
      </c>
      <c r="B630" s="143">
        <v>43634</v>
      </c>
      <c r="C630">
        <v>136.38</v>
      </c>
      <c r="D630">
        <v>2.914698</v>
      </c>
      <c r="E630" s="143"/>
    </row>
    <row r="631" spans="1:5" x14ac:dyDescent="0.25">
      <c r="A631" t="s">
        <v>852</v>
      </c>
      <c r="B631" s="143">
        <v>43635</v>
      </c>
      <c r="C631">
        <v>137.08000000000001</v>
      </c>
      <c r="D631">
        <v>2.38252</v>
      </c>
      <c r="E631" s="143"/>
    </row>
    <row r="632" spans="1:5" x14ac:dyDescent="0.25">
      <c r="A632" t="s">
        <v>852</v>
      </c>
      <c r="B632" s="143">
        <v>43636</v>
      </c>
      <c r="C632">
        <v>138.85</v>
      </c>
      <c r="D632">
        <v>3.0710169999999999</v>
      </c>
      <c r="E632" s="143"/>
    </row>
    <row r="633" spans="1:5" x14ac:dyDescent="0.25">
      <c r="A633" t="s">
        <v>852</v>
      </c>
      <c r="B633" s="143">
        <v>43637</v>
      </c>
      <c r="C633">
        <v>139.19999999999999</v>
      </c>
      <c r="D633">
        <v>5.2887589999999998</v>
      </c>
      <c r="E633" s="143"/>
    </row>
    <row r="634" spans="1:5" x14ac:dyDescent="0.25">
      <c r="A634" t="s">
        <v>852</v>
      </c>
      <c r="B634" s="143">
        <v>43640</v>
      </c>
      <c r="C634">
        <v>139.35</v>
      </c>
      <c r="D634">
        <v>2.186137</v>
      </c>
      <c r="E634" s="143"/>
    </row>
    <row r="635" spans="1:5" x14ac:dyDescent="0.25">
      <c r="A635" t="s">
        <v>852</v>
      </c>
      <c r="B635" s="143">
        <v>43641</v>
      </c>
      <c r="C635">
        <v>138.36000000000001</v>
      </c>
      <c r="D635">
        <v>2.8012510000000002</v>
      </c>
      <c r="E635" s="143"/>
    </row>
    <row r="636" spans="1:5" x14ac:dyDescent="0.25">
      <c r="A636" t="s">
        <v>852</v>
      </c>
      <c r="B636" s="143">
        <v>43642</v>
      </c>
      <c r="C636">
        <v>138.52000000000001</v>
      </c>
      <c r="D636">
        <v>2.284567</v>
      </c>
      <c r="E636" s="143"/>
    </row>
    <row r="637" spans="1:5" x14ac:dyDescent="0.25">
      <c r="A637" t="s">
        <v>852</v>
      </c>
      <c r="B637" s="143">
        <v>43643</v>
      </c>
      <c r="C637">
        <v>138.52000000000001</v>
      </c>
      <c r="D637">
        <v>2.1498240000000002</v>
      </c>
      <c r="E637" s="143"/>
    </row>
    <row r="638" spans="1:5" x14ac:dyDescent="0.25">
      <c r="A638" t="s">
        <v>852</v>
      </c>
      <c r="B638" s="143">
        <v>43644</v>
      </c>
      <c r="C638">
        <v>137.9</v>
      </c>
      <c r="D638">
        <v>6.154039</v>
      </c>
      <c r="E638" s="143"/>
    </row>
    <row r="639" spans="1:5" x14ac:dyDescent="0.25">
      <c r="A639" t="s">
        <v>852</v>
      </c>
      <c r="B639" s="143">
        <v>43647</v>
      </c>
      <c r="C639">
        <v>139.88</v>
      </c>
      <c r="D639">
        <v>3.387184</v>
      </c>
      <c r="E639" s="143"/>
    </row>
    <row r="640" spans="1:5" x14ac:dyDescent="0.25">
      <c r="A640" t="s">
        <v>852</v>
      </c>
      <c r="B640" s="143">
        <v>43648</v>
      </c>
      <c r="C640">
        <v>140.22</v>
      </c>
      <c r="D640">
        <v>2.4100920000000001</v>
      </c>
      <c r="E640" s="143"/>
    </row>
    <row r="641" spans="1:5" x14ac:dyDescent="0.25">
      <c r="A641" t="s">
        <v>852</v>
      </c>
      <c r="B641" s="143">
        <v>43649</v>
      </c>
      <c r="C641">
        <v>141.54</v>
      </c>
      <c r="D641">
        <v>1.930361</v>
      </c>
      <c r="E641" s="143"/>
    </row>
    <row r="642" spans="1:5" x14ac:dyDescent="0.25">
      <c r="A642" t="s">
        <v>852</v>
      </c>
      <c r="B642" s="143">
        <v>43651</v>
      </c>
      <c r="C642">
        <v>141.38</v>
      </c>
      <c r="D642">
        <v>2.1350850000000001</v>
      </c>
      <c r="E642" s="143"/>
    </row>
    <row r="643" spans="1:5" x14ac:dyDescent="0.25">
      <c r="A643" t="s">
        <v>852</v>
      </c>
      <c r="B643" s="143">
        <v>43654</v>
      </c>
      <c r="C643">
        <v>140.57</v>
      </c>
      <c r="D643">
        <v>2.3954870000000001</v>
      </c>
      <c r="E643" s="143"/>
    </row>
    <row r="644" spans="1:5" x14ac:dyDescent="0.25">
      <c r="A644" t="s">
        <v>852</v>
      </c>
      <c r="B644" s="143">
        <v>43655</v>
      </c>
      <c r="C644">
        <v>139.33000000000001</v>
      </c>
      <c r="D644">
        <v>3.365227</v>
      </c>
      <c r="E644" s="143"/>
    </row>
    <row r="645" spans="1:5" x14ac:dyDescent="0.25">
      <c r="A645" t="s">
        <v>852</v>
      </c>
      <c r="B645" s="143">
        <v>43656</v>
      </c>
      <c r="C645">
        <v>140.47</v>
      </c>
      <c r="D645">
        <v>2.5139309999999999</v>
      </c>
      <c r="E645" s="143"/>
    </row>
    <row r="646" spans="1:5" x14ac:dyDescent="0.25">
      <c r="A646" t="s">
        <v>852</v>
      </c>
      <c r="B646" s="143">
        <v>43657</v>
      </c>
      <c r="C646">
        <v>141.24</v>
      </c>
      <c r="D646">
        <v>2.133327</v>
      </c>
      <c r="E646" s="143"/>
    </row>
    <row r="647" spans="1:5" x14ac:dyDescent="0.25">
      <c r="A647" t="s">
        <v>852</v>
      </c>
      <c r="B647" s="143">
        <v>43658</v>
      </c>
      <c r="C647">
        <v>142.74</v>
      </c>
      <c r="D647">
        <v>2.786276</v>
      </c>
      <c r="E647" s="143"/>
    </row>
    <row r="648" spans="1:5" x14ac:dyDescent="0.25">
      <c r="A648" t="s">
        <v>852</v>
      </c>
      <c r="B648" s="143">
        <v>43661</v>
      </c>
      <c r="C648">
        <v>143.32</v>
      </c>
      <c r="D648">
        <v>2.368309</v>
      </c>
      <c r="E648" s="143"/>
    </row>
    <row r="649" spans="1:5" x14ac:dyDescent="0.25">
      <c r="A649" t="s">
        <v>852</v>
      </c>
      <c r="B649" s="143">
        <v>43662</v>
      </c>
      <c r="C649">
        <v>143.53</v>
      </c>
      <c r="D649">
        <v>3.474688</v>
      </c>
      <c r="E649" s="143"/>
    </row>
    <row r="650" spans="1:5" x14ac:dyDescent="0.25">
      <c r="A650" t="s">
        <v>852</v>
      </c>
      <c r="B650" s="143">
        <v>43663</v>
      </c>
      <c r="C650">
        <v>143.07</v>
      </c>
      <c r="D650">
        <v>6.0642649999999998</v>
      </c>
      <c r="E650" s="143"/>
    </row>
    <row r="651" spans="1:5" x14ac:dyDescent="0.25">
      <c r="A651" t="s">
        <v>852</v>
      </c>
      <c r="B651" s="143">
        <v>43664</v>
      </c>
      <c r="C651">
        <v>149.63</v>
      </c>
      <c r="D651">
        <v>12.695387</v>
      </c>
      <c r="E651" s="143"/>
    </row>
    <row r="652" spans="1:5" x14ac:dyDescent="0.25">
      <c r="A652" t="s">
        <v>852</v>
      </c>
      <c r="B652" s="143">
        <v>43665</v>
      </c>
      <c r="C652">
        <v>149.68</v>
      </c>
      <c r="D652">
        <v>7.2906779999999998</v>
      </c>
      <c r="E652" s="143"/>
    </row>
    <row r="653" spans="1:5" x14ac:dyDescent="0.25">
      <c r="A653" t="s">
        <v>852</v>
      </c>
      <c r="B653" s="143">
        <v>43668</v>
      </c>
      <c r="C653">
        <v>149.74</v>
      </c>
      <c r="D653">
        <v>4.0932389999999996</v>
      </c>
      <c r="E653" s="143"/>
    </row>
    <row r="654" spans="1:5" x14ac:dyDescent="0.25">
      <c r="A654" t="s">
        <v>852</v>
      </c>
      <c r="B654" s="143">
        <v>43669</v>
      </c>
      <c r="C654">
        <v>150.38</v>
      </c>
      <c r="D654">
        <v>3.7422040000000001</v>
      </c>
      <c r="E654" s="143"/>
    </row>
    <row r="655" spans="1:5" x14ac:dyDescent="0.25">
      <c r="A655" t="s">
        <v>852</v>
      </c>
      <c r="B655" s="143">
        <v>43670</v>
      </c>
      <c r="C655">
        <v>150.03</v>
      </c>
      <c r="D655">
        <v>2.9524349999999999</v>
      </c>
      <c r="E655" s="143"/>
    </row>
    <row r="656" spans="1:5" x14ac:dyDescent="0.25">
      <c r="A656" t="s">
        <v>852</v>
      </c>
      <c r="B656" s="143">
        <v>43671</v>
      </c>
      <c r="C656">
        <v>150.38999999999999</v>
      </c>
      <c r="D656">
        <v>3.1021130000000001</v>
      </c>
      <c r="E656" s="143"/>
    </row>
    <row r="657" spans="1:12" x14ac:dyDescent="0.25">
      <c r="A657" t="s">
        <v>852</v>
      </c>
      <c r="B657" s="143">
        <v>43672</v>
      </c>
      <c r="C657">
        <v>151.36000000000001</v>
      </c>
      <c r="D657">
        <v>2.9044940000000001</v>
      </c>
      <c r="E657" s="143"/>
    </row>
    <row r="658" spans="1:12" x14ac:dyDescent="0.25">
      <c r="A658" t="s">
        <v>852</v>
      </c>
      <c r="B658" s="143">
        <v>43675</v>
      </c>
      <c r="C658">
        <v>150.88</v>
      </c>
      <c r="D658">
        <v>2.0755279999999998</v>
      </c>
      <c r="E658" s="143"/>
    </row>
    <row r="659" spans="1:12" x14ac:dyDescent="0.25">
      <c r="A659" t="s">
        <v>852</v>
      </c>
      <c r="B659" s="143">
        <v>43676</v>
      </c>
      <c r="C659">
        <v>149.77000000000001</v>
      </c>
      <c r="D659">
        <v>2.6327259999999999</v>
      </c>
      <c r="E659" s="143"/>
    </row>
    <row r="660" spans="1:12" x14ac:dyDescent="0.25">
      <c r="A660" t="s">
        <v>852</v>
      </c>
      <c r="B660" s="143">
        <v>43677</v>
      </c>
      <c r="C660">
        <v>148.24</v>
      </c>
      <c r="D660">
        <v>3.7229070000000002</v>
      </c>
      <c r="E660" s="143"/>
    </row>
    <row r="661" spans="1:12" x14ac:dyDescent="0.25">
      <c r="A661" t="s">
        <v>852</v>
      </c>
      <c r="B661" s="143">
        <v>43678</v>
      </c>
      <c r="C661">
        <v>150.32</v>
      </c>
      <c r="D661">
        <v>6.3440060000000003</v>
      </c>
      <c r="E661" s="143"/>
    </row>
    <row r="662" spans="1:12" x14ac:dyDescent="0.25">
      <c r="A662" t="s">
        <v>852</v>
      </c>
      <c r="B662" s="143">
        <v>43679</v>
      </c>
      <c r="C662">
        <v>147.25</v>
      </c>
      <c r="D662">
        <v>8.1017200000000003</v>
      </c>
      <c r="E662" s="143"/>
    </row>
    <row r="663" spans="1:12" x14ac:dyDescent="0.25">
      <c r="A663" t="s">
        <v>852</v>
      </c>
      <c r="B663" s="143">
        <v>43682</v>
      </c>
      <c r="C663">
        <v>140.76</v>
      </c>
      <c r="D663">
        <v>7.1148709999999999</v>
      </c>
      <c r="E663" s="143"/>
    </row>
    <row r="664" spans="1:12" x14ac:dyDescent="0.25">
      <c r="A664" t="s">
        <v>852</v>
      </c>
      <c r="B664" s="143">
        <v>43683</v>
      </c>
      <c r="C664">
        <v>140.72999999999999</v>
      </c>
      <c r="D664">
        <v>5.0706499999999997</v>
      </c>
      <c r="E664" s="143"/>
    </row>
    <row r="665" spans="1:12" x14ac:dyDescent="0.25">
      <c r="A665" t="s">
        <v>852</v>
      </c>
      <c r="B665" s="143">
        <v>43684</v>
      </c>
      <c r="C665">
        <v>139.11000000000001</v>
      </c>
      <c r="D665">
        <v>5.931883</v>
      </c>
      <c r="E665" s="143"/>
    </row>
    <row r="666" spans="1:12" x14ac:dyDescent="0.25">
      <c r="A666" t="s">
        <v>852</v>
      </c>
      <c r="B666" s="143">
        <v>43685</v>
      </c>
      <c r="C666">
        <v>140.1</v>
      </c>
      <c r="D666">
        <v>5.261444</v>
      </c>
      <c r="E666" s="143">
        <v>43718</v>
      </c>
      <c r="F666">
        <v>1.62</v>
      </c>
      <c r="G666" t="s">
        <v>683</v>
      </c>
      <c r="H666" t="s">
        <v>778</v>
      </c>
      <c r="I666" t="s">
        <v>687</v>
      </c>
      <c r="J666">
        <v>2019</v>
      </c>
      <c r="K666">
        <v>3</v>
      </c>
      <c r="L666">
        <v>2</v>
      </c>
    </row>
    <row r="667" spans="1:12" x14ac:dyDescent="0.25">
      <c r="A667" t="s">
        <v>852</v>
      </c>
      <c r="B667" s="143">
        <v>43686</v>
      </c>
      <c r="C667">
        <v>136.13</v>
      </c>
      <c r="D667">
        <v>5.2445940000000002</v>
      </c>
      <c r="E667" s="143"/>
    </row>
    <row r="668" spans="1:12" x14ac:dyDescent="0.25">
      <c r="A668" t="s">
        <v>852</v>
      </c>
      <c r="B668" s="143">
        <v>43689</v>
      </c>
      <c r="C668">
        <v>133.66999999999999</v>
      </c>
      <c r="D668">
        <v>4.08385</v>
      </c>
      <c r="E668" s="143"/>
    </row>
    <row r="669" spans="1:12" x14ac:dyDescent="0.25">
      <c r="A669" t="s">
        <v>852</v>
      </c>
      <c r="B669" s="143">
        <v>43690</v>
      </c>
      <c r="C669">
        <v>135.79</v>
      </c>
      <c r="D669">
        <v>4.5511699999999999</v>
      </c>
      <c r="E669" s="143"/>
    </row>
    <row r="670" spans="1:12" x14ac:dyDescent="0.25">
      <c r="A670" t="s">
        <v>852</v>
      </c>
      <c r="B670" s="143">
        <v>43691</v>
      </c>
      <c r="C670">
        <v>131.25</v>
      </c>
      <c r="D670">
        <v>5.1141589999999999</v>
      </c>
      <c r="E670" s="143"/>
    </row>
    <row r="671" spans="1:12" x14ac:dyDescent="0.25">
      <c r="A671" t="s">
        <v>852</v>
      </c>
      <c r="B671" s="143">
        <v>43692</v>
      </c>
      <c r="C671">
        <v>131.91999999999999</v>
      </c>
      <c r="D671">
        <v>3.7389450000000002</v>
      </c>
      <c r="E671" s="143"/>
    </row>
    <row r="672" spans="1:12" x14ac:dyDescent="0.25">
      <c r="A672" t="s">
        <v>852</v>
      </c>
      <c r="B672" s="143">
        <v>43693</v>
      </c>
      <c r="C672">
        <v>133.76</v>
      </c>
      <c r="D672">
        <v>3.0119929999999999</v>
      </c>
      <c r="E672" s="143"/>
    </row>
    <row r="673" spans="1:5" x14ac:dyDescent="0.25">
      <c r="A673" t="s">
        <v>852</v>
      </c>
      <c r="B673" s="143">
        <v>43696</v>
      </c>
      <c r="C673">
        <v>135.04</v>
      </c>
      <c r="D673">
        <v>3.1654360000000001</v>
      </c>
      <c r="E673" s="143"/>
    </row>
    <row r="674" spans="1:5" x14ac:dyDescent="0.25">
      <c r="A674" t="s">
        <v>852</v>
      </c>
      <c r="B674" s="143">
        <v>43697</v>
      </c>
      <c r="C674">
        <v>133</v>
      </c>
      <c r="D674">
        <v>3.0189339999999998</v>
      </c>
      <c r="E674" s="143"/>
    </row>
    <row r="675" spans="1:5" x14ac:dyDescent="0.25">
      <c r="A675" t="s">
        <v>852</v>
      </c>
      <c r="B675" s="143">
        <v>43698</v>
      </c>
      <c r="C675">
        <v>134.25</v>
      </c>
      <c r="D675">
        <v>2.8067739999999999</v>
      </c>
      <c r="E675" s="143"/>
    </row>
    <row r="676" spans="1:5" x14ac:dyDescent="0.25">
      <c r="A676" t="s">
        <v>852</v>
      </c>
      <c r="B676" s="143">
        <v>43699</v>
      </c>
      <c r="C676">
        <v>134.32</v>
      </c>
      <c r="D676">
        <v>2.6950090000000002</v>
      </c>
      <c r="E676" s="143"/>
    </row>
    <row r="677" spans="1:5" x14ac:dyDescent="0.25">
      <c r="A677" t="s">
        <v>852</v>
      </c>
      <c r="B677" s="143">
        <v>43700</v>
      </c>
      <c r="C677">
        <v>129.57</v>
      </c>
      <c r="D677">
        <v>4.818759</v>
      </c>
      <c r="E677" s="143"/>
    </row>
    <row r="678" spans="1:5" x14ac:dyDescent="0.25">
      <c r="A678" t="s">
        <v>852</v>
      </c>
      <c r="B678" s="143">
        <v>43703</v>
      </c>
      <c r="C678">
        <v>129.99</v>
      </c>
      <c r="D678">
        <v>2.8368370000000001</v>
      </c>
      <c r="E678" s="143"/>
    </row>
    <row r="679" spans="1:5" x14ac:dyDescent="0.25">
      <c r="A679" t="s">
        <v>852</v>
      </c>
      <c r="B679" s="143">
        <v>43704</v>
      </c>
      <c r="C679">
        <v>131.16999999999999</v>
      </c>
      <c r="D679">
        <v>4.7283920000000004</v>
      </c>
      <c r="E679" s="143"/>
    </row>
    <row r="680" spans="1:5" x14ac:dyDescent="0.25">
      <c r="A680" t="s">
        <v>852</v>
      </c>
      <c r="B680" s="143">
        <v>43705</v>
      </c>
      <c r="C680">
        <v>132.76</v>
      </c>
      <c r="D680">
        <v>2.7203620000000002</v>
      </c>
      <c r="E680" s="143"/>
    </row>
    <row r="681" spans="1:5" x14ac:dyDescent="0.25">
      <c r="A681" t="s">
        <v>852</v>
      </c>
      <c r="B681" s="143">
        <v>43706</v>
      </c>
      <c r="C681">
        <v>134.88</v>
      </c>
      <c r="D681">
        <v>2.972842</v>
      </c>
      <c r="E681" s="143"/>
    </row>
    <row r="682" spans="1:5" x14ac:dyDescent="0.25">
      <c r="A682" t="s">
        <v>852</v>
      </c>
      <c r="B682" s="143">
        <v>43707</v>
      </c>
      <c r="C682">
        <v>135.53</v>
      </c>
      <c r="D682">
        <v>2.9605939999999999</v>
      </c>
      <c r="E682" s="143"/>
    </row>
    <row r="683" spans="1:5" x14ac:dyDescent="0.25">
      <c r="A683" t="s">
        <v>852</v>
      </c>
      <c r="B683" s="143">
        <v>43711</v>
      </c>
      <c r="C683">
        <v>134.1</v>
      </c>
      <c r="D683">
        <v>2.8282419999999999</v>
      </c>
      <c r="E683" s="143"/>
    </row>
    <row r="684" spans="1:5" x14ac:dyDescent="0.25">
      <c r="A684" t="s">
        <v>852</v>
      </c>
      <c r="B684" s="143">
        <v>43712</v>
      </c>
      <c r="C684">
        <v>136.32</v>
      </c>
      <c r="D684">
        <v>2.2620809999999998</v>
      </c>
      <c r="E684" s="143"/>
    </row>
    <row r="685" spans="1:5" x14ac:dyDescent="0.25">
      <c r="A685" t="s">
        <v>852</v>
      </c>
      <c r="B685" s="143">
        <v>43713</v>
      </c>
      <c r="C685">
        <v>140.97</v>
      </c>
      <c r="D685">
        <v>5.0129140000000003</v>
      </c>
      <c r="E685" s="143"/>
    </row>
    <row r="686" spans="1:5" x14ac:dyDescent="0.25">
      <c r="A686" t="s">
        <v>852</v>
      </c>
      <c r="B686" s="143">
        <v>43714</v>
      </c>
      <c r="C686">
        <v>140.57</v>
      </c>
      <c r="D686">
        <v>2.5771999999999999</v>
      </c>
      <c r="E686" s="143"/>
    </row>
    <row r="687" spans="1:5" x14ac:dyDescent="0.25">
      <c r="A687" t="s">
        <v>852</v>
      </c>
      <c r="B687" s="143">
        <v>43717</v>
      </c>
      <c r="C687">
        <v>142.6</v>
      </c>
      <c r="D687">
        <v>4.2269439999999996</v>
      </c>
      <c r="E687" s="143"/>
    </row>
    <row r="688" spans="1:5" x14ac:dyDescent="0.25">
      <c r="A688" t="s">
        <v>852</v>
      </c>
      <c r="B688" s="143">
        <v>43718</v>
      </c>
      <c r="C688">
        <v>145.05000000000001</v>
      </c>
      <c r="D688">
        <v>4.9797409999999998</v>
      </c>
      <c r="E688" s="143"/>
    </row>
    <row r="689" spans="1:5" x14ac:dyDescent="0.25">
      <c r="A689" t="s">
        <v>852</v>
      </c>
      <c r="B689" s="143">
        <v>43719</v>
      </c>
      <c r="C689">
        <v>143.6</v>
      </c>
      <c r="D689">
        <v>3.8697309999999998</v>
      </c>
      <c r="E689" s="143"/>
    </row>
    <row r="690" spans="1:5" x14ac:dyDescent="0.25">
      <c r="A690" t="s">
        <v>852</v>
      </c>
      <c r="B690" s="143">
        <v>43720</v>
      </c>
      <c r="C690">
        <v>143.62</v>
      </c>
      <c r="D690">
        <v>2.5054319999999999</v>
      </c>
      <c r="E690" s="143"/>
    </row>
    <row r="691" spans="1:5" x14ac:dyDescent="0.25">
      <c r="A691" t="s">
        <v>852</v>
      </c>
      <c r="B691" s="143">
        <v>43721</v>
      </c>
      <c r="C691">
        <v>143.66999999999999</v>
      </c>
      <c r="D691">
        <v>2.2066119999999998</v>
      </c>
      <c r="E691" s="143"/>
    </row>
    <row r="692" spans="1:5" x14ac:dyDescent="0.25">
      <c r="A692" t="s">
        <v>852</v>
      </c>
      <c r="B692" s="143">
        <v>43724</v>
      </c>
      <c r="C692">
        <v>142.47999999999999</v>
      </c>
      <c r="D692">
        <v>1.9285000000000001</v>
      </c>
      <c r="E692" s="143"/>
    </row>
    <row r="693" spans="1:5" x14ac:dyDescent="0.25">
      <c r="A693" t="s">
        <v>852</v>
      </c>
      <c r="B693" s="143">
        <v>43725</v>
      </c>
      <c r="C693">
        <v>142.19999999999999</v>
      </c>
      <c r="D693">
        <v>2.9404940000000002</v>
      </c>
      <c r="E693" s="143"/>
    </row>
    <row r="694" spans="1:5" x14ac:dyDescent="0.25">
      <c r="A694" t="s">
        <v>852</v>
      </c>
      <c r="B694" s="143">
        <v>43726</v>
      </c>
      <c r="C694">
        <v>142.22</v>
      </c>
      <c r="D694">
        <v>1.9951589999999999</v>
      </c>
      <c r="E694" s="143"/>
    </row>
    <row r="695" spans="1:5" x14ac:dyDescent="0.25">
      <c r="A695" t="s">
        <v>852</v>
      </c>
      <c r="B695" s="143">
        <v>43727</v>
      </c>
      <c r="C695">
        <v>142.97</v>
      </c>
      <c r="D695">
        <v>3.1820919999999999</v>
      </c>
      <c r="E695" s="143"/>
    </row>
    <row r="696" spans="1:5" x14ac:dyDescent="0.25">
      <c r="A696" t="s">
        <v>852</v>
      </c>
      <c r="B696" s="143">
        <v>43728</v>
      </c>
      <c r="C696">
        <v>141.88</v>
      </c>
      <c r="D696">
        <v>5.2178810000000002</v>
      </c>
      <c r="E696" s="143"/>
    </row>
    <row r="697" spans="1:5" x14ac:dyDescent="0.25">
      <c r="A697" t="s">
        <v>852</v>
      </c>
      <c r="B697" s="143">
        <v>43731</v>
      </c>
      <c r="C697">
        <v>142.07</v>
      </c>
      <c r="D697">
        <v>1.850061</v>
      </c>
      <c r="E697" s="143"/>
    </row>
    <row r="698" spans="1:5" x14ac:dyDescent="0.25">
      <c r="A698" t="s">
        <v>852</v>
      </c>
      <c r="B698" s="143">
        <v>43732</v>
      </c>
      <c r="C698">
        <v>141.68</v>
      </c>
      <c r="D698">
        <v>3.3111709999999999</v>
      </c>
      <c r="E698" s="143"/>
    </row>
    <row r="699" spans="1:5" x14ac:dyDescent="0.25">
      <c r="A699" t="s">
        <v>852</v>
      </c>
      <c r="B699" s="143">
        <v>43733</v>
      </c>
      <c r="C699">
        <v>143.16</v>
      </c>
      <c r="D699">
        <v>2.5462050000000001</v>
      </c>
      <c r="E699" s="143"/>
    </row>
    <row r="700" spans="1:5" x14ac:dyDescent="0.25">
      <c r="A700" t="s">
        <v>852</v>
      </c>
      <c r="B700" s="143">
        <v>43734</v>
      </c>
      <c r="C700">
        <v>143.55000000000001</v>
      </c>
      <c r="D700">
        <v>2.3145419999999999</v>
      </c>
      <c r="E700" s="143"/>
    </row>
    <row r="701" spans="1:5" x14ac:dyDescent="0.25">
      <c r="A701" t="s">
        <v>852</v>
      </c>
      <c r="B701" s="143">
        <v>43735</v>
      </c>
      <c r="C701">
        <v>143.24</v>
      </c>
      <c r="D701">
        <v>2.3570820000000001</v>
      </c>
      <c r="E701" s="143"/>
    </row>
    <row r="702" spans="1:5" x14ac:dyDescent="0.25">
      <c r="A702" t="s">
        <v>852</v>
      </c>
      <c r="B702" s="143">
        <v>43738</v>
      </c>
      <c r="C702">
        <v>145.41999999999999</v>
      </c>
      <c r="D702">
        <v>4.004429</v>
      </c>
      <c r="E702" s="143"/>
    </row>
    <row r="703" spans="1:5" x14ac:dyDescent="0.25">
      <c r="A703" t="s">
        <v>852</v>
      </c>
      <c r="B703" s="143">
        <v>43739</v>
      </c>
      <c r="C703">
        <v>143.66</v>
      </c>
      <c r="D703">
        <v>2.9737140000000002</v>
      </c>
      <c r="E703" s="143"/>
    </row>
    <row r="704" spans="1:5" x14ac:dyDescent="0.25">
      <c r="A704" t="s">
        <v>852</v>
      </c>
      <c r="B704" s="143">
        <v>43740</v>
      </c>
      <c r="C704">
        <v>141.69</v>
      </c>
      <c r="D704">
        <v>3.3472759999999999</v>
      </c>
      <c r="E704" s="143"/>
    </row>
    <row r="705" spans="1:5" x14ac:dyDescent="0.25">
      <c r="A705" t="s">
        <v>852</v>
      </c>
      <c r="B705" s="143">
        <v>43741</v>
      </c>
      <c r="C705">
        <v>142.02000000000001</v>
      </c>
      <c r="D705">
        <v>3.161718</v>
      </c>
      <c r="E705" s="143"/>
    </row>
    <row r="706" spans="1:5" x14ac:dyDescent="0.25">
      <c r="A706" t="s">
        <v>852</v>
      </c>
      <c r="B706" s="143">
        <v>43742</v>
      </c>
      <c r="C706">
        <v>142.99</v>
      </c>
      <c r="D706">
        <v>2.4494829999999999</v>
      </c>
      <c r="E706" s="143"/>
    </row>
    <row r="707" spans="1:5" x14ac:dyDescent="0.25">
      <c r="A707" t="s">
        <v>852</v>
      </c>
      <c r="B707" s="143">
        <v>43745</v>
      </c>
      <c r="C707">
        <v>141.28</v>
      </c>
      <c r="D707">
        <v>2.4887990000000002</v>
      </c>
      <c r="E707" s="143"/>
    </row>
    <row r="708" spans="1:5" x14ac:dyDescent="0.25">
      <c r="A708" t="s">
        <v>852</v>
      </c>
      <c r="B708" s="143">
        <v>43746</v>
      </c>
      <c r="C708">
        <v>138.38</v>
      </c>
      <c r="D708">
        <v>3.3440829999999999</v>
      </c>
      <c r="E708" s="143"/>
    </row>
    <row r="709" spans="1:5" x14ac:dyDescent="0.25">
      <c r="A709" t="s">
        <v>852</v>
      </c>
      <c r="B709" s="143">
        <v>43747</v>
      </c>
      <c r="C709">
        <v>139.66999999999999</v>
      </c>
      <c r="D709">
        <v>2.6334719999999998</v>
      </c>
      <c r="E709" s="143"/>
    </row>
    <row r="710" spans="1:5" x14ac:dyDescent="0.25">
      <c r="A710" t="s">
        <v>852</v>
      </c>
      <c r="B710" s="143">
        <v>43748</v>
      </c>
      <c r="C710">
        <v>141.13</v>
      </c>
      <c r="D710">
        <v>2.646693</v>
      </c>
      <c r="E710" s="143"/>
    </row>
    <row r="711" spans="1:5" x14ac:dyDescent="0.25">
      <c r="A711" t="s">
        <v>852</v>
      </c>
      <c r="B711" s="143">
        <v>43749</v>
      </c>
      <c r="C711">
        <v>142.76</v>
      </c>
      <c r="D711">
        <v>3.018669</v>
      </c>
      <c r="E711" s="143"/>
    </row>
    <row r="712" spans="1:5" x14ac:dyDescent="0.25">
      <c r="A712" t="s">
        <v>852</v>
      </c>
      <c r="B712" s="143">
        <v>43752</v>
      </c>
      <c r="C712">
        <v>142.04</v>
      </c>
      <c r="D712">
        <v>2.325609</v>
      </c>
      <c r="E712" s="143"/>
    </row>
    <row r="713" spans="1:5" x14ac:dyDescent="0.25">
      <c r="A713" t="s">
        <v>852</v>
      </c>
      <c r="B713" s="143">
        <v>43753</v>
      </c>
      <c r="C713">
        <v>143</v>
      </c>
      <c r="D713">
        <v>3.046999</v>
      </c>
      <c r="E713" s="143"/>
    </row>
    <row r="714" spans="1:5" x14ac:dyDescent="0.25">
      <c r="A714" t="s">
        <v>852</v>
      </c>
      <c r="B714" s="143">
        <v>43754</v>
      </c>
      <c r="C714">
        <v>142.11000000000001</v>
      </c>
      <c r="D714">
        <v>5.915705</v>
      </c>
      <c r="E714" s="143"/>
    </row>
    <row r="715" spans="1:5" x14ac:dyDescent="0.25">
      <c r="A715" t="s">
        <v>852</v>
      </c>
      <c r="B715" s="143">
        <v>43755</v>
      </c>
      <c r="C715">
        <v>134.26</v>
      </c>
      <c r="D715">
        <v>15.83081</v>
      </c>
      <c r="E715" s="143"/>
    </row>
    <row r="716" spans="1:5" x14ac:dyDescent="0.25">
      <c r="A716" t="s">
        <v>852</v>
      </c>
      <c r="B716" s="143">
        <v>43756</v>
      </c>
      <c r="C716">
        <v>134.09</v>
      </c>
      <c r="D716">
        <v>7.1783789999999996</v>
      </c>
      <c r="E716" s="143"/>
    </row>
    <row r="717" spans="1:5" x14ac:dyDescent="0.25">
      <c r="A717" t="s">
        <v>852</v>
      </c>
      <c r="B717" s="143">
        <v>43759</v>
      </c>
      <c r="C717">
        <v>132.58000000000001</v>
      </c>
      <c r="D717">
        <v>6.3729829999999996</v>
      </c>
      <c r="E717" s="143"/>
    </row>
    <row r="718" spans="1:5" x14ac:dyDescent="0.25">
      <c r="A718" t="s">
        <v>852</v>
      </c>
      <c r="B718" s="143">
        <v>43760</v>
      </c>
      <c r="C718">
        <v>133.96</v>
      </c>
      <c r="D718">
        <v>4.1958029999999997</v>
      </c>
      <c r="E718" s="143"/>
    </row>
    <row r="719" spans="1:5" x14ac:dyDescent="0.25">
      <c r="A719" t="s">
        <v>852</v>
      </c>
      <c r="B719" s="143">
        <v>43761</v>
      </c>
      <c r="C719">
        <v>134.38</v>
      </c>
      <c r="D719">
        <v>3.627345</v>
      </c>
      <c r="E719" s="143"/>
    </row>
    <row r="720" spans="1:5" x14ac:dyDescent="0.25">
      <c r="A720" t="s">
        <v>852</v>
      </c>
      <c r="B720" s="143">
        <v>43762</v>
      </c>
      <c r="C720">
        <v>134.07</v>
      </c>
      <c r="D720">
        <v>2.6193089999999999</v>
      </c>
      <c r="E720" s="143"/>
    </row>
    <row r="721" spans="1:12" x14ac:dyDescent="0.25">
      <c r="A721" t="s">
        <v>852</v>
      </c>
      <c r="B721" s="143">
        <v>43763</v>
      </c>
      <c r="C721">
        <v>135.44</v>
      </c>
      <c r="D721">
        <v>2.5790549999999999</v>
      </c>
      <c r="E721" s="143"/>
    </row>
    <row r="722" spans="1:12" x14ac:dyDescent="0.25">
      <c r="A722" t="s">
        <v>852</v>
      </c>
      <c r="B722" s="143">
        <v>43766</v>
      </c>
      <c r="C722">
        <v>135.97</v>
      </c>
      <c r="D722">
        <v>3.2261320000000002</v>
      </c>
      <c r="E722" s="143"/>
    </row>
    <row r="723" spans="1:12" x14ac:dyDescent="0.25">
      <c r="A723" t="s">
        <v>852</v>
      </c>
      <c r="B723" s="143">
        <v>43767</v>
      </c>
      <c r="C723">
        <v>133.82</v>
      </c>
      <c r="D723">
        <v>4.1607180000000001</v>
      </c>
      <c r="E723" s="143"/>
    </row>
    <row r="724" spans="1:12" x14ac:dyDescent="0.25">
      <c r="A724" t="s">
        <v>852</v>
      </c>
      <c r="B724" s="143">
        <v>43768</v>
      </c>
      <c r="C724">
        <v>135.25</v>
      </c>
      <c r="D724">
        <v>2.2529889999999999</v>
      </c>
      <c r="E724" s="143"/>
    </row>
    <row r="725" spans="1:12" x14ac:dyDescent="0.25">
      <c r="A725" t="s">
        <v>852</v>
      </c>
      <c r="B725" s="143">
        <v>43769</v>
      </c>
      <c r="C725">
        <v>133.72999999999999</v>
      </c>
      <c r="D725">
        <v>3.4121190000000001</v>
      </c>
      <c r="E725" s="143"/>
    </row>
    <row r="726" spans="1:12" x14ac:dyDescent="0.25">
      <c r="A726" t="s">
        <v>852</v>
      </c>
      <c r="B726" s="143">
        <v>43770</v>
      </c>
      <c r="C726">
        <v>135.53</v>
      </c>
      <c r="D726">
        <v>3.0897890000000001</v>
      </c>
      <c r="E726" s="143"/>
    </row>
    <row r="727" spans="1:12" x14ac:dyDescent="0.25">
      <c r="A727" t="s">
        <v>852</v>
      </c>
      <c r="B727" s="143">
        <v>43773</v>
      </c>
      <c r="C727">
        <v>137.66999999999999</v>
      </c>
      <c r="D727">
        <v>3.3353890000000002</v>
      </c>
      <c r="E727" s="143"/>
    </row>
    <row r="728" spans="1:12" x14ac:dyDescent="0.25">
      <c r="A728" t="s">
        <v>852</v>
      </c>
      <c r="B728" s="143">
        <v>43774</v>
      </c>
      <c r="C728">
        <v>137.88999999999999</v>
      </c>
      <c r="D728">
        <v>3.014961</v>
      </c>
      <c r="E728" s="143"/>
    </row>
    <row r="729" spans="1:12" x14ac:dyDescent="0.25">
      <c r="A729" t="s">
        <v>852</v>
      </c>
      <c r="B729" s="143">
        <v>43775</v>
      </c>
      <c r="C729">
        <v>138.78</v>
      </c>
      <c r="D729">
        <v>4.4772910000000001</v>
      </c>
      <c r="E729" s="143"/>
    </row>
    <row r="730" spans="1:12" x14ac:dyDescent="0.25">
      <c r="A730" t="s">
        <v>852</v>
      </c>
      <c r="B730" s="143">
        <v>43776</v>
      </c>
      <c r="C730">
        <v>137.69</v>
      </c>
      <c r="D730">
        <v>4.0739080000000003</v>
      </c>
      <c r="E730" s="143">
        <v>43809</v>
      </c>
      <c r="F730">
        <v>1.62</v>
      </c>
      <c r="G730" t="s">
        <v>683</v>
      </c>
      <c r="H730" t="s">
        <v>778</v>
      </c>
      <c r="I730" t="s">
        <v>687</v>
      </c>
      <c r="J730">
        <v>2019</v>
      </c>
      <c r="K730">
        <v>4</v>
      </c>
      <c r="L730">
        <v>2</v>
      </c>
    </row>
    <row r="731" spans="1:12" x14ac:dyDescent="0.25">
      <c r="A731" t="s">
        <v>852</v>
      </c>
      <c r="B731" s="143">
        <v>43777</v>
      </c>
      <c r="C731">
        <v>137.61000000000001</v>
      </c>
      <c r="D731">
        <v>2.2786019999999998</v>
      </c>
      <c r="E731" s="143"/>
    </row>
    <row r="732" spans="1:12" x14ac:dyDescent="0.25">
      <c r="A732" t="s">
        <v>852</v>
      </c>
      <c r="B732" s="143">
        <v>43780</v>
      </c>
      <c r="C732">
        <v>135.47</v>
      </c>
      <c r="D732">
        <v>2.5687549999999999</v>
      </c>
      <c r="E732" s="143"/>
    </row>
    <row r="733" spans="1:12" x14ac:dyDescent="0.25">
      <c r="A733" t="s">
        <v>852</v>
      </c>
      <c r="B733" s="143">
        <v>43781</v>
      </c>
      <c r="C733">
        <v>135.59</v>
      </c>
      <c r="D733">
        <v>3.0465360000000001</v>
      </c>
      <c r="E733" s="143"/>
    </row>
    <row r="734" spans="1:12" x14ac:dyDescent="0.25">
      <c r="A734" t="s">
        <v>852</v>
      </c>
      <c r="B734" s="143">
        <v>43782</v>
      </c>
      <c r="C734">
        <v>134.47999999999999</v>
      </c>
      <c r="D734">
        <v>3.060924</v>
      </c>
      <c r="E734" s="143"/>
    </row>
    <row r="735" spans="1:12" x14ac:dyDescent="0.25">
      <c r="A735" t="s">
        <v>852</v>
      </c>
      <c r="B735" s="143">
        <v>43783</v>
      </c>
      <c r="C735">
        <v>134</v>
      </c>
      <c r="D735">
        <v>4.231471</v>
      </c>
      <c r="E735" s="143"/>
    </row>
    <row r="736" spans="1:12" x14ac:dyDescent="0.25">
      <c r="A736" t="s">
        <v>852</v>
      </c>
      <c r="B736" s="143">
        <v>43784</v>
      </c>
      <c r="C736">
        <v>134.4</v>
      </c>
      <c r="D736">
        <v>3.2626559999999998</v>
      </c>
      <c r="E736" s="143"/>
    </row>
    <row r="737" spans="1:5" x14ac:dyDescent="0.25">
      <c r="A737" t="s">
        <v>852</v>
      </c>
      <c r="B737" s="143">
        <v>43787</v>
      </c>
      <c r="C737">
        <v>134.31</v>
      </c>
      <c r="D737">
        <v>3.2108720000000002</v>
      </c>
      <c r="E737" s="143"/>
    </row>
    <row r="738" spans="1:5" x14ac:dyDescent="0.25">
      <c r="A738" t="s">
        <v>852</v>
      </c>
      <c r="B738" s="143">
        <v>43788</v>
      </c>
      <c r="C738">
        <v>134.52000000000001</v>
      </c>
      <c r="D738">
        <v>2.9950709999999998</v>
      </c>
      <c r="E738" s="143"/>
    </row>
    <row r="739" spans="1:5" x14ac:dyDescent="0.25">
      <c r="A739" t="s">
        <v>852</v>
      </c>
      <c r="B739" s="143">
        <v>43789</v>
      </c>
      <c r="C739">
        <v>133.19999999999999</v>
      </c>
      <c r="D739">
        <v>4.1401479999999999</v>
      </c>
      <c r="E739" s="143"/>
    </row>
    <row r="740" spans="1:5" x14ac:dyDescent="0.25">
      <c r="A740" t="s">
        <v>852</v>
      </c>
      <c r="B740" s="143">
        <v>43790</v>
      </c>
      <c r="C740">
        <v>133.84</v>
      </c>
      <c r="D740">
        <v>3.3453430000000002</v>
      </c>
      <c r="E740" s="143"/>
    </row>
    <row r="741" spans="1:5" x14ac:dyDescent="0.25">
      <c r="A741" t="s">
        <v>852</v>
      </c>
      <c r="B741" s="143">
        <v>43791</v>
      </c>
      <c r="C741">
        <v>134.34</v>
      </c>
      <c r="D741">
        <v>3.2977970000000001</v>
      </c>
      <c r="E741" s="143"/>
    </row>
    <row r="742" spans="1:5" x14ac:dyDescent="0.25">
      <c r="A742" t="s">
        <v>852</v>
      </c>
      <c r="B742" s="143">
        <v>43794</v>
      </c>
      <c r="C742">
        <v>135.97</v>
      </c>
      <c r="D742">
        <v>2.5901700000000001</v>
      </c>
      <c r="E742" s="143"/>
    </row>
    <row r="743" spans="1:5" x14ac:dyDescent="0.25">
      <c r="A743" t="s">
        <v>852</v>
      </c>
      <c r="B743" s="143">
        <v>43795</v>
      </c>
      <c r="C743">
        <v>135.09</v>
      </c>
      <c r="D743">
        <v>3.7933370000000002</v>
      </c>
      <c r="E743" s="143"/>
    </row>
    <row r="744" spans="1:5" x14ac:dyDescent="0.25">
      <c r="A744" t="s">
        <v>852</v>
      </c>
      <c r="B744" s="143">
        <v>43796</v>
      </c>
      <c r="C744">
        <v>133.77000000000001</v>
      </c>
      <c r="D744">
        <v>3.2828270000000002</v>
      </c>
      <c r="E744" s="143"/>
    </row>
    <row r="745" spans="1:5" x14ac:dyDescent="0.25">
      <c r="A745" t="s">
        <v>852</v>
      </c>
      <c r="B745" s="143">
        <v>43798</v>
      </c>
      <c r="C745">
        <v>134.44999999999999</v>
      </c>
      <c r="D745">
        <v>1.8252550000000001</v>
      </c>
      <c r="E745" s="143"/>
    </row>
    <row r="746" spans="1:5" x14ac:dyDescent="0.25">
      <c r="A746" t="s">
        <v>852</v>
      </c>
      <c r="B746" s="143">
        <v>43801</v>
      </c>
      <c r="C746">
        <v>132.91</v>
      </c>
      <c r="D746">
        <v>3.067831</v>
      </c>
      <c r="E746" s="143"/>
    </row>
    <row r="747" spans="1:5" x14ac:dyDescent="0.25">
      <c r="A747" t="s">
        <v>852</v>
      </c>
      <c r="B747" s="143">
        <v>43802</v>
      </c>
      <c r="C747">
        <v>132.12</v>
      </c>
      <c r="D747">
        <v>3.711071</v>
      </c>
      <c r="E747" s="143"/>
    </row>
    <row r="748" spans="1:5" x14ac:dyDescent="0.25">
      <c r="A748" t="s">
        <v>852</v>
      </c>
      <c r="B748" s="143">
        <v>43803</v>
      </c>
      <c r="C748">
        <v>131.99</v>
      </c>
      <c r="D748">
        <v>3.5307729999999999</v>
      </c>
      <c r="E748" s="143"/>
    </row>
    <row r="749" spans="1:5" x14ac:dyDescent="0.25">
      <c r="A749" t="s">
        <v>852</v>
      </c>
      <c r="B749" s="143">
        <v>43804</v>
      </c>
      <c r="C749">
        <v>131.91</v>
      </c>
      <c r="D749">
        <v>3.5985779999999998</v>
      </c>
      <c r="E749" s="143"/>
    </row>
    <row r="750" spans="1:5" x14ac:dyDescent="0.25">
      <c r="A750" t="s">
        <v>852</v>
      </c>
      <c r="B750" s="143">
        <v>43805</v>
      </c>
      <c r="C750">
        <v>133.22</v>
      </c>
      <c r="D750">
        <v>3.4379940000000002</v>
      </c>
      <c r="E750" s="143"/>
    </row>
    <row r="751" spans="1:5" x14ac:dyDescent="0.25">
      <c r="A751" t="s">
        <v>852</v>
      </c>
      <c r="B751" s="143">
        <v>43808</v>
      </c>
      <c r="C751">
        <v>133.91999999999999</v>
      </c>
      <c r="D751">
        <v>2.9788009999999998</v>
      </c>
      <c r="E751" s="143"/>
    </row>
    <row r="752" spans="1:5" x14ac:dyDescent="0.25">
      <c r="A752" t="s">
        <v>852</v>
      </c>
      <c r="B752" s="143">
        <v>43809</v>
      </c>
      <c r="C752">
        <v>133.91</v>
      </c>
      <c r="D752">
        <v>3.4803850000000001</v>
      </c>
      <c r="E752" s="143"/>
    </row>
    <row r="753" spans="1:5" x14ac:dyDescent="0.25">
      <c r="A753" t="s">
        <v>852</v>
      </c>
      <c r="B753" s="143">
        <v>43810</v>
      </c>
      <c r="C753">
        <v>133.76</v>
      </c>
      <c r="D753">
        <v>3.9533109999999998</v>
      </c>
      <c r="E753" s="143"/>
    </row>
    <row r="754" spans="1:5" x14ac:dyDescent="0.25">
      <c r="A754" t="s">
        <v>852</v>
      </c>
      <c r="B754" s="143">
        <v>43811</v>
      </c>
      <c r="C754">
        <v>135.32</v>
      </c>
      <c r="D754">
        <v>4.8241860000000001</v>
      </c>
      <c r="E754" s="143"/>
    </row>
    <row r="755" spans="1:5" x14ac:dyDescent="0.25">
      <c r="A755" t="s">
        <v>852</v>
      </c>
      <c r="B755" s="143">
        <v>43812</v>
      </c>
      <c r="C755">
        <v>134.21</v>
      </c>
      <c r="D755">
        <v>2.5349699999999999</v>
      </c>
      <c r="E755" s="143"/>
    </row>
    <row r="756" spans="1:5" x14ac:dyDescent="0.25">
      <c r="A756" t="s">
        <v>852</v>
      </c>
      <c r="B756" s="143">
        <v>43815</v>
      </c>
      <c r="C756">
        <v>134.13</v>
      </c>
      <c r="D756">
        <v>3.0493250000000001</v>
      </c>
      <c r="E756" s="143"/>
    </row>
    <row r="757" spans="1:5" x14ac:dyDescent="0.25">
      <c r="A757" t="s">
        <v>852</v>
      </c>
      <c r="B757" s="143">
        <v>43816</v>
      </c>
      <c r="C757">
        <v>134.22</v>
      </c>
      <c r="D757">
        <v>2.9075470000000001</v>
      </c>
      <c r="E757" s="143"/>
    </row>
    <row r="758" spans="1:5" x14ac:dyDescent="0.25">
      <c r="A758" t="s">
        <v>852</v>
      </c>
      <c r="B758" s="143">
        <v>43817</v>
      </c>
      <c r="C758">
        <v>134.41</v>
      </c>
      <c r="D758">
        <v>3.1023529999999999</v>
      </c>
      <c r="E758" s="143"/>
    </row>
    <row r="759" spans="1:5" x14ac:dyDescent="0.25">
      <c r="A759" t="s">
        <v>852</v>
      </c>
      <c r="B759" s="143">
        <v>43818</v>
      </c>
      <c r="C759">
        <v>134.56</v>
      </c>
      <c r="D759">
        <v>3.866717</v>
      </c>
      <c r="E759" s="143"/>
    </row>
    <row r="760" spans="1:5" x14ac:dyDescent="0.25">
      <c r="A760" t="s">
        <v>852</v>
      </c>
      <c r="B760" s="143">
        <v>43819</v>
      </c>
      <c r="C760">
        <v>135.59</v>
      </c>
      <c r="D760">
        <v>7.1120720000000004</v>
      </c>
      <c r="E760" s="143"/>
    </row>
    <row r="761" spans="1:5" x14ac:dyDescent="0.25">
      <c r="A761" t="s">
        <v>852</v>
      </c>
      <c r="B761" s="143">
        <v>43822</v>
      </c>
      <c r="C761">
        <v>135.55000000000001</v>
      </c>
      <c r="D761">
        <v>2.8031679999999999</v>
      </c>
      <c r="E761" s="143"/>
    </row>
    <row r="762" spans="1:5" x14ac:dyDescent="0.25">
      <c r="A762" t="s">
        <v>852</v>
      </c>
      <c r="B762" s="143">
        <v>43823</v>
      </c>
      <c r="C762">
        <v>134.97999999999999</v>
      </c>
      <c r="D762">
        <v>1.2020869999999999</v>
      </c>
      <c r="E762" s="143"/>
    </row>
    <row r="763" spans="1:5" x14ac:dyDescent="0.25">
      <c r="A763" t="s">
        <v>852</v>
      </c>
      <c r="B763" s="143">
        <v>43825</v>
      </c>
      <c r="C763">
        <v>134.91</v>
      </c>
      <c r="D763">
        <v>2.130706</v>
      </c>
      <c r="E763" s="143"/>
    </row>
    <row r="764" spans="1:5" x14ac:dyDescent="0.25">
      <c r="A764" t="s">
        <v>852</v>
      </c>
      <c r="B764" s="143">
        <v>43826</v>
      </c>
      <c r="C764">
        <v>135.27000000000001</v>
      </c>
      <c r="D764">
        <v>2.7527059999999999</v>
      </c>
      <c r="E764" s="143"/>
    </row>
    <row r="765" spans="1:5" x14ac:dyDescent="0.25">
      <c r="A765" t="s">
        <v>852</v>
      </c>
      <c r="B765" s="143">
        <v>43829</v>
      </c>
      <c r="C765">
        <v>132.81</v>
      </c>
      <c r="D765">
        <v>4.1189369999999998</v>
      </c>
      <c r="E765" s="143"/>
    </row>
    <row r="766" spans="1:5" x14ac:dyDescent="0.25">
      <c r="A766" t="s">
        <v>852</v>
      </c>
      <c r="B766" s="143">
        <v>43830</v>
      </c>
      <c r="C766">
        <v>134.04</v>
      </c>
      <c r="D766">
        <v>3.7780119999999999</v>
      </c>
      <c r="E766" s="143"/>
    </row>
    <row r="767" spans="1:5" x14ac:dyDescent="0.25">
      <c r="A767" t="s">
        <v>852</v>
      </c>
      <c r="B767" s="143">
        <v>43832</v>
      </c>
      <c r="C767">
        <v>135.41999999999999</v>
      </c>
      <c r="D767">
        <v>3.1488330000000002</v>
      </c>
      <c r="E767" s="143"/>
    </row>
    <row r="768" spans="1:5" x14ac:dyDescent="0.25">
      <c r="A768" t="s">
        <v>852</v>
      </c>
      <c r="B768" s="143">
        <v>43833</v>
      </c>
      <c r="C768">
        <v>134.34</v>
      </c>
      <c r="D768">
        <v>2.3736760000000001</v>
      </c>
      <c r="E768" s="143"/>
    </row>
    <row r="769" spans="1:5" x14ac:dyDescent="0.25">
      <c r="A769" t="s">
        <v>852</v>
      </c>
      <c r="B769" s="143">
        <v>43836</v>
      </c>
      <c r="C769">
        <v>134.1</v>
      </c>
      <c r="D769">
        <v>2.4263050000000002</v>
      </c>
      <c r="E769" s="143"/>
    </row>
    <row r="770" spans="1:5" x14ac:dyDescent="0.25">
      <c r="A770" t="s">
        <v>852</v>
      </c>
      <c r="B770" s="143">
        <v>43837</v>
      </c>
      <c r="C770">
        <v>134.19</v>
      </c>
      <c r="D770">
        <v>3.2759680000000002</v>
      </c>
      <c r="E770" s="143"/>
    </row>
    <row r="771" spans="1:5" x14ac:dyDescent="0.25">
      <c r="A771" t="s">
        <v>852</v>
      </c>
      <c r="B771" s="143">
        <v>43838</v>
      </c>
      <c r="C771">
        <v>135.31</v>
      </c>
      <c r="D771">
        <v>4.3461400000000001</v>
      </c>
      <c r="E771" s="143"/>
    </row>
    <row r="772" spans="1:5" x14ac:dyDescent="0.25">
      <c r="A772" t="s">
        <v>852</v>
      </c>
      <c r="B772" s="143">
        <v>43839</v>
      </c>
      <c r="C772">
        <v>136.74</v>
      </c>
      <c r="D772">
        <v>3.7328299999999999</v>
      </c>
      <c r="E772" s="143"/>
    </row>
    <row r="773" spans="1:5" x14ac:dyDescent="0.25">
      <c r="A773" t="s">
        <v>852</v>
      </c>
      <c r="B773" s="143">
        <v>43840</v>
      </c>
      <c r="C773">
        <v>136.69</v>
      </c>
      <c r="D773">
        <v>3.2556409999999998</v>
      </c>
      <c r="E773" s="143"/>
    </row>
    <row r="774" spans="1:5" x14ac:dyDescent="0.25">
      <c r="A774" t="s">
        <v>852</v>
      </c>
      <c r="B774" s="143">
        <v>43843</v>
      </c>
      <c r="C774">
        <v>136.6</v>
      </c>
      <c r="D774">
        <v>3.5315720000000002</v>
      </c>
      <c r="E774" s="143"/>
    </row>
    <row r="775" spans="1:5" x14ac:dyDescent="0.25">
      <c r="A775" t="s">
        <v>852</v>
      </c>
      <c r="B775" s="143">
        <v>43844</v>
      </c>
      <c r="C775">
        <v>135.82</v>
      </c>
      <c r="D775">
        <v>3.6834579999999999</v>
      </c>
      <c r="E775" s="143"/>
    </row>
    <row r="776" spans="1:5" x14ac:dyDescent="0.25">
      <c r="A776" t="s">
        <v>852</v>
      </c>
      <c r="B776" s="143">
        <v>43845</v>
      </c>
      <c r="C776">
        <v>136.62</v>
      </c>
      <c r="D776">
        <v>4.0459519999999998</v>
      </c>
      <c r="E776" s="143"/>
    </row>
    <row r="777" spans="1:5" x14ac:dyDescent="0.25">
      <c r="A777" t="s">
        <v>852</v>
      </c>
      <c r="B777" s="143">
        <v>43846</v>
      </c>
      <c r="C777">
        <v>137.97999999999999</v>
      </c>
      <c r="D777">
        <v>4.3209109999999997</v>
      </c>
      <c r="E777" s="143"/>
    </row>
    <row r="778" spans="1:5" x14ac:dyDescent="0.25">
      <c r="A778" t="s">
        <v>852</v>
      </c>
      <c r="B778" s="143">
        <v>43847</v>
      </c>
      <c r="C778">
        <v>138.31</v>
      </c>
      <c r="D778">
        <v>5.6233360000000001</v>
      </c>
      <c r="E778" s="143"/>
    </row>
    <row r="779" spans="1:5" x14ac:dyDescent="0.25">
      <c r="A779" t="s">
        <v>852</v>
      </c>
      <c r="B779" s="143">
        <v>43851</v>
      </c>
      <c r="C779">
        <v>139.16999999999999</v>
      </c>
      <c r="D779">
        <v>7.2440790000000002</v>
      </c>
      <c r="E779" s="143"/>
    </row>
    <row r="780" spans="1:5" x14ac:dyDescent="0.25">
      <c r="A780" t="s">
        <v>852</v>
      </c>
      <c r="B780" s="143">
        <v>43852</v>
      </c>
      <c r="C780">
        <v>143.88999999999999</v>
      </c>
      <c r="D780">
        <v>16.470431000000001</v>
      </c>
      <c r="E780" s="143"/>
    </row>
    <row r="781" spans="1:5" x14ac:dyDescent="0.25">
      <c r="A781" t="s">
        <v>852</v>
      </c>
      <c r="B781" s="143">
        <v>43853</v>
      </c>
      <c r="C781">
        <v>142.87</v>
      </c>
      <c r="D781">
        <v>5.6577900000000003</v>
      </c>
      <c r="E781" s="143"/>
    </row>
    <row r="782" spans="1:5" x14ac:dyDescent="0.25">
      <c r="A782" t="s">
        <v>852</v>
      </c>
      <c r="B782" s="143">
        <v>43854</v>
      </c>
      <c r="C782">
        <v>140.56</v>
      </c>
      <c r="D782">
        <v>5.5801889999999998</v>
      </c>
      <c r="E782" s="143"/>
    </row>
    <row r="783" spans="1:5" x14ac:dyDescent="0.25">
      <c r="A783" t="s">
        <v>852</v>
      </c>
      <c r="B783" s="143">
        <v>43857</v>
      </c>
      <c r="C783">
        <v>138.62</v>
      </c>
      <c r="D783">
        <v>4.1665619999999999</v>
      </c>
      <c r="E783" s="143"/>
    </row>
    <row r="784" spans="1:5" x14ac:dyDescent="0.25">
      <c r="A784" t="s">
        <v>852</v>
      </c>
      <c r="B784" s="143">
        <v>43858</v>
      </c>
      <c r="C784">
        <v>139.55000000000001</v>
      </c>
      <c r="D784">
        <v>3.4515570000000002</v>
      </c>
      <c r="E784" s="143"/>
    </row>
    <row r="785" spans="1:12" x14ac:dyDescent="0.25">
      <c r="A785" t="s">
        <v>852</v>
      </c>
      <c r="B785" s="143">
        <v>43859</v>
      </c>
      <c r="C785">
        <v>137.69</v>
      </c>
      <c r="D785">
        <v>3.0547140000000002</v>
      </c>
      <c r="E785" s="143"/>
    </row>
    <row r="786" spans="1:12" x14ac:dyDescent="0.25">
      <c r="A786" t="s">
        <v>852</v>
      </c>
      <c r="B786" s="143">
        <v>43860</v>
      </c>
      <c r="C786">
        <v>136.77000000000001</v>
      </c>
      <c r="D786">
        <v>5.057906</v>
      </c>
      <c r="E786" s="143"/>
    </row>
    <row r="787" spans="1:12" x14ac:dyDescent="0.25">
      <c r="A787" t="s">
        <v>852</v>
      </c>
      <c r="B787" s="143">
        <v>43861</v>
      </c>
      <c r="C787">
        <v>143.72999999999999</v>
      </c>
      <c r="D787">
        <v>18.99456</v>
      </c>
      <c r="E787" s="143"/>
    </row>
    <row r="788" spans="1:12" x14ac:dyDescent="0.25">
      <c r="A788" t="s">
        <v>852</v>
      </c>
      <c r="B788" s="143">
        <v>43864</v>
      </c>
      <c r="C788">
        <v>146.27000000000001</v>
      </c>
      <c r="D788">
        <v>8.8875019999999996</v>
      </c>
      <c r="E788" s="143"/>
    </row>
    <row r="789" spans="1:12" x14ac:dyDescent="0.25">
      <c r="A789" t="s">
        <v>852</v>
      </c>
      <c r="B789" s="143">
        <v>43865</v>
      </c>
      <c r="C789">
        <v>149.11000000000001</v>
      </c>
      <c r="D789">
        <v>5.6209660000000001</v>
      </c>
      <c r="E789" s="143"/>
    </row>
    <row r="790" spans="1:12" x14ac:dyDescent="0.25">
      <c r="A790" t="s">
        <v>852</v>
      </c>
      <c r="B790" s="143">
        <v>43866</v>
      </c>
      <c r="C790">
        <v>156.33000000000001</v>
      </c>
      <c r="D790">
        <v>14.386823</v>
      </c>
      <c r="E790" s="143"/>
    </row>
    <row r="791" spans="1:12" x14ac:dyDescent="0.25">
      <c r="A791" t="s">
        <v>852</v>
      </c>
      <c r="B791" s="143">
        <v>43867</v>
      </c>
      <c r="C791">
        <v>156.76</v>
      </c>
      <c r="D791">
        <v>8.4005449999999993</v>
      </c>
      <c r="E791" s="143"/>
    </row>
    <row r="792" spans="1:12" x14ac:dyDescent="0.25">
      <c r="A792" t="s">
        <v>852</v>
      </c>
      <c r="B792" s="143">
        <v>43868</v>
      </c>
      <c r="C792">
        <v>153.41</v>
      </c>
      <c r="D792">
        <v>6.4234289999999996</v>
      </c>
      <c r="E792" s="143">
        <v>43900</v>
      </c>
      <c r="F792">
        <v>1.62</v>
      </c>
      <c r="G792" t="s">
        <v>683</v>
      </c>
      <c r="H792" t="s">
        <v>778</v>
      </c>
      <c r="I792" t="s">
        <v>687</v>
      </c>
      <c r="J792">
        <v>2020</v>
      </c>
      <c r="K792">
        <v>1</v>
      </c>
      <c r="L792">
        <v>2</v>
      </c>
    </row>
    <row r="793" spans="1:12" x14ac:dyDescent="0.25">
      <c r="A793" t="s">
        <v>852</v>
      </c>
      <c r="B793" s="143">
        <v>43871</v>
      </c>
      <c r="C793">
        <v>154.43</v>
      </c>
      <c r="D793">
        <v>5.2398069999999999</v>
      </c>
      <c r="E793" s="143"/>
    </row>
    <row r="794" spans="1:12" x14ac:dyDescent="0.25">
      <c r="A794" t="s">
        <v>852</v>
      </c>
      <c r="B794" s="143">
        <v>43872</v>
      </c>
      <c r="C794">
        <v>153.47999999999999</v>
      </c>
      <c r="D794">
        <v>3.8351120000000001</v>
      </c>
      <c r="E794" s="143"/>
    </row>
    <row r="795" spans="1:12" x14ac:dyDescent="0.25">
      <c r="A795" t="s">
        <v>852</v>
      </c>
      <c r="B795" s="143">
        <v>43873</v>
      </c>
      <c r="C795">
        <v>155.31</v>
      </c>
      <c r="D795">
        <v>4.4380069999999998</v>
      </c>
      <c r="E795" s="143"/>
    </row>
    <row r="796" spans="1:12" x14ac:dyDescent="0.25">
      <c r="A796" t="s">
        <v>852</v>
      </c>
      <c r="B796" s="143">
        <v>43874</v>
      </c>
      <c r="C796">
        <v>154.31</v>
      </c>
      <c r="D796">
        <v>3.820697</v>
      </c>
      <c r="E796" s="143"/>
    </row>
    <row r="797" spans="1:12" x14ac:dyDescent="0.25">
      <c r="A797" t="s">
        <v>852</v>
      </c>
      <c r="B797" s="143">
        <v>43875</v>
      </c>
      <c r="C797">
        <v>150.69999999999999</v>
      </c>
      <c r="D797">
        <v>6.0992439999999997</v>
      </c>
      <c r="E797" s="143"/>
    </row>
    <row r="798" spans="1:12" x14ac:dyDescent="0.25">
      <c r="A798" t="s">
        <v>852</v>
      </c>
      <c r="B798" s="143">
        <v>43879</v>
      </c>
      <c r="C798">
        <v>151.1</v>
      </c>
      <c r="D798">
        <v>3.3435139999999999</v>
      </c>
      <c r="E798" s="143"/>
    </row>
    <row r="799" spans="1:12" x14ac:dyDescent="0.25">
      <c r="A799" t="s">
        <v>852</v>
      </c>
      <c r="B799" s="143">
        <v>43880</v>
      </c>
      <c r="C799">
        <v>150.86000000000001</v>
      </c>
      <c r="D799">
        <v>2.7332770000000002</v>
      </c>
      <c r="E799" s="143"/>
    </row>
    <row r="800" spans="1:12" x14ac:dyDescent="0.25">
      <c r="A800" t="s">
        <v>852</v>
      </c>
      <c r="B800" s="143">
        <v>43881</v>
      </c>
      <c r="C800">
        <v>151.22</v>
      </c>
      <c r="D800">
        <v>2.880709</v>
      </c>
      <c r="E800" s="143"/>
    </row>
    <row r="801" spans="1:5" x14ac:dyDescent="0.25">
      <c r="A801" t="s">
        <v>852</v>
      </c>
      <c r="B801" s="143">
        <v>43882</v>
      </c>
      <c r="C801">
        <v>149.84</v>
      </c>
      <c r="D801">
        <v>3.537258</v>
      </c>
      <c r="E801" s="143"/>
    </row>
    <row r="802" spans="1:5" x14ac:dyDescent="0.25">
      <c r="A802" t="s">
        <v>852</v>
      </c>
      <c r="B802" s="143">
        <v>43885</v>
      </c>
      <c r="C802">
        <v>146.43</v>
      </c>
      <c r="D802">
        <v>5.4524080000000001</v>
      </c>
      <c r="E802" s="143"/>
    </row>
    <row r="803" spans="1:5" x14ac:dyDescent="0.25">
      <c r="A803" t="s">
        <v>852</v>
      </c>
      <c r="B803" s="143">
        <v>43886</v>
      </c>
      <c r="C803">
        <v>141.71</v>
      </c>
      <c r="D803">
        <v>6.2115470000000004</v>
      </c>
      <c r="E803" s="143"/>
    </row>
    <row r="804" spans="1:5" x14ac:dyDescent="0.25">
      <c r="A804" t="s">
        <v>852</v>
      </c>
      <c r="B804" s="143">
        <v>43887</v>
      </c>
      <c r="C804">
        <v>139.75</v>
      </c>
      <c r="D804">
        <v>5.4095370000000003</v>
      </c>
      <c r="E804" s="143"/>
    </row>
    <row r="805" spans="1:5" x14ac:dyDescent="0.25">
      <c r="A805" t="s">
        <v>852</v>
      </c>
      <c r="B805" s="143">
        <v>43888</v>
      </c>
      <c r="C805">
        <v>133.11000000000001</v>
      </c>
      <c r="D805">
        <v>8.421125</v>
      </c>
      <c r="E805" s="143"/>
    </row>
    <row r="806" spans="1:5" x14ac:dyDescent="0.25">
      <c r="A806" t="s">
        <v>852</v>
      </c>
      <c r="B806" s="143">
        <v>43889</v>
      </c>
      <c r="C806">
        <v>130.15</v>
      </c>
      <c r="D806">
        <v>13.012228</v>
      </c>
      <c r="E806" s="143"/>
    </row>
    <row r="807" spans="1:5" x14ac:dyDescent="0.25">
      <c r="A807" t="s">
        <v>852</v>
      </c>
      <c r="B807" s="143">
        <v>43892</v>
      </c>
      <c r="C807">
        <v>134.30000000000001</v>
      </c>
      <c r="D807">
        <v>8.5314150000000009</v>
      </c>
      <c r="E807" s="143"/>
    </row>
    <row r="808" spans="1:5" x14ac:dyDescent="0.25">
      <c r="A808" t="s">
        <v>852</v>
      </c>
      <c r="B808" s="143">
        <v>43893</v>
      </c>
      <c r="C808">
        <v>128.9</v>
      </c>
      <c r="D808">
        <v>7.8960679999999996</v>
      </c>
      <c r="E808" s="143"/>
    </row>
    <row r="809" spans="1:5" x14ac:dyDescent="0.25">
      <c r="A809" t="s">
        <v>852</v>
      </c>
      <c r="B809" s="143">
        <v>43894</v>
      </c>
      <c r="C809">
        <v>134.22</v>
      </c>
      <c r="D809">
        <v>4.9963699999999998</v>
      </c>
      <c r="E809" s="143"/>
    </row>
    <row r="810" spans="1:5" x14ac:dyDescent="0.25">
      <c r="A810" t="s">
        <v>852</v>
      </c>
      <c r="B810" s="143">
        <v>43895</v>
      </c>
      <c r="C810">
        <v>129.55000000000001</v>
      </c>
      <c r="D810">
        <v>5.4462270000000004</v>
      </c>
      <c r="E810" s="143"/>
    </row>
    <row r="811" spans="1:5" x14ac:dyDescent="0.25">
      <c r="A811" t="s">
        <v>852</v>
      </c>
      <c r="B811" s="143">
        <v>43896</v>
      </c>
      <c r="C811">
        <v>127.73</v>
      </c>
      <c r="D811">
        <v>8.1932569999999991</v>
      </c>
      <c r="E811" s="143"/>
    </row>
    <row r="812" spans="1:5" x14ac:dyDescent="0.25">
      <c r="A812" t="s">
        <v>852</v>
      </c>
      <c r="B812" s="143">
        <v>43899</v>
      </c>
      <c r="C812">
        <v>117.81</v>
      </c>
      <c r="D812">
        <v>10.757486999999999</v>
      </c>
      <c r="E812" s="143"/>
    </row>
    <row r="813" spans="1:5" x14ac:dyDescent="0.25">
      <c r="A813" t="s">
        <v>852</v>
      </c>
      <c r="B813" s="143">
        <v>43900</v>
      </c>
      <c r="C813">
        <v>124.77</v>
      </c>
      <c r="D813">
        <v>11.410688</v>
      </c>
      <c r="E813" s="143"/>
    </row>
    <row r="814" spans="1:5" x14ac:dyDescent="0.25">
      <c r="A814" t="s">
        <v>852</v>
      </c>
      <c r="B814" s="143">
        <v>43901</v>
      </c>
      <c r="C814">
        <v>117.97</v>
      </c>
      <c r="D814">
        <v>8.4510380000000005</v>
      </c>
      <c r="E814" s="143"/>
    </row>
    <row r="815" spans="1:5" x14ac:dyDescent="0.25">
      <c r="A815" t="s">
        <v>852</v>
      </c>
      <c r="B815" s="143">
        <v>43902</v>
      </c>
      <c r="C815">
        <v>102.81</v>
      </c>
      <c r="D815">
        <v>12.512655000000001</v>
      </c>
      <c r="E815" s="143"/>
    </row>
    <row r="816" spans="1:5" x14ac:dyDescent="0.25">
      <c r="A816" t="s">
        <v>852</v>
      </c>
      <c r="B816" s="143">
        <v>43903</v>
      </c>
      <c r="C816">
        <v>107.95</v>
      </c>
      <c r="D816">
        <v>12.502113</v>
      </c>
      <c r="E816" s="143"/>
    </row>
    <row r="817" spans="1:5" x14ac:dyDescent="0.25">
      <c r="A817" t="s">
        <v>852</v>
      </c>
      <c r="B817" s="143">
        <v>43906</v>
      </c>
      <c r="C817">
        <v>99.08</v>
      </c>
      <c r="D817">
        <v>10.567959999999999</v>
      </c>
      <c r="E817" s="143"/>
    </row>
    <row r="818" spans="1:5" x14ac:dyDescent="0.25">
      <c r="A818" t="s">
        <v>852</v>
      </c>
      <c r="B818" s="143">
        <v>43907</v>
      </c>
      <c r="C818">
        <v>106.65</v>
      </c>
      <c r="D818">
        <v>9.2583380000000002</v>
      </c>
      <c r="E818" s="143"/>
    </row>
    <row r="819" spans="1:5" x14ac:dyDescent="0.25">
      <c r="A819" t="s">
        <v>852</v>
      </c>
      <c r="B819" s="143">
        <v>43908</v>
      </c>
      <c r="C819">
        <v>103.55</v>
      </c>
      <c r="D819">
        <v>8.7724600000000006</v>
      </c>
      <c r="E819" s="143"/>
    </row>
    <row r="820" spans="1:5" x14ac:dyDescent="0.25">
      <c r="A820" t="s">
        <v>852</v>
      </c>
      <c r="B820" s="143">
        <v>43909</v>
      </c>
      <c r="C820">
        <v>100.34</v>
      </c>
      <c r="D820">
        <v>8.3965209999999999</v>
      </c>
      <c r="E820" s="143"/>
    </row>
    <row r="821" spans="1:5" x14ac:dyDescent="0.25">
      <c r="A821" t="s">
        <v>852</v>
      </c>
      <c r="B821" s="143">
        <v>43910</v>
      </c>
      <c r="C821">
        <v>95.39</v>
      </c>
      <c r="D821">
        <v>10.546455</v>
      </c>
      <c r="E821" s="143"/>
    </row>
    <row r="822" spans="1:5" x14ac:dyDescent="0.25">
      <c r="A822" t="s">
        <v>852</v>
      </c>
      <c r="B822" s="143">
        <v>43913</v>
      </c>
      <c r="C822">
        <v>94.77</v>
      </c>
      <c r="D822">
        <v>9.729393</v>
      </c>
      <c r="E822" s="143"/>
    </row>
    <row r="823" spans="1:5" x14ac:dyDescent="0.25">
      <c r="A823" t="s">
        <v>852</v>
      </c>
      <c r="B823" s="143">
        <v>43914</v>
      </c>
      <c r="C823">
        <v>105.48</v>
      </c>
      <c r="D823">
        <v>7.9739440000000004</v>
      </c>
      <c r="E823" s="143"/>
    </row>
    <row r="824" spans="1:5" x14ac:dyDescent="0.25">
      <c r="A824" t="s">
        <v>852</v>
      </c>
      <c r="B824" s="143">
        <v>43915</v>
      </c>
      <c r="C824">
        <v>105.85</v>
      </c>
      <c r="D824">
        <v>8.6540470000000003</v>
      </c>
      <c r="E824" s="143"/>
    </row>
    <row r="825" spans="1:5" x14ac:dyDescent="0.25">
      <c r="A825" t="s">
        <v>852</v>
      </c>
      <c r="B825" s="143">
        <v>43916</v>
      </c>
      <c r="C825">
        <v>112.89</v>
      </c>
      <c r="D825">
        <v>7.1580519999999996</v>
      </c>
      <c r="E825" s="143"/>
    </row>
    <row r="826" spans="1:5" x14ac:dyDescent="0.25">
      <c r="A826" t="s">
        <v>852</v>
      </c>
      <c r="B826" s="143">
        <v>43917</v>
      </c>
      <c r="C826">
        <v>108.03</v>
      </c>
      <c r="D826">
        <v>6.423038</v>
      </c>
      <c r="E826" s="143"/>
    </row>
    <row r="827" spans="1:5" x14ac:dyDescent="0.25">
      <c r="A827" t="s">
        <v>852</v>
      </c>
      <c r="B827" s="143">
        <v>43920</v>
      </c>
      <c r="C827">
        <v>112.93</v>
      </c>
      <c r="D827">
        <v>5.5645410000000002</v>
      </c>
      <c r="E827" s="143"/>
    </row>
    <row r="828" spans="1:5" x14ac:dyDescent="0.25">
      <c r="A828" t="s">
        <v>852</v>
      </c>
      <c r="B828" s="143">
        <v>43921</v>
      </c>
      <c r="C828">
        <v>110.93</v>
      </c>
      <c r="D828">
        <v>6.3466760000000004</v>
      </c>
      <c r="E828" s="143"/>
    </row>
    <row r="829" spans="1:5" x14ac:dyDescent="0.25">
      <c r="A829" t="s">
        <v>852</v>
      </c>
      <c r="B829" s="143">
        <v>43922</v>
      </c>
      <c r="C829">
        <v>105.14</v>
      </c>
      <c r="D829">
        <v>6.1129470000000001</v>
      </c>
      <c r="E829" s="143"/>
    </row>
    <row r="830" spans="1:5" x14ac:dyDescent="0.25">
      <c r="A830" t="s">
        <v>852</v>
      </c>
      <c r="B830" s="143">
        <v>43923</v>
      </c>
      <c r="C830">
        <v>110</v>
      </c>
      <c r="D830">
        <v>6.3286740000000004</v>
      </c>
      <c r="E830" s="143"/>
    </row>
    <row r="831" spans="1:5" x14ac:dyDescent="0.25">
      <c r="A831" t="s">
        <v>852</v>
      </c>
      <c r="B831" s="143">
        <v>43924</v>
      </c>
      <c r="C831">
        <v>106.34</v>
      </c>
      <c r="D831">
        <v>4.5387500000000003</v>
      </c>
      <c r="E831" s="143"/>
    </row>
    <row r="832" spans="1:5" x14ac:dyDescent="0.25">
      <c r="A832" t="s">
        <v>852</v>
      </c>
      <c r="B832" s="143">
        <v>43927</v>
      </c>
      <c r="C832">
        <v>114.82</v>
      </c>
      <c r="D832">
        <v>7.0341930000000001</v>
      </c>
      <c r="E832" s="143"/>
    </row>
    <row r="833" spans="1:5" x14ac:dyDescent="0.25">
      <c r="A833" t="s">
        <v>852</v>
      </c>
      <c r="B833" s="143">
        <v>43928</v>
      </c>
      <c r="C833">
        <v>114.94</v>
      </c>
      <c r="D833">
        <v>5.5953290000000004</v>
      </c>
      <c r="E833" s="143"/>
    </row>
    <row r="834" spans="1:5" x14ac:dyDescent="0.25">
      <c r="A834" t="s">
        <v>852</v>
      </c>
      <c r="B834" s="143">
        <v>43929</v>
      </c>
      <c r="C834">
        <v>119.29</v>
      </c>
      <c r="D834">
        <v>5.1586410000000003</v>
      </c>
      <c r="E834" s="143"/>
    </row>
    <row r="835" spans="1:5" x14ac:dyDescent="0.25">
      <c r="A835" t="s">
        <v>852</v>
      </c>
      <c r="B835" s="143">
        <v>43930</v>
      </c>
      <c r="C835">
        <v>121.5</v>
      </c>
      <c r="D835">
        <v>5.5768149999999999</v>
      </c>
      <c r="E835" s="143"/>
    </row>
    <row r="836" spans="1:5" x14ac:dyDescent="0.25">
      <c r="A836" t="s">
        <v>852</v>
      </c>
      <c r="B836" s="143">
        <v>43934</v>
      </c>
      <c r="C836">
        <v>121.15</v>
      </c>
      <c r="D836">
        <v>5.119713</v>
      </c>
      <c r="E836" s="143"/>
    </row>
    <row r="837" spans="1:5" x14ac:dyDescent="0.25">
      <c r="A837" t="s">
        <v>852</v>
      </c>
      <c r="B837" s="143">
        <v>43935</v>
      </c>
      <c r="C837">
        <v>123.91</v>
      </c>
      <c r="D837">
        <v>5.08866</v>
      </c>
      <c r="E837" s="143"/>
    </row>
    <row r="838" spans="1:5" x14ac:dyDescent="0.25">
      <c r="A838" t="s">
        <v>852</v>
      </c>
      <c r="B838" s="143">
        <v>43936</v>
      </c>
      <c r="C838">
        <v>118.69</v>
      </c>
      <c r="D838">
        <v>5.6373410000000002</v>
      </c>
      <c r="E838" s="143"/>
    </row>
    <row r="839" spans="1:5" x14ac:dyDescent="0.25">
      <c r="A839" t="s">
        <v>852</v>
      </c>
      <c r="B839" s="143">
        <v>43937</v>
      </c>
      <c r="C839">
        <v>115.73</v>
      </c>
      <c r="D839">
        <v>6.4575560000000003</v>
      </c>
      <c r="E839" s="143"/>
    </row>
    <row r="840" spans="1:5" x14ac:dyDescent="0.25">
      <c r="A840" t="s">
        <v>852</v>
      </c>
      <c r="B840" s="143">
        <v>43938</v>
      </c>
      <c r="C840">
        <v>120.12</v>
      </c>
      <c r="D840">
        <v>4.965992</v>
      </c>
      <c r="E840" s="143"/>
    </row>
    <row r="841" spans="1:5" x14ac:dyDescent="0.25">
      <c r="A841" t="s">
        <v>852</v>
      </c>
      <c r="B841" s="143">
        <v>43941</v>
      </c>
      <c r="C841">
        <v>120.41</v>
      </c>
      <c r="D841">
        <v>8.1817360000000008</v>
      </c>
      <c r="E841" s="143"/>
    </row>
    <row r="842" spans="1:5" x14ac:dyDescent="0.25">
      <c r="A842" t="s">
        <v>852</v>
      </c>
      <c r="B842" s="143">
        <v>43942</v>
      </c>
      <c r="C842">
        <v>116.76</v>
      </c>
      <c r="D842">
        <v>14.349031999999999</v>
      </c>
      <c r="E842" s="143"/>
    </row>
    <row r="843" spans="1:5" x14ac:dyDescent="0.25">
      <c r="A843" t="s">
        <v>852</v>
      </c>
      <c r="B843" s="143">
        <v>43943</v>
      </c>
      <c r="C843">
        <v>119.31</v>
      </c>
      <c r="D843">
        <v>7.0878690000000004</v>
      </c>
      <c r="E843" s="143"/>
    </row>
    <row r="844" spans="1:5" x14ac:dyDescent="0.25">
      <c r="A844" t="s">
        <v>852</v>
      </c>
      <c r="B844" s="143">
        <v>43944</v>
      </c>
      <c r="C844">
        <v>121.35</v>
      </c>
      <c r="D844">
        <v>6.881615</v>
      </c>
      <c r="E844" s="143"/>
    </row>
    <row r="845" spans="1:5" x14ac:dyDescent="0.25">
      <c r="A845" t="s">
        <v>852</v>
      </c>
      <c r="B845" s="143">
        <v>43945</v>
      </c>
      <c r="C845">
        <v>124.72</v>
      </c>
      <c r="D845">
        <v>4.9873459999999996</v>
      </c>
      <c r="E845" s="143"/>
    </row>
    <row r="846" spans="1:5" x14ac:dyDescent="0.25">
      <c r="A846" t="s">
        <v>852</v>
      </c>
      <c r="B846" s="143">
        <v>43948</v>
      </c>
      <c r="C846">
        <v>125.92</v>
      </c>
      <c r="D846">
        <v>4.9238059999999999</v>
      </c>
      <c r="E846" s="143"/>
    </row>
    <row r="847" spans="1:5" x14ac:dyDescent="0.25">
      <c r="A847" t="s">
        <v>852</v>
      </c>
      <c r="B847" s="143">
        <v>43949</v>
      </c>
      <c r="C847">
        <v>126.27</v>
      </c>
      <c r="D847">
        <v>4.7781440000000002</v>
      </c>
      <c r="E847" s="143"/>
    </row>
    <row r="848" spans="1:5" x14ac:dyDescent="0.25">
      <c r="A848" t="s">
        <v>852</v>
      </c>
      <c r="B848" s="143">
        <v>43950</v>
      </c>
      <c r="C848">
        <v>128.69</v>
      </c>
      <c r="D848">
        <v>5.2575789999999998</v>
      </c>
      <c r="E848" s="143"/>
    </row>
    <row r="849" spans="1:12" x14ac:dyDescent="0.25">
      <c r="A849" t="s">
        <v>852</v>
      </c>
      <c r="B849" s="143">
        <v>43951</v>
      </c>
      <c r="C849">
        <v>125.56</v>
      </c>
      <c r="D849">
        <v>6.635783</v>
      </c>
      <c r="E849" s="143"/>
    </row>
    <row r="850" spans="1:12" x14ac:dyDescent="0.25">
      <c r="A850" t="s">
        <v>852</v>
      </c>
      <c r="B850" s="143">
        <v>43952</v>
      </c>
      <c r="C850">
        <v>121.87</v>
      </c>
      <c r="D850">
        <v>4.925535</v>
      </c>
      <c r="E850" s="143"/>
    </row>
    <row r="851" spans="1:12" x14ac:dyDescent="0.25">
      <c r="A851" t="s">
        <v>852</v>
      </c>
      <c r="B851" s="143">
        <v>43955</v>
      </c>
      <c r="C851">
        <v>121.68</v>
      </c>
      <c r="D851">
        <v>4.0178770000000004</v>
      </c>
      <c r="E851" s="143"/>
    </row>
    <row r="852" spans="1:12" x14ac:dyDescent="0.25">
      <c r="A852" t="s">
        <v>852</v>
      </c>
      <c r="B852" s="143">
        <v>43956</v>
      </c>
      <c r="C852">
        <v>122.58</v>
      </c>
      <c r="D852">
        <v>3.899416</v>
      </c>
      <c r="E852" s="143"/>
    </row>
    <row r="853" spans="1:12" x14ac:dyDescent="0.25">
      <c r="A853" t="s">
        <v>852</v>
      </c>
      <c r="B853" s="143">
        <v>43957</v>
      </c>
      <c r="C853">
        <v>123.17</v>
      </c>
      <c r="D853">
        <v>3.8645890000000001</v>
      </c>
      <c r="E853" s="143"/>
    </row>
    <row r="854" spans="1:12" x14ac:dyDescent="0.25">
      <c r="A854" t="s">
        <v>852</v>
      </c>
      <c r="B854" s="143">
        <v>43958</v>
      </c>
      <c r="C854">
        <v>121.23</v>
      </c>
      <c r="D854">
        <v>4.4143280000000003</v>
      </c>
      <c r="E854" s="143">
        <v>43992</v>
      </c>
      <c r="F854">
        <v>1.63</v>
      </c>
      <c r="G854" t="s">
        <v>683</v>
      </c>
      <c r="H854" t="s">
        <v>778</v>
      </c>
      <c r="I854" t="s">
        <v>687</v>
      </c>
      <c r="J854">
        <v>2020</v>
      </c>
      <c r="K854">
        <v>2</v>
      </c>
      <c r="L854">
        <v>3</v>
      </c>
    </row>
    <row r="855" spans="1:12" x14ac:dyDescent="0.25">
      <c r="A855" t="s">
        <v>852</v>
      </c>
      <c r="B855" s="143">
        <v>43959</v>
      </c>
      <c r="C855">
        <v>122.99</v>
      </c>
      <c r="D855">
        <v>5.0039389999999999</v>
      </c>
      <c r="E855" s="143"/>
    </row>
    <row r="856" spans="1:12" x14ac:dyDescent="0.25">
      <c r="A856" t="s">
        <v>852</v>
      </c>
      <c r="B856" s="143">
        <v>43962</v>
      </c>
      <c r="C856">
        <v>122.59</v>
      </c>
      <c r="D856">
        <v>3.5352760000000001</v>
      </c>
      <c r="E856" s="143"/>
    </row>
    <row r="857" spans="1:12" x14ac:dyDescent="0.25">
      <c r="A857" t="s">
        <v>852</v>
      </c>
      <c r="B857" s="143">
        <v>43963</v>
      </c>
      <c r="C857">
        <v>120.26</v>
      </c>
      <c r="D857">
        <v>4.7844569999999997</v>
      </c>
      <c r="E857" s="143"/>
    </row>
    <row r="858" spans="1:12" x14ac:dyDescent="0.25">
      <c r="A858" t="s">
        <v>852</v>
      </c>
      <c r="B858" s="143">
        <v>43964</v>
      </c>
      <c r="C858">
        <v>115.73</v>
      </c>
      <c r="D858">
        <v>5.8828129999999996</v>
      </c>
      <c r="E858" s="143"/>
    </row>
    <row r="859" spans="1:12" x14ac:dyDescent="0.25">
      <c r="A859" t="s">
        <v>852</v>
      </c>
      <c r="B859" s="143">
        <v>43965</v>
      </c>
      <c r="C859">
        <v>116.95</v>
      </c>
      <c r="D859">
        <v>5.2593730000000001</v>
      </c>
      <c r="E859" s="143"/>
    </row>
    <row r="860" spans="1:12" x14ac:dyDescent="0.25">
      <c r="A860" t="s">
        <v>852</v>
      </c>
      <c r="B860" s="143">
        <v>43966</v>
      </c>
      <c r="C860">
        <v>116.98</v>
      </c>
      <c r="D860">
        <v>4.7863300000000004</v>
      </c>
      <c r="E860" s="143"/>
    </row>
    <row r="861" spans="1:12" x14ac:dyDescent="0.25">
      <c r="A861" t="s">
        <v>852</v>
      </c>
      <c r="B861" s="143">
        <v>43969</v>
      </c>
      <c r="C861">
        <v>121.56</v>
      </c>
      <c r="D861">
        <v>4.2075930000000001</v>
      </c>
      <c r="E861" s="143"/>
    </row>
    <row r="862" spans="1:12" x14ac:dyDescent="0.25">
      <c r="A862" t="s">
        <v>852</v>
      </c>
      <c r="B862" s="143">
        <v>43970</v>
      </c>
      <c r="C862">
        <v>120.29</v>
      </c>
      <c r="D862">
        <v>3.241117</v>
      </c>
      <c r="E862" s="143"/>
    </row>
    <row r="863" spans="1:12" x14ac:dyDescent="0.25">
      <c r="A863" t="s">
        <v>852</v>
      </c>
      <c r="B863" s="143">
        <v>43971</v>
      </c>
      <c r="C863">
        <v>121.38</v>
      </c>
      <c r="D863">
        <v>3.8408579999999999</v>
      </c>
      <c r="E863" s="143"/>
    </row>
    <row r="864" spans="1:12" x14ac:dyDescent="0.25">
      <c r="A864" t="s">
        <v>852</v>
      </c>
      <c r="B864" s="143">
        <v>43972</v>
      </c>
      <c r="C864">
        <v>119.12</v>
      </c>
      <c r="D864">
        <v>4.0008629999999998</v>
      </c>
      <c r="E864" s="143"/>
    </row>
    <row r="865" spans="1:5" x14ac:dyDescent="0.25">
      <c r="A865" t="s">
        <v>852</v>
      </c>
      <c r="B865" s="143">
        <v>43973</v>
      </c>
      <c r="C865">
        <v>118.39</v>
      </c>
      <c r="D865">
        <v>4.180771</v>
      </c>
      <c r="E865" s="143"/>
    </row>
    <row r="866" spans="1:5" x14ac:dyDescent="0.25">
      <c r="A866" t="s">
        <v>852</v>
      </c>
      <c r="B866" s="143">
        <v>43977</v>
      </c>
      <c r="C866">
        <v>121.76</v>
      </c>
      <c r="D866">
        <v>5.4692819999999998</v>
      </c>
      <c r="E866" s="143"/>
    </row>
    <row r="867" spans="1:5" x14ac:dyDescent="0.25">
      <c r="A867" t="s">
        <v>852</v>
      </c>
      <c r="B867" s="143">
        <v>43978</v>
      </c>
      <c r="C867">
        <v>125.54</v>
      </c>
      <c r="D867">
        <v>5.7274960000000004</v>
      </c>
      <c r="E867" s="143"/>
    </row>
    <row r="868" spans="1:5" x14ac:dyDescent="0.25">
      <c r="A868" t="s">
        <v>852</v>
      </c>
      <c r="B868" s="143">
        <v>43979</v>
      </c>
      <c r="C868">
        <v>124.53</v>
      </c>
      <c r="D868">
        <v>3.9163770000000002</v>
      </c>
      <c r="E868" s="143"/>
    </row>
    <row r="869" spans="1:5" x14ac:dyDescent="0.25">
      <c r="A869" t="s">
        <v>852</v>
      </c>
      <c r="B869" s="143">
        <v>43980</v>
      </c>
      <c r="C869">
        <v>124.9</v>
      </c>
      <c r="D869">
        <v>7.9304670000000002</v>
      </c>
      <c r="E869" s="143"/>
    </row>
    <row r="870" spans="1:5" x14ac:dyDescent="0.25">
      <c r="A870" t="s">
        <v>852</v>
      </c>
      <c r="B870" s="143">
        <v>43983</v>
      </c>
      <c r="C870">
        <v>124.89</v>
      </c>
      <c r="D870">
        <v>2.8832939999999998</v>
      </c>
      <c r="E870" s="143"/>
    </row>
    <row r="871" spans="1:5" x14ac:dyDescent="0.25">
      <c r="A871" t="s">
        <v>852</v>
      </c>
      <c r="B871" s="143">
        <v>43984</v>
      </c>
      <c r="C871">
        <v>126</v>
      </c>
      <c r="D871">
        <v>2.978056</v>
      </c>
      <c r="E871" s="143"/>
    </row>
    <row r="872" spans="1:5" x14ac:dyDescent="0.25">
      <c r="A872" t="s">
        <v>852</v>
      </c>
      <c r="B872" s="143">
        <v>43985</v>
      </c>
      <c r="C872">
        <v>129.05000000000001</v>
      </c>
      <c r="D872">
        <v>3.9177460000000002</v>
      </c>
      <c r="E872" s="143"/>
    </row>
    <row r="873" spans="1:5" x14ac:dyDescent="0.25">
      <c r="A873" t="s">
        <v>852</v>
      </c>
      <c r="B873" s="143">
        <v>43986</v>
      </c>
      <c r="C873">
        <v>128.88999999999999</v>
      </c>
      <c r="D873">
        <v>3.8647849999999999</v>
      </c>
      <c r="E873" s="143"/>
    </row>
    <row r="874" spans="1:5" x14ac:dyDescent="0.25">
      <c r="A874" t="s">
        <v>852</v>
      </c>
      <c r="B874" s="143">
        <v>43987</v>
      </c>
      <c r="C874">
        <v>132.06</v>
      </c>
      <c r="D874">
        <v>5.8929600000000004</v>
      </c>
      <c r="E874" s="143"/>
    </row>
    <row r="875" spans="1:5" x14ac:dyDescent="0.25">
      <c r="A875" t="s">
        <v>852</v>
      </c>
      <c r="B875" s="143">
        <v>43990</v>
      </c>
      <c r="C875">
        <v>135.75</v>
      </c>
      <c r="D875">
        <v>5.3704689999999999</v>
      </c>
      <c r="E875" s="143"/>
    </row>
    <row r="876" spans="1:5" x14ac:dyDescent="0.25">
      <c r="A876" t="s">
        <v>852</v>
      </c>
      <c r="B876" s="143">
        <v>43991</v>
      </c>
      <c r="C876">
        <v>131.87</v>
      </c>
      <c r="D876">
        <v>5.3936440000000001</v>
      </c>
      <c r="E876" s="143"/>
    </row>
    <row r="877" spans="1:5" x14ac:dyDescent="0.25">
      <c r="A877" t="s">
        <v>852</v>
      </c>
      <c r="B877" s="143">
        <v>43992</v>
      </c>
      <c r="C877">
        <v>129.87</v>
      </c>
      <c r="D877">
        <v>4.7348350000000003</v>
      </c>
      <c r="E877" s="143"/>
    </row>
    <row r="878" spans="1:5" x14ac:dyDescent="0.25">
      <c r="A878" t="s">
        <v>852</v>
      </c>
      <c r="B878" s="143">
        <v>43993</v>
      </c>
      <c r="C878">
        <v>118.01</v>
      </c>
      <c r="D878">
        <v>11.763629</v>
      </c>
      <c r="E878" s="143"/>
    </row>
    <row r="879" spans="1:5" x14ac:dyDescent="0.25">
      <c r="A879" t="s">
        <v>852</v>
      </c>
      <c r="B879" s="143">
        <v>43994</v>
      </c>
      <c r="C879">
        <v>121.91</v>
      </c>
      <c r="D879">
        <v>6.2203270000000002</v>
      </c>
      <c r="E879" s="143"/>
    </row>
    <row r="880" spans="1:5" x14ac:dyDescent="0.25">
      <c r="A880" t="s">
        <v>852</v>
      </c>
      <c r="B880" s="143">
        <v>43997</v>
      </c>
      <c r="C880">
        <v>121.65</v>
      </c>
      <c r="D880">
        <v>5.1512399999999996</v>
      </c>
      <c r="E880" s="143"/>
    </row>
    <row r="881" spans="1:5" x14ac:dyDescent="0.25">
      <c r="A881" t="s">
        <v>852</v>
      </c>
      <c r="B881" s="143">
        <v>43998</v>
      </c>
      <c r="C881">
        <v>125.15</v>
      </c>
      <c r="D881">
        <v>5.6090869999999997</v>
      </c>
      <c r="E881" s="143"/>
    </row>
    <row r="882" spans="1:5" x14ac:dyDescent="0.25">
      <c r="A882" t="s">
        <v>852</v>
      </c>
      <c r="B882" s="143">
        <v>43999</v>
      </c>
      <c r="C882">
        <v>124.15</v>
      </c>
      <c r="D882">
        <v>3.1568360000000002</v>
      </c>
      <c r="E882" s="143"/>
    </row>
    <row r="883" spans="1:5" x14ac:dyDescent="0.25">
      <c r="A883" t="s">
        <v>852</v>
      </c>
      <c r="B883" s="143">
        <v>44000</v>
      </c>
      <c r="C883">
        <v>124.16</v>
      </c>
      <c r="D883">
        <v>2.8653620000000002</v>
      </c>
      <c r="E883" s="143"/>
    </row>
    <row r="884" spans="1:5" x14ac:dyDescent="0.25">
      <c r="A884" t="s">
        <v>852</v>
      </c>
      <c r="B884" s="143">
        <v>44001</v>
      </c>
      <c r="C884">
        <v>122.47</v>
      </c>
      <c r="D884">
        <v>8.0923540000000003</v>
      </c>
      <c r="E884" s="143"/>
    </row>
    <row r="885" spans="1:5" x14ac:dyDescent="0.25">
      <c r="A885" t="s">
        <v>852</v>
      </c>
      <c r="B885" s="143">
        <v>44004</v>
      </c>
      <c r="C885">
        <v>121.07</v>
      </c>
      <c r="D885">
        <v>4.7734990000000002</v>
      </c>
      <c r="E885" s="143"/>
    </row>
    <row r="886" spans="1:5" x14ac:dyDescent="0.25">
      <c r="A886" t="s">
        <v>852</v>
      </c>
      <c r="B886" s="143">
        <v>44005</v>
      </c>
      <c r="C886">
        <v>119.41</v>
      </c>
      <c r="D886">
        <v>6.6326049999999999</v>
      </c>
      <c r="E886" s="143"/>
    </row>
    <row r="887" spans="1:5" x14ac:dyDescent="0.25">
      <c r="A887" t="s">
        <v>852</v>
      </c>
      <c r="B887" s="143">
        <v>44006</v>
      </c>
      <c r="C887">
        <v>116.42</v>
      </c>
      <c r="D887">
        <v>6.7509899999999998</v>
      </c>
      <c r="E887" s="143"/>
    </row>
    <row r="888" spans="1:5" x14ac:dyDescent="0.25">
      <c r="A888" t="s">
        <v>852</v>
      </c>
      <c r="B888" s="143">
        <v>44007</v>
      </c>
      <c r="C888">
        <v>119.03</v>
      </c>
      <c r="D888">
        <v>6.1306260000000004</v>
      </c>
      <c r="E888" s="143"/>
    </row>
    <row r="889" spans="1:5" x14ac:dyDescent="0.25">
      <c r="A889" t="s">
        <v>852</v>
      </c>
      <c r="B889" s="143">
        <v>44008</v>
      </c>
      <c r="C889">
        <v>117.19</v>
      </c>
      <c r="D889">
        <v>10.750107</v>
      </c>
      <c r="E889" s="143"/>
    </row>
    <row r="890" spans="1:5" x14ac:dyDescent="0.25">
      <c r="A890" t="s">
        <v>852</v>
      </c>
      <c r="B890" s="143">
        <v>44011</v>
      </c>
      <c r="C890">
        <v>119.75</v>
      </c>
      <c r="D890">
        <v>4.1594879999999996</v>
      </c>
      <c r="E890" s="143"/>
    </row>
    <row r="891" spans="1:5" x14ac:dyDescent="0.25">
      <c r="A891" t="s">
        <v>852</v>
      </c>
      <c r="B891" s="143">
        <v>44012</v>
      </c>
      <c r="C891">
        <v>120.77</v>
      </c>
      <c r="D891">
        <v>3.9194689999999999</v>
      </c>
      <c r="E891" s="143"/>
    </row>
    <row r="892" spans="1:5" x14ac:dyDescent="0.25">
      <c r="A892" t="s">
        <v>852</v>
      </c>
      <c r="B892" s="143">
        <v>44013</v>
      </c>
      <c r="C892">
        <v>118.54</v>
      </c>
      <c r="D892">
        <v>4.6557649999999997</v>
      </c>
      <c r="E892" s="143"/>
    </row>
    <row r="893" spans="1:5" x14ac:dyDescent="0.25">
      <c r="A893" t="s">
        <v>852</v>
      </c>
      <c r="B893" s="143">
        <v>44014</v>
      </c>
      <c r="C893">
        <v>119.7</v>
      </c>
      <c r="D893">
        <v>3.7469579999999998</v>
      </c>
      <c r="E893" s="143"/>
    </row>
    <row r="894" spans="1:5" x14ac:dyDescent="0.25">
      <c r="A894" t="s">
        <v>852</v>
      </c>
      <c r="B894" s="143">
        <v>44018</v>
      </c>
      <c r="C894">
        <v>120.19</v>
      </c>
      <c r="D894">
        <v>4.045439</v>
      </c>
      <c r="E894" s="143"/>
    </row>
    <row r="895" spans="1:5" x14ac:dyDescent="0.25">
      <c r="A895" t="s">
        <v>852</v>
      </c>
      <c r="B895" s="143">
        <v>44019</v>
      </c>
      <c r="C895">
        <v>117.58</v>
      </c>
      <c r="D895">
        <v>4.2783069999999999</v>
      </c>
      <c r="E895" s="143"/>
    </row>
    <row r="896" spans="1:5" x14ac:dyDescent="0.25">
      <c r="A896" t="s">
        <v>852</v>
      </c>
      <c r="B896" s="143">
        <v>44020</v>
      </c>
      <c r="C896">
        <v>117.71</v>
      </c>
      <c r="D896">
        <v>5.192806</v>
      </c>
      <c r="E896" s="143"/>
    </row>
    <row r="897" spans="1:5" x14ac:dyDescent="0.25">
      <c r="A897" t="s">
        <v>852</v>
      </c>
      <c r="B897" s="143">
        <v>44021</v>
      </c>
      <c r="C897">
        <v>115.71</v>
      </c>
      <c r="D897">
        <v>4.7629910000000004</v>
      </c>
      <c r="E897" s="143"/>
    </row>
    <row r="898" spans="1:5" x14ac:dyDescent="0.25">
      <c r="A898" t="s">
        <v>852</v>
      </c>
      <c r="B898" s="143">
        <v>44022</v>
      </c>
      <c r="C898">
        <v>118.35</v>
      </c>
      <c r="D898">
        <v>4.2857050000000001</v>
      </c>
      <c r="E898" s="143"/>
    </row>
    <row r="899" spans="1:5" x14ac:dyDescent="0.25">
      <c r="A899" t="s">
        <v>852</v>
      </c>
      <c r="B899" s="143">
        <v>44025</v>
      </c>
      <c r="C899">
        <v>119.2</v>
      </c>
      <c r="D899">
        <v>4.6506509999999999</v>
      </c>
      <c r="E899" s="143"/>
    </row>
    <row r="900" spans="1:5" x14ac:dyDescent="0.25">
      <c r="A900" t="s">
        <v>852</v>
      </c>
      <c r="B900" s="143">
        <v>44026</v>
      </c>
      <c r="C900">
        <v>120.6</v>
      </c>
      <c r="D900">
        <v>4.5343970000000002</v>
      </c>
      <c r="E900" s="143"/>
    </row>
    <row r="901" spans="1:5" x14ac:dyDescent="0.25">
      <c r="A901" t="s">
        <v>852</v>
      </c>
      <c r="B901" s="143">
        <v>44027</v>
      </c>
      <c r="C901">
        <v>123</v>
      </c>
      <c r="D901">
        <v>4.4733999999999998</v>
      </c>
      <c r="E901" s="143"/>
    </row>
    <row r="902" spans="1:5" x14ac:dyDescent="0.25">
      <c r="A902" t="s">
        <v>852</v>
      </c>
      <c r="B902" s="143">
        <v>44028</v>
      </c>
      <c r="C902">
        <v>124.01</v>
      </c>
      <c r="D902">
        <v>4.3309170000000003</v>
      </c>
      <c r="E902" s="143"/>
    </row>
    <row r="903" spans="1:5" x14ac:dyDescent="0.25">
      <c r="A903" t="s">
        <v>852</v>
      </c>
      <c r="B903" s="143">
        <v>44029</v>
      </c>
      <c r="C903">
        <v>125.11</v>
      </c>
      <c r="D903">
        <v>3.9884599999999999</v>
      </c>
      <c r="E903" s="143"/>
    </row>
    <row r="904" spans="1:5" x14ac:dyDescent="0.25">
      <c r="A904" t="s">
        <v>852</v>
      </c>
      <c r="B904" s="143">
        <v>44032</v>
      </c>
      <c r="C904">
        <v>126.37</v>
      </c>
      <c r="D904">
        <v>9.9276680000000006</v>
      </c>
      <c r="E904" s="143"/>
    </row>
    <row r="905" spans="1:5" x14ac:dyDescent="0.25">
      <c r="A905" t="s">
        <v>852</v>
      </c>
      <c r="B905" s="143">
        <v>44033</v>
      </c>
      <c r="C905">
        <v>126.06</v>
      </c>
      <c r="D905">
        <v>15.364948</v>
      </c>
      <c r="E905" s="143"/>
    </row>
    <row r="906" spans="1:5" x14ac:dyDescent="0.25">
      <c r="A906" t="s">
        <v>852</v>
      </c>
      <c r="B906" s="143">
        <v>44034</v>
      </c>
      <c r="C906">
        <v>128.66999999999999</v>
      </c>
      <c r="D906">
        <v>8.1953659999999999</v>
      </c>
      <c r="E906" s="143"/>
    </row>
    <row r="907" spans="1:5" x14ac:dyDescent="0.25">
      <c r="A907" t="s">
        <v>852</v>
      </c>
      <c r="B907" s="143">
        <v>44035</v>
      </c>
      <c r="C907">
        <v>127.33</v>
      </c>
      <c r="D907">
        <v>4.2201360000000001</v>
      </c>
      <c r="E907" s="143"/>
    </row>
    <row r="908" spans="1:5" x14ac:dyDescent="0.25">
      <c r="A908" t="s">
        <v>852</v>
      </c>
      <c r="B908" s="143">
        <v>44036</v>
      </c>
      <c r="C908">
        <v>125.79</v>
      </c>
      <c r="D908">
        <v>3.5310760000000001</v>
      </c>
      <c r="E908" s="143"/>
    </row>
    <row r="909" spans="1:5" x14ac:dyDescent="0.25">
      <c r="A909" t="s">
        <v>852</v>
      </c>
      <c r="B909" s="143">
        <v>44039</v>
      </c>
      <c r="C909">
        <v>126.21</v>
      </c>
      <c r="D909">
        <v>3.7335470000000002</v>
      </c>
      <c r="E909" s="143"/>
    </row>
    <row r="910" spans="1:5" x14ac:dyDescent="0.25">
      <c r="A910" t="s">
        <v>852</v>
      </c>
      <c r="B910" s="143">
        <v>44040</v>
      </c>
      <c r="C910">
        <v>124.47</v>
      </c>
      <c r="D910">
        <v>4.1781759999999997</v>
      </c>
      <c r="E910" s="143"/>
    </row>
    <row r="911" spans="1:5" x14ac:dyDescent="0.25">
      <c r="A911" t="s">
        <v>852</v>
      </c>
      <c r="B911" s="143">
        <v>44041</v>
      </c>
      <c r="C911">
        <v>125.32</v>
      </c>
      <c r="D911">
        <v>2.8331409999999999</v>
      </c>
      <c r="E911" s="143"/>
    </row>
    <row r="912" spans="1:5" x14ac:dyDescent="0.25">
      <c r="A912" t="s">
        <v>852</v>
      </c>
      <c r="B912" s="143">
        <v>44042</v>
      </c>
      <c r="C912">
        <v>122.9</v>
      </c>
      <c r="D912">
        <v>3.9880620000000002</v>
      </c>
      <c r="E912" s="143"/>
    </row>
    <row r="913" spans="1:12" x14ac:dyDescent="0.25">
      <c r="A913" t="s">
        <v>852</v>
      </c>
      <c r="B913" s="143">
        <v>44043</v>
      </c>
      <c r="C913">
        <v>122.94</v>
      </c>
      <c r="D913">
        <v>5.2776519999999998</v>
      </c>
      <c r="E913" s="143"/>
    </row>
    <row r="914" spans="1:12" x14ac:dyDescent="0.25">
      <c r="A914" t="s">
        <v>852</v>
      </c>
      <c r="B914" s="143">
        <v>44046</v>
      </c>
      <c r="C914">
        <v>124.31</v>
      </c>
      <c r="D914">
        <v>3.5265740000000001</v>
      </c>
      <c r="E914" s="143"/>
    </row>
    <row r="915" spans="1:12" x14ac:dyDescent="0.25">
      <c r="A915" t="s">
        <v>852</v>
      </c>
      <c r="B915" s="143">
        <v>44047</v>
      </c>
      <c r="C915">
        <v>125.84</v>
      </c>
      <c r="D915">
        <v>3.4313660000000001</v>
      </c>
      <c r="E915" s="143"/>
    </row>
    <row r="916" spans="1:12" x14ac:dyDescent="0.25">
      <c r="A916" t="s">
        <v>852</v>
      </c>
      <c r="B916" s="143">
        <v>44048</v>
      </c>
      <c r="C916">
        <v>125.45</v>
      </c>
      <c r="D916">
        <v>3.6753999999999998</v>
      </c>
      <c r="E916" s="143"/>
    </row>
    <row r="917" spans="1:12" x14ac:dyDescent="0.25">
      <c r="A917" t="s">
        <v>852</v>
      </c>
      <c r="B917" s="143">
        <v>44049</v>
      </c>
      <c r="C917">
        <v>126.12</v>
      </c>
      <c r="D917">
        <v>3.4171309999999999</v>
      </c>
      <c r="E917" s="143"/>
    </row>
    <row r="918" spans="1:12" x14ac:dyDescent="0.25">
      <c r="A918" t="s">
        <v>852</v>
      </c>
      <c r="B918" s="143">
        <v>44050</v>
      </c>
      <c r="C918">
        <v>124.96</v>
      </c>
      <c r="D918">
        <v>3.6512259999999999</v>
      </c>
      <c r="E918" s="143">
        <v>44084</v>
      </c>
      <c r="F918">
        <v>1.63</v>
      </c>
      <c r="G918" t="s">
        <v>683</v>
      </c>
      <c r="H918" t="s">
        <v>778</v>
      </c>
      <c r="I918" t="s">
        <v>687</v>
      </c>
      <c r="J918">
        <v>2020</v>
      </c>
      <c r="K918">
        <v>3</v>
      </c>
      <c r="L918">
        <v>4</v>
      </c>
    </row>
    <row r="919" spans="1:12" x14ac:dyDescent="0.25">
      <c r="A919" t="s">
        <v>852</v>
      </c>
      <c r="B919" s="143">
        <v>44053</v>
      </c>
      <c r="C919">
        <v>127.11</v>
      </c>
      <c r="D919">
        <v>3.9682949999999999</v>
      </c>
      <c r="E919" s="143"/>
    </row>
    <row r="920" spans="1:12" x14ac:dyDescent="0.25">
      <c r="A920" t="s">
        <v>852</v>
      </c>
      <c r="B920" s="143">
        <v>44054</v>
      </c>
      <c r="C920">
        <v>126.75</v>
      </c>
      <c r="D920">
        <v>5.0011760000000001</v>
      </c>
      <c r="E920" s="143"/>
    </row>
    <row r="921" spans="1:12" x14ac:dyDescent="0.25">
      <c r="A921" t="s">
        <v>852</v>
      </c>
      <c r="B921" s="143">
        <v>44055</v>
      </c>
      <c r="C921">
        <v>126.7</v>
      </c>
      <c r="D921">
        <v>3.5301770000000001</v>
      </c>
      <c r="E921" s="143"/>
    </row>
    <row r="922" spans="1:12" x14ac:dyDescent="0.25">
      <c r="A922" t="s">
        <v>852</v>
      </c>
      <c r="B922" s="143">
        <v>44056</v>
      </c>
      <c r="C922">
        <v>125.03</v>
      </c>
      <c r="D922">
        <v>3.1712579999999999</v>
      </c>
      <c r="E922" s="143"/>
    </row>
    <row r="923" spans="1:12" x14ac:dyDescent="0.25">
      <c r="A923" t="s">
        <v>852</v>
      </c>
      <c r="B923" s="143">
        <v>44057</v>
      </c>
      <c r="C923">
        <v>125.27</v>
      </c>
      <c r="D923">
        <v>2.9637530000000001</v>
      </c>
      <c r="E923" s="143"/>
    </row>
    <row r="924" spans="1:12" x14ac:dyDescent="0.25">
      <c r="A924" t="s">
        <v>852</v>
      </c>
      <c r="B924" s="143">
        <v>44060</v>
      </c>
      <c r="C924">
        <v>124.44</v>
      </c>
      <c r="D924">
        <v>3.3600639999999999</v>
      </c>
      <c r="E924" s="143"/>
    </row>
    <row r="925" spans="1:12" x14ac:dyDescent="0.25">
      <c r="A925" t="s">
        <v>852</v>
      </c>
      <c r="B925" s="143">
        <v>44061</v>
      </c>
      <c r="C925">
        <v>124.92</v>
      </c>
      <c r="D925">
        <v>2.882355</v>
      </c>
      <c r="E925" s="143"/>
    </row>
    <row r="926" spans="1:12" x14ac:dyDescent="0.25">
      <c r="A926" t="s">
        <v>852</v>
      </c>
      <c r="B926" s="143">
        <v>44062</v>
      </c>
      <c r="C926">
        <v>123.84</v>
      </c>
      <c r="D926">
        <v>3.7439490000000002</v>
      </c>
      <c r="E926" s="143"/>
    </row>
    <row r="927" spans="1:12" x14ac:dyDescent="0.25">
      <c r="A927" t="s">
        <v>852</v>
      </c>
      <c r="B927" s="143">
        <v>44063</v>
      </c>
      <c r="C927">
        <v>123.15</v>
      </c>
      <c r="D927">
        <v>2.5611640000000002</v>
      </c>
      <c r="E927" s="143"/>
    </row>
    <row r="928" spans="1:12" x14ac:dyDescent="0.25">
      <c r="A928" t="s">
        <v>852</v>
      </c>
      <c r="B928" s="143">
        <v>44064</v>
      </c>
      <c r="C928">
        <v>123.16</v>
      </c>
      <c r="D928">
        <v>3.3850509999999998</v>
      </c>
      <c r="E928" s="143"/>
    </row>
    <row r="929" spans="1:5" x14ac:dyDescent="0.25">
      <c r="A929" t="s">
        <v>852</v>
      </c>
      <c r="B929" s="143">
        <v>44067</v>
      </c>
      <c r="C929">
        <v>125.68</v>
      </c>
      <c r="D929">
        <v>4.0708159999999998</v>
      </c>
      <c r="E929" s="143"/>
    </row>
    <row r="930" spans="1:5" x14ac:dyDescent="0.25">
      <c r="A930" t="s">
        <v>852</v>
      </c>
      <c r="B930" s="143">
        <v>44068</v>
      </c>
      <c r="C930">
        <v>124.64</v>
      </c>
      <c r="D930">
        <v>2.977697</v>
      </c>
      <c r="E930" s="143"/>
    </row>
    <row r="931" spans="1:5" x14ac:dyDescent="0.25">
      <c r="A931" t="s">
        <v>852</v>
      </c>
      <c r="B931" s="143">
        <v>44069</v>
      </c>
      <c r="C931">
        <v>124.17</v>
      </c>
      <c r="D931">
        <v>3.388687</v>
      </c>
      <c r="E931" s="143"/>
    </row>
    <row r="932" spans="1:5" x14ac:dyDescent="0.25">
      <c r="A932" t="s">
        <v>852</v>
      </c>
      <c r="B932" s="143">
        <v>44070</v>
      </c>
      <c r="C932">
        <v>124.65</v>
      </c>
      <c r="D932">
        <v>3.4226540000000001</v>
      </c>
      <c r="E932" s="143"/>
    </row>
    <row r="933" spans="1:5" x14ac:dyDescent="0.25">
      <c r="A933" t="s">
        <v>852</v>
      </c>
      <c r="B933" s="143">
        <v>44071</v>
      </c>
      <c r="C933">
        <v>125.07</v>
      </c>
      <c r="D933">
        <v>3.0999400000000001</v>
      </c>
      <c r="E933" s="143"/>
    </row>
    <row r="934" spans="1:5" x14ac:dyDescent="0.25">
      <c r="A934" t="s">
        <v>852</v>
      </c>
      <c r="B934" s="143">
        <v>44074</v>
      </c>
      <c r="C934">
        <v>123.31</v>
      </c>
      <c r="D934">
        <v>4.8278790000000003</v>
      </c>
      <c r="E934" s="143"/>
    </row>
    <row r="935" spans="1:5" x14ac:dyDescent="0.25">
      <c r="A935" t="s">
        <v>852</v>
      </c>
      <c r="B935" s="143">
        <v>44075</v>
      </c>
      <c r="C935">
        <v>123.4</v>
      </c>
      <c r="D935">
        <v>3.1556229999999998</v>
      </c>
      <c r="E935" s="143"/>
    </row>
    <row r="936" spans="1:5" x14ac:dyDescent="0.25">
      <c r="A936" t="s">
        <v>852</v>
      </c>
      <c r="B936" s="143">
        <v>44076</v>
      </c>
      <c r="C936">
        <v>128.18</v>
      </c>
      <c r="D936">
        <v>6.5924300000000002</v>
      </c>
      <c r="E936" s="143"/>
    </row>
    <row r="937" spans="1:5" x14ac:dyDescent="0.25">
      <c r="A937" t="s">
        <v>852</v>
      </c>
      <c r="B937" s="143">
        <v>44077</v>
      </c>
      <c r="C937">
        <v>124.45</v>
      </c>
      <c r="D937">
        <v>5.7167500000000002</v>
      </c>
      <c r="E937" s="143"/>
    </row>
    <row r="938" spans="1:5" x14ac:dyDescent="0.25">
      <c r="A938" t="s">
        <v>852</v>
      </c>
      <c r="B938" s="143">
        <v>44078</v>
      </c>
      <c r="C938">
        <v>122.3</v>
      </c>
      <c r="D938">
        <v>6.0182380000000002</v>
      </c>
      <c r="E938" s="143"/>
    </row>
    <row r="939" spans="1:5" x14ac:dyDescent="0.25">
      <c r="A939" t="s">
        <v>852</v>
      </c>
      <c r="B939" s="143">
        <v>44082</v>
      </c>
      <c r="C939">
        <v>121.21</v>
      </c>
      <c r="D939">
        <v>5.2102919999999999</v>
      </c>
      <c r="E939" s="143"/>
    </row>
    <row r="940" spans="1:5" x14ac:dyDescent="0.25">
      <c r="A940" t="s">
        <v>852</v>
      </c>
      <c r="B940" s="143">
        <v>44083</v>
      </c>
      <c r="C940">
        <v>122.26</v>
      </c>
      <c r="D940">
        <v>3.7706780000000002</v>
      </c>
      <c r="E940" s="143"/>
    </row>
    <row r="941" spans="1:5" x14ac:dyDescent="0.25">
      <c r="A941" t="s">
        <v>852</v>
      </c>
      <c r="B941" s="143">
        <v>44084</v>
      </c>
      <c r="C941">
        <v>120.56</v>
      </c>
      <c r="D941">
        <v>3.9788049999999999</v>
      </c>
      <c r="E941" s="143"/>
    </row>
    <row r="942" spans="1:5" x14ac:dyDescent="0.25">
      <c r="A942" t="s">
        <v>852</v>
      </c>
      <c r="B942" s="143">
        <v>44085</v>
      </c>
      <c r="C942">
        <v>121.46</v>
      </c>
      <c r="D942">
        <v>3.5480909999999999</v>
      </c>
      <c r="E942" s="143"/>
    </row>
    <row r="943" spans="1:5" x14ac:dyDescent="0.25">
      <c r="A943" t="s">
        <v>852</v>
      </c>
      <c r="B943" s="143">
        <v>44088</v>
      </c>
      <c r="C943">
        <v>122.09</v>
      </c>
      <c r="D943">
        <v>3.6418870000000001</v>
      </c>
      <c r="E943" s="143"/>
    </row>
    <row r="944" spans="1:5" x14ac:dyDescent="0.25">
      <c r="A944" t="s">
        <v>852</v>
      </c>
      <c r="B944" s="143">
        <v>44089</v>
      </c>
      <c r="C944">
        <v>122.44</v>
      </c>
      <c r="D944">
        <v>2.9152209999999998</v>
      </c>
      <c r="E944" s="143"/>
    </row>
    <row r="945" spans="1:5" x14ac:dyDescent="0.25">
      <c r="A945" t="s">
        <v>852</v>
      </c>
      <c r="B945" s="143">
        <v>44090</v>
      </c>
      <c r="C945">
        <v>124.22</v>
      </c>
      <c r="D945">
        <v>3.7894580000000002</v>
      </c>
      <c r="E945" s="143"/>
    </row>
    <row r="946" spans="1:5" x14ac:dyDescent="0.25">
      <c r="A946" t="s">
        <v>852</v>
      </c>
      <c r="B946" s="143">
        <v>44091</v>
      </c>
      <c r="C946">
        <v>124.92</v>
      </c>
      <c r="D946">
        <v>3.171262</v>
      </c>
      <c r="E946" s="143"/>
    </row>
    <row r="947" spans="1:5" x14ac:dyDescent="0.25">
      <c r="A947" t="s">
        <v>852</v>
      </c>
      <c r="B947" s="143">
        <v>44092</v>
      </c>
      <c r="C947">
        <v>122.76</v>
      </c>
      <c r="D947">
        <v>5.3915699999999998</v>
      </c>
      <c r="E947" s="143"/>
    </row>
    <row r="948" spans="1:5" x14ac:dyDescent="0.25">
      <c r="A948" t="s">
        <v>852</v>
      </c>
      <c r="B948" s="143">
        <v>44095</v>
      </c>
      <c r="C948">
        <v>120.25</v>
      </c>
      <c r="D948">
        <v>5.3114410000000003</v>
      </c>
      <c r="E948" s="143"/>
    </row>
    <row r="949" spans="1:5" x14ac:dyDescent="0.25">
      <c r="A949" t="s">
        <v>852</v>
      </c>
      <c r="B949" s="143">
        <v>44096</v>
      </c>
      <c r="C949">
        <v>120.51</v>
      </c>
      <c r="D949">
        <v>2.9578090000000001</v>
      </c>
      <c r="E949" s="143"/>
    </row>
    <row r="950" spans="1:5" x14ac:dyDescent="0.25">
      <c r="A950" t="s">
        <v>852</v>
      </c>
      <c r="B950" s="143">
        <v>44097</v>
      </c>
      <c r="C950">
        <v>118.83</v>
      </c>
      <c r="D950">
        <v>3.9393980000000002</v>
      </c>
      <c r="E950" s="143"/>
    </row>
    <row r="951" spans="1:5" x14ac:dyDescent="0.25">
      <c r="A951" t="s">
        <v>852</v>
      </c>
      <c r="B951" s="143">
        <v>44098</v>
      </c>
      <c r="C951">
        <v>118.09</v>
      </c>
      <c r="D951">
        <v>3.54616</v>
      </c>
      <c r="E951" s="143"/>
    </row>
    <row r="952" spans="1:5" x14ac:dyDescent="0.25">
      <c r="A952" t="s">
        <v>852</v>
      </c>
      <c r="B952" s="143">
        <v>44099</v>
      </c>
      <c r="C952">
        <v>118.95</v>
      </c>
      <c r="D952">
        <v>2.9536859999999998</v>
      </c>
      <c r="E952" s="143"/>
    </row>
    <row r="953" spans="1:5" x14ac:dyDescent="0.25">
      <c r="A953" t="s">
        <v>852</v>
      </c>
      <c r="B953" s="143">
        <v>44102</v>
      </c>
      <c r="C953">
        <v>121.73</v>
      </c>
      <c r="D953">
        <v>3.509576</v>
      </c>
      <c r="E953" s="143"/>
    </row>
    <row r="954" spans="1:5" x14ac:dyDescent="0.25">
      <c r="A954" t="s">
        <v>852</v>
      </c>
      <c r="B954" s="143">
        <v>44103</v>
      </c>
      <c r="C954">
        <v>120.94</v>
      </c>
      <c r="D954">
        <v>2.1305640000000001</v>
      </c>
      <c r="E954" s="143"/>
    </row>
    <row r="955" spans="1:5" x14ac:dyDescent="0.25">
      <c r="A955" t="s">
        <v>852</v>
      </c>
      <c r="B955" s="143">
        <v>44104</v>
      </c>
      <c r="C955">
        <v>121.67</v>
      </c>
      <c r="D955">
        <v>3.2612350000000001</v>
      </c>
      <c r="E955" s="143"/>
    </row>
    <row r="956" spans="1:5" x14ac:dyDescent="0.25">
      <c r="A956" t="s">
        <v>852</v>
      </c>
      <c r="B956" s="143">
        <v>44105</v>
      </c>
      <c r="C956">
        <v>121.09</v>
      </c>
      <c r="D956">
        <v>3.2116609999999999</v>
      </c>
      <c r="E956" s="143"/>
    </row>
    <row r="957" spans="1:5" x14ac:dyDescent="0.25">
      <c r="A957" t="s">
        <v>852</v>
      </c>
      <c r="B957" s="143">
        <v>44106</v>
      </c>
      <c r="C957">
        <v>120.57</v>
      </c>
      <c r="D957">
        <v>2.9252280000000002</v>
      </c>
      <c r="E957" s="143"/>
    </row>
    <row r="958" spans="1:5" x14ac:dyDescent="0.25">
      <c r="A958" t="s">
        <v>852</v>
      </c>
      <c r="B958" s="143">
        <v>44109</v>
      </c>
      <c r="C958">
        <v>122.01</v>
      </c>
      <c r="D958">
        <v>3.0509490000000001</v>
      </c>
      <c r="E958" s="143"/>
    </row>
    <row r="959" spans="1:5" x14ac:dyDescent="0.25">
      <c r="A959" t="s">
        <v>852</v>
      </c>
      <c r="B959" s="143">
        <v>44110</v>
      </c>
      <c r="C959">
        <v>121.97</v>
      </c>
      <c r="D959">
        <v>3.8722650000000001</v>
      </c>
      <c r="E959" s="143"/>
    </row>
    <row r="960" spans="1:5" x14ac:dyDescent="0.25">
      <c r="A960" t="s">
        <v>852</v>
      </c>
      <c r="B960" s="143">
        <v>44111</v>
      </c>
      <c r="C960">
        <v>124.07</v>
      </c>
      <c r="D960">
        <v>2.8156629999999998</v>
      </c>
      <c r="E960" s="143"/>
    </row>
    <row r="961" spans="1:5" x14ac:dyDescent="0.25">
      <c r="A961" t="s">
        <v>852</v>
      </c>
      <c r="B961" s="143">
        <v>44112</v>
      </c>
      <c r="C961">
        <v>131.49</v>
      </c>
      <c r="D961">
        <v>25.288926</v>
      </c>
      <c r="E961" s="143"/>
    </row>
    <row r="962" spans="1:5" x14ac:dyDescent="0.25">
      <c r="A962" t="s">
        <v>852</v>
      </c>
      <c r="B962" s="143">
        <v>44113</v>
      </c>
      <c r="C962">
        <v>127.79</v>
      </c>
      <c r="D962">
        <v>8.3537040000000005</v>
      </c>
      <c r="E962" s="143"/>
    </row>
    <row r="963" spans="1:5" x14ac:dyDescent="0.25">
      <c r="A963" t="s">
        <v>852</v>
      </c>
      <c r="B963" s="143">
        <v>44116</v>
      </c>
      <c r="C963">
        <v>127.21</v>
      </c>
      <c r="D963">
        <v>4.6351149999999999</v>
      </c>
      <c r="E963" s="143"/>
    </row>
    <row r="964" spans="1:5" x14ac:dyDescent="0.25">
      <c r="A964" t="s">
        <v>852</v>
      </c>
      <c r="B964" s="143">
        <v>44117</v>
      </c>
      <c r="C964">
        <v>125.1</v>
      </c>
      <c r="D964">
        <v>5.4060879999999996</v>
      </c>
      <c r="E964" s="143"/>
    </row>
    <row r="965" spans="1:5" x14ac:dyDescent="0.25">
      <c r="A965" t="s">
        <v>852</v>
      </c>
      <c r="B965" s="143">
        <v>44118</v>
      </c>
      <c r="C965">
        <v>125.94</v>
      </c>
      <c r="D965">
        <v>3.7301389999999999</v>
      </c>
      <c r="E965" s="143"/>
    </row>
    <row r="966" spans="1:5" x14ac:dyDescent="0.25">
      <c r="A966" t="s">
        <v>852</v>
      </c>
      <c r="B966" s="143">
        <v>44119</v>
      </c>
      <c r="C966">
        <v>124.89</v>
      </c>
      <c r="D966">
        <v>3.3893010000000001</v>
      </c>
      <c r="E966" s="143"/>
    </row>
    <row r="967" spans="1:5" x14ac:dyDescent="0.25">
      <c r="A967" t="s">
        <v>852</v>
      </c>
      <c r="B967" s="143">
        <v>44120</v>
      </c>
      <c r="C967">
        <v>125.93</v>
      </c>
      <c r="D967">
        <v>4.7143199999999998</v>
      </c>
      <c r="E967" s="143"/>
    </row>
    <row r="968" spans="1:5" x14ac:dyDescent="0.25">
      <c r="A968" t="s">
        <v>852</v>
      </c>
      <c r="B968" s="143">
        <v>44123</v>
      </c>
      <c r="C968">
        <v>125.52</v>
      </c>
      <c r="D968">
        <v>7.4787350000000004</v>
      </c>
      <c r="E968" s="143"/>
    </row>
    <row r="969" spans="1:5" x14ac:dyDescent="0.25">
      <c r="A969" t="s">
        <v>852</v>
      </c>
      <c r="B969" s="143">
        <v>44124</v>
      </c>
      <c r="C969">
        <v>117.37</v>
      </c>
      <c r="D969">
        <v>21.501073000000002</v>
      </c>
      <c r="E969" s="143"/>
    </row>
    <row r="970" spans="1:5" x14ac:dyDescent="0.25">
      <c r="A970" t="s">
        <v>852</v>
      </c>
      <c r="B970" s="143">
        <v>44125</v>
      </c>
      <c r="C970">
        <v>115.06</v>
      </c>
      <c r="D970">
        <v>9.7553079999999994</v>
      </c>
      <c r="E970" s="143"/>
    </row>
    <row r="971" spans="1:5" x14ac:dyDescent="0.25">
      <c r="A971" t="s">
        <v>852</v>
      </c>
      <c r="B971" s="143">
        <v>44126</v>
      </c>
      <c r="C971">
        <v>115.76</v>
      </c>
      <c r="D971">
        <v>7.8581580000000004</v>
      </c>
      <c r="E971" s="143"/>
    </row>
    <row r="972" spans="1:5" x14ac:dyDescent="0.25">
      <c r="A972" t="s">
        <v>852</v>
      </c>
      <c r="B972" s="143">
        <v>44127</v>
      </c>
      <c r="C972">
        <v>116</v>
      </c>
      <c r="D972">
        <v>3.8933620000000002</v>
      </c>
      <c r="E972" s="143"/>
    </row>
    <row r="973" spans="1:5" x14ac:dyDescent="0.25">
      <c r="A973" t="s">
        <v>852</v>
      </c>
      <c r="B973" s="143">
        <v>44130</v>
      </c>
      <c r="C973">
        <v>112.22</v>
      </c>
      <c r="D973">
        <v>7.2033659999999999</v>
      </c>
      <c r="E973" s="143"/>
    </row>
    <row r="974" spans="1:5" x14ac:dyDescent="0.25">
      <c r="A974" t="s">
        <v>852</v>
      </c>
      <c r="B974" s="143">
        <v>44131</v>
      </c>
      <c r="C974">
        <v>110.56</v>
      </c>
      <c r="D974">
        <v>5.9361059999999997</v>
      </c>
      <c r="E974" s="143"/>
    </row>
    <row r="975" spans="1:5" x14ac:dyDescent="0.25">
      <c r="A975" t="s">
        <v>852</v>
      </c>
      <c r="B975" s="143">
        <v>44132</v>
      </c>
      <c r="C975">
        <v>106.65</v>
      </c>
      <c r="D975">
        <v>9.4273209999999992</v>
      </c>
      <c r="E975" s="143"/>
    </row>
    <row r="976" spans="1:5" x14ac:dyDescent="0.25">
      <c r="A976" t="s">
        <v>852</v>
      </c>
      <c r="B976" s="143">
        <v>44133</v>
      </c>
      <c r="C976">
        <v>108.91</v>
      </c>
      <c r="D976">
        <v>6.7602409999999997</v>
      </c>
      <c r="E976" s="143"/>
    </row>
    <row r="977" spans="1:12" x14ac:dyDescent="0.25">
      <c r="A977" t="s">
        <v>852</v>
      </c>
      <c r="B977" s="143">
        <v>44134</v>
      </c>
      <c r="C977">
        <v>111.66</v>
      </c>
      <c r="D977">
        <v>7.9238819999999999</v>
      </c>
      <c r="E977" s="143"/>
    </row>
    <row r="978" spans="1:12" x14ac:dyDescent="0.25">
      <c r="A978" t="s">
        <v>852</v>
      </c>
      <c r="B978" s="143">
        <v>44137</v>
      </c>
      <c r="C978">
        <v>112.91</v>
      </c>
      <c r="D978">
        <v>5.3114970000000001</v>
      </c>
      <c r="E978" s="143"/>
    </row>
    <row r="979" spans="1:12" x14ac:dyDescent="0.25">
      <c r="A979" t="s">
        <v>852</v>
      </c>
      <c r="B979" s="143">
        <v>44138</v>
      </c>
      <c r="C979">
        <v>114.16</v>
      </c>
      <c r="D979">
        <v>4.2042869999999999</v>
      </c>
      <c r="E979" s="143"/>
    </row>
    <row r="980" spans="1:12" x14ac:dyDescent="0.25">
      <c r="A980" t="s">
        <v>852</v>
      </c>
      <c r="B980" s="143">
        <v>44139</v>
      </c>
      <c r="C980">
        <v>111.9</v>
      </c>
      <c r="D980">
        <v>5.800071</v>
      </c>
      <c r="E980" s="143"/>
    </row>
    <row r="981" spans="1:12" x14ac:dyDescent="0.25">
      <c r="A981" t="s">
        <v>852</v>
      </c>
      <c r="B981" s="143">
        <v>44140</v>
      </c>
      <c r="C981">
        <v>114.77</v>
      </c>
      <c r="D981">
        <v>4.9022059999999996</v>
      </c>
      <c r="E981" s="143"/>
    </row>
    <row r="982" spans="1:12" x14ac:dyDescent="0.25">
      <c r="A982" t="s">
        <v>852</v>
      </c>
      <c r="B982" s="143">
        <v>44141</v>
      </c>
      <c r="C982">
        <v>114.04</v>
      </c>
      <c r="D982">
        <v>5.2491709999999996</v>
      </c>
      <c r="E982" s="143"/>
    </row>
    <row r="983" spans="1:12" x14ac:dyDescent="0.25">
      <c r="A983" t="s">
        <v>852</v>
      </c>
      <c r="B983" s="143">
        <v>44144</v>
      </c>
      <c r="C983">
        <v>115.53</v>
      </c>
      <c r="D983">
        <v>8.9921520000000008</v>
      </c>
      <c r="E983" s="143">
        <v>44175</v>
      </c>
      <c r="F983">
        <v>1.63</v>
      </c>
      <c r="G983" t="s">
        <v>683</v>
      </c>
      <c r="H983" t="s">
        <v>778</v>
      </c>
      <c r="I983" t="s">
        <v>687</v>
      </c>
      <c r="J983">
        <v>2020</v>
      </c>
      <c r="K983">
        <v>4</v>
      </c>
      <c r="L983">
        <v>4</v>
      </c>
    </row>
    <row r="984" spans="1:12" x14ac:dyDescent="0.25">
      <c r="A984" t="s">
        <v>852</v>
      </c>
      <c r="B984" s="143">
        <v>44145</v>
      </c>
      <c r="C984">
        <v>117.91</v>
      </c>
      <c r="D984">
        <v>5.6227559999999999</v>
      </c>
      <c r="E984" s="143"/>
    </row>
    <row r="985" spans="1:12" x14ac:dyDescent="0.25">
      <c r="A985" t="s">
        <v>852</v>
      </c>
      <c r="B985" s="143">
        <v>44146</v>
      </c>
      <c r="C985">
        <v>117.2</v>
      </c>
      <c r="D985">
        <v>4.2896010000000002</v>
      </c>
      <c r="E985" s="143"/>
    </row>
    <row r="986" spans="1:12" x14ac:dyDescent="0.25">
      <c r="A986" t="s">
        <v>852</v>
      </c>
      <c r="B986" s="143">
        <v>44147</v>
      </c>
      <c r="C986">
        <v>114.5</v>
      </c>
      <c r="D986">
        <v>6.5007989999999998</v>
      </c>
      <c r="E986" s="143"/>
    </row>
    <row r="987" spans="1:12" x14ac:dyDescent="0.25">
      <c r="A987" t="s">
        <v>852</v>
      </c>
      <c r="B987" s="143">
        <v>44148</v>
      </c>
      <c r="C987">
        <v>116.85</v>
      </c>
      <c r="D987">
        <v>4.6835120000000003</v>
      </c>
      <c r="E987" s="143"/>
    </row>
    <row r="988" spans="1:12" x14ac:dyDescent="0.25">
      <c r="A988" t="s">
        <v>852</v>
      </c>
      <c r="B988" s="143">
        <v>44151</v>
      </c>
      <c r="C988">
        <v>118.36</v>
      </c>
      <c r="D988">
        <v>5.2933849999999998</v>
      </c>
      <c r="E988" s="143"/>
    </row>
    <row r="989" spans="1:12" x14ac:dyDescent="0.25">
      <c r="A989" t="s">
        <v>852</v>
      </c>
      <c r="B989" s="143">
        <v>44152</v>
      </c>
      <c r="C989">
        <v>117.7</v>
      </c>
      <c r="D989">
        <v>4.134455</v>
      </c>
      <c r="E989" s="143"/>
    </row>
    <row r="990" spans="1:12" x14ac:dyDescent="0.25">
      <c r="A990" t="s">
        <v>852</v>
      </c>
      <c r="B990" s="143">
        <v>44153</v>
      </c>
      <c r="C990">
        <v>116.77</v>
      </c>
      <c r="D990">
        <v>4.6068280000000001</v>
      </c>
      <c r="E990" s="143"/>
    </row>
    <row r="991" spans="1:12" x14ac:dyDescent="0.25">
      <c r="A991" t="s">
        <v>852</v>
      </c>
      <c r="B991" s="143">
        <v>44154</v>
      </c>
      <c r="C991">
        <v>117.18</v>
      </c>
      <c r="D991">
        <v>3.439648</v>
      </c>
      <c r="E991" s="143"/>
    </row>
    <row r="992" spans="1:12" x14ac:dyDescent="0.25">
      <c r="A992" t="s">
        <v>852</v>
      </c>
      <c r="B992" s="143">
        <v>44155</v>
      </c>
      <c r="C992">
        <v>116.94</v>
      </c>
      <c r="D992">
        <v>5.0245930000000003</v>
      </c>
      <c r="E992" s="143"/>
    </row>
    <row r="993" spans="1:5" x14ac:dyDescent="0.25">
      <c r="A993" t="s">
        <v>852</v>
      </c>
      <c r="B993" s="143">
        <v>44158</v>
      </c>
      <c r="C993">
        <v>120.09</v>
      </c>
      <c r="D993">
        <v>5.655119</v>
      </c>
      <c r="E993" s="143"/>
    </row>
    <row r="994" spans="1:5" x14ac:dyDescent="0.25">
      <c r="A994" t="s">
        <v>852</v>
      </c>
      <c r="B994" s="143">
        <v>44159</v>
      </c>
      <c r="C994">
        <v>124.42</v>
      </c>
      <c r="D994">
        <v>7.7590060000000003</v>
      </c>
      <c r="E994" s="143"/>
    </row>
    <row r="995" spans="1:5" x14ac:dyDescent="0.25">
      <c r="A995" t="s">
        <v>852</v>
      </c>
      <c r="B995" s="143">
        <v>44160</v>
      </c>
      <c r="C995">
        <v>124.2</v>
      </c>
      <c r="D995">
        <v>4.1358940000000004</v>
      </c>
      <c r="E995" s="143"/>
    </row>
    <row r="996" spans="1:5" x14ac:dyDescent="0.25">
      <c r="A996" t="s">
        <v>852</v>
      </c>
      <c r="B996" s="143">
        <v>44162</v>
      </c>
      <c r="C996">
        <v>124.35</v>
      </c>
      <c r="D996">
        <v>2.091186</v>
      </c>
      <c r="E996" s="143"/>
    </row>
    <row r="997" spans="1:5" x14ac:dyDescent="0.25">
      <c r="A997" t="s">
        <v>852</v>
      </c>
      <c r="B997" s="143">
        <v>44165</v>
      </c>
      <c r="C997">
        <v>123.52</v>
      </c>
      <c r="D997">
        <v>5.9879910000000001</v>
      </c>
      <c r="E997" s="143"/>
    </row>
    <row r="998" spans="1:5" x14ac:dyDescent="0.25">
      <c r="A998" t="s">
        <v>852</v>
      </c>
      <c r="B998" s="143">
        <v>44166</v>
      </c>
      <c r="C998">
        <v>123.16</v>
      </c>
      <c r="D998">
        <v>5.3120570000000003</v>
      </c>
      <c r="E998" s="143"/>
    </row>
    <row r="999" spans="1:5" x14ac:dyDescent="0.25">
      <c r="A999" t="s">
        <v>852</v>
      </c>
      <c r="B999" s="143">
        <v>44167</v>
      </c>
      <c r="C999">
        <v>124.62</v>
      </c>
      <c r="D999">
        <v>3.6907369999999999</v>
      </c>
      <c r="E999" s="143"/>
    </row>
    <row r="1000" spans="1:5" x14ac:dyDescent="0.25">
      <c r="A1000" t="s">
        <v>852</v>
      </c>
      <c r="B1000" s="143">
        <v>44168</v>
      </c>
      <c r="C1000">
        <v>123.61</v>
      </c>
      <c r="D1000">
        <v>4.5481610000000003</v>
      </c>
      <c r="E1000" s="143"/>
    </row>
    <row r="1001" spans="1:5" x14ac:dyDescent="0.25">
      <c r="A1001" t="s">
        <v>852</v>
      </c>
      <c r="B1001" s="143">
        <v>44169</v>
      </c>
      <c r="C1001">
        <v>127.2</v>
      </c>
      <c r="D1001">
        <v>5.5227599999999999</v>
      </c>
      <c r="E1001" s="143"/>
    </row>
    <row r="1002" spans="1:5" x14ac:dyDescent="0.25">
      <c r="A1002" t="s">
        <v>852</v>
      </c>
      <c r="B1002" s="143">
        <v>44172</v>
      </c>
      <c r="C1002">
        <v>124.7</v>
      </c>
      <c r="D1002">
        <v>8.3185000000000002</v>
      </c>
      <c r="E1002" s="143"/>
    </row>
    <row r="1003" spans="1:5" x14ac:dyDescent="0.25">
      <c r="A1003" t="s">
        <v>852</v>
      </c>
      <c r="B1003" s="143">
        <v>44173</v>
      </c>
      <c r="C1003">
        <v>125.71</v>
      </c>
      <c r="D1003">
        <v>5.3950240000000003</v>
      </c>
      <c r="E1003" s="143"/>
    </row>
    <row r="1004" spans="1:5" x14ac:dyDescent="0.25">
      <c r="A1004" t="s">
        <v>852</v>
      </c>
      <c r="B1004" s="143">
        <v>44174</v>
      </c>
      <c r="C1004">
        <v>126.79</v>
      </c>
      <c r="D1004">
        <v>6.5135170000000002</v>
      </c>
      <c r="E1004" s="143"/>
    </row>
    <row r="1005" spans="1:5" x14ac:dyDescent="0.25">
      <c r="A1005" t="s">
        <v>852</v>
      </c>
      <c r="B1005" s="143">
        <v>44175</v>
      </c>
      <c r="C1005">
        <v>124.96</v>
      </c>
      <c r="D1005">
        <v>4.803172</v>
      </c>
      <c r="E1005" s="143"/>
    </row>
    <row r="1006" spans="1:5" x14ac:dyDescent="0.25">
      <c r="A1006" t="s">
        <v>852</v>
      </c>
      <c r="B1006" s="143">
        <v>44176</v>
      </c>
      <c r="C1006">
        <v>124.27</v>
      </c>
      <c r="D1006">
        <v>4.4814160000000003</v>
      </c>
      <c r="E1006" s="143"/>
    </row>
    <row r="1007" spans="1:5" x14ac:dyDescent="0.25">
      <c r="A1007" t="s">
        <v>852</v>
      </c>
      <c r="B1007" s="143">
        <v>44179</v>
      </c>
      <c r="C1007">
        <v>123.53</v>
      </c>
      <c r="D1007">
        <v>5.0500230000000004</v>
      </c>
      <c r="E1007" s="143"/>
    </row>
    <row r="1008" spans="1:5" x14ac:dyDescent="0.25">
      <c r="A1008" t="s">
        <v>852</v>
      </c>
      <c r="B1008" s="143">
        <v>44180</v>
      </c>
      <c r="C1008">
        <v>125.93</v>
      </c>
      <c r="D1008">
        <v>4.3596009999999996</v>
      </c>
      <c r="E1008" s="143"/>
    </row>
    <row r="1009" spans="1:5" x14ac:dyDescent="0.25">
      <c r="A1009" t="s">
        <v>852</v>
      </c>
      <c r="B1009" s="143">
        <v>44181</v>
      </c>
      <c r="C1009">
        <v>125.55</v>
      </c>
      <c r="D1009">
        <v>4.5300960000000003</v>
      </c>
      <c r="E1009" s="143"/>
    </row>
    <row r="1010" spans="1:5" x14ac:dyDescent="0.25">
      <c r="A1010" t="s">
        <v>852</v>
      </c>
      <c r="B1010" s="143">
        <v>44182</v>
      </c>
      <c r="C1010">
        <v>125.55</v>
      </c>
      <c r="D1010">
        <v>3.7879619999999998</v>
      </c>
      <c r="E1010" s="143"/>
    </row>
    <row r="1011" spans="1:5" x14ac:dyDescent="0.25">
      <c r="A1011" t="s">
        <v>852</v>
      </c>
      <c r="B1011" s="143">
        <v>44183</v>
      </c>
      <c r="C1011">
        <v>125.85</v>
      </c>
      <c r="D1011">
        <v>7.5528449999999996</v>
      </c>
      <c r="E1011" s="143"/>
    </row>
    <row r="1012" spans="1:5" x14ac:dyDescent="0.25">
      <c r="A1012" t="s">
        <v>852</v>
      </c>
      <c r="B1012" s="143">
        <v>44186</v>
      </c>
      <c r="C1012">
        <v>123.39</v>
      </c>
      <c r="D1012">
        <v>6.1156709999999999</v>
      </c>
      <c r="E1012" s="143"/>
    </row>
    <row r="1013" spans="1:5" x14ac:dyDescent="0.25">
      <c r="A1013" t="s">
        <v>852</v>
      </c>
      <c r="B1013" s="143">
        <v>44187</v>
      </c>
      <c r="C1013">
        <v>123.61</v>
      </c>
      <c r="D1013">
        <v>4.3377569999999999</v>
      </c>
      <c r="E1013" s="143"/>
    </row>
    <row r="1014" spans="1:5" x14ac:dyDescent="0.25">
      <c r="A1014" t="s">
        <v>852</v>
      </c>
      <c r="B1014" s="143">
        <v>44188</v>
      </c>
      <c r="C1014">
        <v>123.9</v>
      </c>
      <c r="D1014">
        <v>2.693889</v>
      </c>
      <c r="E1014" s="143"/>
    </row>
    <row r="1015" spans="1:5" x14ac:dyDescent="0.25">
      <c r="A1015" t="s">
        <v>852</v>
      </c>
      <c r="B1015" s="143">
        <v>44189</v>
      </c>
      <c r="C1015">
        <v>124.69</v>
      </c>
      <c r="D1015">
        <v>1.7611220000000001</v>
      </c>
      <c r="E1015" s="143"/>
    </row>
    <row r="1016" spans="1:5" x14ac:dyDescent="0.25">
      <c r="A1016" t="s">
        <v>852</v>
      </c>
      <c r="B1016" s="143">
        <v>44193</v>
      </c>
      <c r="C1016">
        <v>124.82</v>
      </c>
      <c r="D1016">
        <v>3.6152220000000002</v>
      </c>
      <c r="E1016" s="143"/>
    </row>
    <row r="1017" spans="1:5" x14ac:dyDescent="0.25">
      <c r="A1017" t="s">
        <v>852</v>
      </c>
      <c r="B1017" s="143">
        <v>44194</v>
      </c>
      <c r="C1017">
        <v>123.8</v>
      </c>
      <c r="D1017">
        <v>3.4870070000000002</v>
      </c>
      <c r="E1017" s="143"/>
    </row>
    <row r="1018" spans="1:5" x14ac:dyDescent="0.25">
      <c r="A1018" t="s">
        <v>852</v>
      </c>
      <c r="B1018" s="143">
        <v>44195</v>
      </c>
      <c r="C1018">
        <v>124.34</v>
      </c>
      <c r="D1018">
        <v>3.3804940000000001</v>
      </c>
      <c r="E1018" s="143"/>
    </row>
    <row r="1019" spans="1:5" x14ac:dyDescent="0.25">
      <c r="A1019" t="s">
        <v>852</v>
      </c>
      <c r="B1019" s="143">
        <v>44196</v>
      </c>
      <c r="C1019">
        <v>125.88</v>
      </c>
      <c r="D1019">
        <v>3.5746959999999999</v>
      </c>
      <c r="E1019" s="143"/>
    </row>
    <row r="1020" spans="1:5" x14ac:dyDescent="0.25">
      <c r="A1020" t="s">
        <v>852</v>
      </c>
      <c r="B1020" s="143">
        <v>44200</v>
      </c>
      <c r="C1020">
        <v>123.94</v>
      </c>
      <c r="D1020">
        <v>5.1791609999999997</v>
      </c>
      <c r="E1020" s="143"/>
    </row>
    <row r="1021" spans="1:5" x14ac:dyDescent="0.25">
      <c r="A1021" t="s">
        <v>852</v>
      </c>
      <c r="B1021" s="143">
        <v>44201</v>
      </c>
      <c r="C1021">
        <v>126.14</v>
      </c>
      <c r="D1021">
        <v>6.1146190000000002</v>
      </c>
      <c r="E1021" s="143"/>
    </row>
    <row r="1022" spans="1:5" x14ac:dyDescent="0.25">
      <c r="A1022" t="s">
        <v>852</v>
      </c>
      <c r="B1022" s="143">
        <v>44202</v>
      </c>
      <c r="C1022">
        <v>129.29</v>
      </c>
      <c r="D1022">
        <v>7.9567399999999999</v>
      </c>
      <c r="E1022" s="143"/>
    </row>
    <row r="1023" spans="1:5" x14ac:dyDescent="0.25">
      <c r="A1023" t="s">
        <v>852</v>
      </c>
      <c r="B1023" s="143">
        <v>44203</v>
      </c>
      <c r="C1023">
        <v>128.99</v>
      </c>
      <c r="D1023">
        <v>4.5073819999999998</v>
      </c>
      <c r="E1023" s="143"/>
    </row>
    <row r="1024" spans="1:5" x14ac:dyDescent="0.25">
      <c r="A1024" t="s">
        <v>852</v>
      </c>
      <c r="B1024" s="143">
        <v>44204</v>
      </c>
      <c r="C1024">
        <v>128.53</v>
      </c>
      <c r="D1024">
        <v>4.6764869999999998</v>
      </c>
      <c r="E1024" s="143"/>
    </row>
    <row r="1025" spans="1:5" x14ac:dyDescent="0.25">
      <c r="A1025" t="s">
        <v>852</v>
      </c>
      <c r="B1025" s="143">
        <v>44207</v>
      </c>
      <c r="C1025">
        <v>128.58000000000001</v>
      </c>
      <c r="D1025">
        <v>5.6024659999999997</v>
      </c>
      <c r="E1025" s="143"/>
    </row>
    <row r="1026" spans="1:5" x14ac:dyDescent="0.25">
      <c r="A1026" t="s">
        <v>852</v>
      </c>
      <c r="B1026" s="143">
        <v>44208</v>
      </c>
      <c r="C1026">
        <v>129.21</v>
      </c>
      <c r="D1026">
        <v>3.7492130000000001</v>
      </c>
      <c r="E1026" s="143"/>
    </row>
    <row r="1027" spans="1:5" x14ac:dyDescent="0.25">
      <c r="A1027" t="s">
        <v>852</v>
      </c>
      <c r="B1027" s="143">
        <v>44209</v>
      </c>
      <c r="C1027">
        <v>126.92</v>
      </c>
      <c r="D1027">
        <v>7.6777389999999999</v>
      </c>
      <c r="E1027" s="143"/>
    </row>
    <row r="1028" spans="1:5" x14ac:dyDescent="0.25">
      <c r="A1028" t="s">
        <v>852</v>
      </c>
      <c r="B1028" s="143">
        <v>44210</v>
      </c>
      <c r="C1028">
        <v>128.97</v>
      </c>
      <c r="D1028">
        <v>7.5031800000000004</v>
      </c>
      <c r="E1028" s="143"/>
    </row>
    <row r="1029" spans="1:5" x14ac:dyDescent="0.25">
      <c r="A1029" t="s">
        <v>852</v>
      </c>
      <c r="B1029" s="143">
        <v>44211</v>
      </c>
      <c r="C1029">
        <v>128.38999999999999</v>
      </c>
      <c r="D1029">
        <v>4.9055059999999999</v>
      </c>
      <c r="E1029" s="143"/>
    </row>
    <row r="1030" spans="1:5" x14ac:dyDescent="0.25">
      <c r="A1030" t="s">
        <v>852</v>
      </c>
      <c r="B1030" s="143">
        <v>44215</v>
      </c>
      <c r="C1030">
        <v>129.02000000000001</v>
      </c>
      <c r="D1030">
        <v>5.3979559999999998</v>
      </c>
      <c r="E1030" s="143"/>
    </row>
    <row r="1031" spans="1:5" x14ac:dyDescent="0.25">
      <c r="A1031" t="s">
        <v>852</v>
      </c>
      <c r="B1031" s="143">
        <v>44216</v>
      </c>
      <c r="C1031">
        <v>130.08000000000001</v>
      </c>
      <c r="D1031">
        <v>5.5987049999999998</v>
      </c>
      <c r="E1031" s="143"/>
    </row>
    <row r="1032" spans="1:5" x14ac:dyDescent="0.25">
      <c r="A1032" t="s">
        <v>852</v>
      </c>
      <c r="B1032" s="143">
        <v>44217</v>
      </c>
      <c r="C1032">
        <v>131.65</v>
      </c>
      <c r="D1032">
        <v>12.819233000000001</v>
      </c>
      <c r="E1032" s="143"/>
    </row>
    <row r="1033" spans="1:5" x14ac:dyDescent="0.25">
      <c r="A1033" t="s">
        <v>852</v>
      </c>
      <c r="B1033" s="143">
        <v>44218</v>
      </c>
      <c r="C1033">
        <v>118.61</v>
      </c>
      <c r="D1033">
        <v>38.063533</v>
      </c>
      <c r="E1033" s="143"/>
    </row>
    <row r="1034" spans="1:5" x14ac:dyDescent="0.25">
      <c r="A1034" t="s">
        <v>852</v>
      </c>
      <c r="B1034" s="143">
        <v>44221</v>
      </c>
      <c r="C1034">
        <v>118.58</v>
      </c>
      <c r="D1034">
        <v>13.686391</v>
      </c>
      <c r="E1034" s="143"/>
    </row>
    <row r="1035" spans="1:5" x14ac:dyDescent="0.25">
      <c r="A1035" t="s">
        <v>852</v>
      </c>
      <c r="B1035" s="143">
        <v>44222</v>
      </c>
      <c r="C1035">
        <v>122.49</v>
      </c>
      <c r="D1035">
        <v>10.694708</v>
      </c>
      <c r="E1035" s="143"/>
    </row>
    <row r="1036" spans="1:5" x14ac:dyDescent="0.25">
      <c r="A1036" t="s">
        <v>852</v>
      </c>
      <c r="B1036" s="143">
        <v>44223</v>
      </c>
      <c r="C1036">
        <v>122.47</v>
      </c>
      <c r="D1036">
        <v>12.146540999999999</v>
      </c>
      <c r="E1036" s="143"/>
    </row>
    <row r="1037" spans="1:5" x14ac:dyDescent="0.25">
      <c r="A1037" t="s">
        <v>852</v>
      </c>
      <c r="B1037" s="143">
        <v>44224</v>
      </c>
      <c r="C1037">
        <v>120.08</v>
      </c>
      <c r="D1037">
        <v>8.0840510000000005</v>
      </c>
      <c r="E1037" s="143"/>
    </row>
    <row r="1038" spans="1:5" x14ac:dyDescent="0.25">
      <c r="A1038" t="s">
        <v>852</v>
      </c>
      <c r="B1038" s="143">
        <v>44225</v>
      </c>
      <c r="C1038">
        <v>119.11</v>
      </c>
      <c r="D1038">
        <v>11.825495999999999</v>
      </c>
      <c r="E1038" s="143"/>
    </row>
    <row r="1039" spans="1:5" x14ac:dyDescent="0.25">
      <c r="A1039" t="s">
        <v>852</v>
      </c>
      <c r="B1039" s="143">
        <v>44228</v>
      </c>
      <c r="C1039">
        <v>120.54</v>
      </c>
      <c r="D1039">
        <v>6.250508</v>
      </c>
      <c r="E1039" s="143"/>
    </row>
    <row r="1040" spans="1:5" x14ac:dyDescent="0.25">
      <c r="A1040" t="s">
        <v>852</v>
      </c>
      <c r="B1040" s="143">
        <v>44229</v>
      </c>
      <c r="C1040">
        <v>119.44</v>
      </c>
      <c r="D1040">
        <v>6.3418830000000002</v>
      </c>
      <c r="E1040" s="143"/>
    </row>
    <row r="1041" spans="1:12" x14ac:dyDescent="0.25">
      <c r="A1041" t="s">
        <v>852</v>
      </c>
      <c r="B1041" s="143">
        <v>44230</v>
      </c>
      <c r="C1041">
        <v>119.12</v>
      </c>
      <c r="D1041">
        <v>6.7153660000000004</v>
      </c>
      <c r="E1041" s="143"/>
    </row>
    <row r="1042" spans="1:12" x14ac:dyDescent="0.25">
      <c r="A1042" t="s">
        <v>852</v>
      </c>
      <c r="B1042" s="143">
        <v>44231</v>
      </c>
      <c r="C1042">
        <v>121.02</v>
      </c>
      <c r="D1042">
        <v>4.5621239999999998</v>
      </c>
      <c r="E1042" s="143"/>
    </row>
    <row r="1043" spans="1:12" x14ac:dyDescent="0.25">
      <c r="A1043" t="s">
        <v>852</v>
      </c>
      <c r="B1043" s="143">
        <v>44232</v>
      </c>
      <c r="C1043">
        <v>121.79</v>
      </c>
      <c r="D1043">
        <v>4.5657269999999999</v>
      </c>
      <c r="E1043" s="143"/>
    </row>
    <row r="1044" spans="1:12" x14ac:dyDescent="0.25">
      <c r="A1044" t="s">
        <v>852</v>
      </c>
      <c r="B1044" s="143">
        <v>44235</v>
      </c>
      <c r="C1044">
        <v>123.61</v>
      </c>
      <c r="D1044">
        <v>5.8879989999999998</v>
      </c>
      <c r="E1044" s="143"/>
    </row>
    <row r="1045" spans="1:12" x14ac:dyDescent="0.25">
      <c r="A1045" t="s">
        <v>852</v>
      </c>
      <c r="B1045" s="143">
        <v>44236</v>
      </c>
      <c r="C1045">
        <v>122.1</v>
      </c>
      <c r="D1045">
        <v>4.7170139999999998</v>
      </c>
      <c r="E1045" s="143">
        <v>44265</v>
      </c>
      <c r="F1045">
        <v>1.63</v>
      </c>
      <c r="G1045" t="s">
        <v>683</v>
      </c>
      <c r="H1045" t="s">
        <v>778</v>
      </c>
      <c r="I1045" t="s">
        <v>687</v>
      </c>
      <c r="J1045">
        <v>2021</v>
      </c>
      <c r="K1045">
        <v>1</v>
      </c>
      <c r="L1045">
        <v>3</v>
      </c>
    </row>
    <row r="1046" spans="1:12" x14ac:dyDescent="0.25">
      <c r="A1046" t="s">
        <v>852</v>
      </c>
      <c r="B1046" s="143">
        <v>44237</v>
      </c>
      <c r="C1046">
        <v>122.24</v>
      </c>
      <c r="D1046">
        <v>4.866765</v>
      </c>
      <c r="E1046" s="143"/>
    </row>
    <row r="1047" spans="1:12" x14ac:dyDescent="0.25">
      <c r="A1047" t="s">
        <v>852</v>
      </c>
      <c r="B1047" s="143">
        <v>44238</v>
      </c>
      <c r="C1047">
        <v>120.91</v>
      </c>
      <c r="D1047">
        <v>5.3815559999999998</v>
      </c>
      <c r="E1047" s="143"/>
    </row>
    <row r="1048" spans="1:12" x14ac:dyDescent="0.25">
      <c r="A1048" t="s">
        <v>852</v>
      </c>
      <c r="B1048" s="143">
        <v>44239</v>
      </c>
      <c r="C1048">
        <v>120.8</v>
      </c>
      <c r="D1048">
        <v>3.8711950000000002</v>
      </c>
      <c r="E1048" s="143"/>
    </row>
    <row r="1049" spans="1:12" x14ac:dyDescent="0.25">
      <c r="A1049" t="s">
        <v>852</v>
      </c>
      <c r="B1049" s="143">
        <v>44243</v>
      </c>
      <c r="C1049">
        <v>120.07</v>
      </c>
      <c r="D1049">
        <v>6.6397899999999996</v>
      </c>
      <c r="E1049" s="143"/>
    </row>
    <row r="1050" spans="1:12" x14ac:dyDescent="0.25">
      <c r="A1050" t="s">
        <v>852</v>
      </c>
      <c r="B1050" s="143">
        <v>44244</v>
      </c>
      <c r="C1050">
        <v>119.97</v>
      </c>
      <c r="D1050">
        <v>3.9759060000000002</v>
      </c>
      <c r="E1050" s="143"/>
    </row>
    <row r="1051" spans="1:12" x14ac:dyDescent="0.25">
      <c r="A1051" t="s">
        <v>852</v>
      </c>
      <c r="B1051" s="143">
        <v>44245</v>
      </c>
      <c r="C1051">
        <v>120.73</v>
      </c>
      <c r="D1051">
        <v>5.3991449999999999</v>
      </c>
      <c r="E1051" s="143"/>
    </row>
    <row r="1052" spans="1:12" x14ac:dyDescent="0.25">
      <c r="A1052" t="s">
        <v>852</v>
      </c>
      <c r="B1052" s="143">
        <v>44246</v>
      </c>
      <c r="C1052">
        <v>118.99</v>
      </c>
      <c r="D1052">
        <v>6.5787409999999999</v>
      </c>
      <c r="E1052" s="143"/>
    </row>
    <row r="1053" spans="1:12" x14ac:dyDescent="0.25">
      <c r="A1053" t="s">
        <v>852</v>
      </c>
      <c r="B1053" s="143">
        <v>44249</v>
      </c>
      <c r="C1053">
        <v>120.86</v>
      </c>
      <c r="D1053">
        <v>5.8792489999999997</v>
      </c>
      <c r="E1053" s="143"/>
    </row>
    <row r="1054" spans="1:12" x14ac:dyDescent="0.25">
      <c r="A1054" t="s">
        <v>852</v>
      </c>
      <c r="B1054" s="143">
        <v>44250</v>
      </c>
      <c r="C1054">
        <v>120.71</v>
      </c>
      <c r="D1054">
        <v>4.5314639999999997</v>
      </c>
      <c r="E1054" s="143"/>
    </row>
    <row r="1055" spans="1:12" x14ac:dyDescent="0.25">
      <c r="A1055" t="s">
        <v>852</v>
      </c>
      <c r="B1055" s="143">
        <v>44251</v>
      </c>
      <c r="C1055">
        <v>123.21</v>
      </c>
      <c r="D1055">
        <v>5.8199829999999997</v>
      </c>
      <c r="E1055" s="143"/>
    </row>
    <row r="1056" spans="1:12" x14ac:dyDescent="0.25">
      <c r="A1056" t="s">
        <v>852</v>
      </c>
      <c r="B1056" s="143">
        <v>44252</v>
      </c>
      <c r="C1056">
        <v>122.47</v>
      </c>
      <c r="D1056">
        <v>5.6918300000000004</v>
      </c>
      <c r="E1056" s="143"/>
    </row>
    <row r="1057" spans="1:5" x14ac:dyDescent="0.25">
      <c r="A1057" t="s">
        <v>852</v>
      </c>
      <c r="B1057" s="143">
        <v>44253</v>
      </c>
      <c r="C1057">
        <v>118.93</v>
      </c>
      <c r="D1057">
        <v>9.0509900000000005</v>
      </c>
      <c r="E1057" s="143"/>
    </row>
    <row r="1058" spans="1:5" x14ac:dyDescent="0.25">
      <c r="A1058" t="s">
        <v>852</v>
      </c>
      <c r="B1058" s="143">
        <v>44256</v>
      </c>
      <c r="C1058">
        <v>120.74</v>
      </c>
      <c r="D1058">
        <v>5.7157669999999996</v>
      </c>
      <c r="E1058" s="143"/>
    </row>
    <row r="1059" spans="1:5" x14ac:dyDescent="0.25">
      <c r="A1059" t="s">
        <v>852</v>
      </c>
      <c r="B1059" s="143">
        <v>44257</v>
      </c>
      <c r="C1059">
        <v>120.33</v>
      </c>
      <c r="D1059">
        <v>4.5242990000000001</v>
      </c>
      <c r="E1059" s="143"/>
    </row>
    <row r="1060" spans="1:5" x14ac:dyDescent="0.25">
      <c r="A1060" t="s">
        <v>852</v>
      </c>
      <c r="B1060" s="143">
        <v>44258</v>
      </c>
      <c r="C1060">
        <v>122.36</v>
      </c>
      <c r="D1060">
        <v>7.4042690000000002</v>
      </c>
      <c r="E1060" s="143"/>
    </row>
    <row r="1061" spans="1:5" x14ac:dyDescent="0.25">
      <c r="A1061" t="s">
        <v>852</v>
      </c>
      <c r="B1061" s="143">
        <v>44259</v>
      </c>
      <c r="C1061">
        <v>120.11</v>
      </c>
      <c r="D1061">
        <v>8.0684920000000009</v>
      </c>
      <c r="E1061" s="143"/>
    </row>
    <row r="1062" spans="1:5" x14ac:dyDescent="0.25">
      <c r="A1062" t="s">
        <v>852</v>
      </c>
      <c r="B1062" s="143">
        <v>44260</v>
      </c>
      <c r="C1062">
        <v>122.83</v>
      </c>
      <c r="D1062">
        <v>6.9492649999999996</v>
      </c>
      <c r="E1062" s="143"/>
    </row>
    <row r="1063" spans="1:5" x14ac:dyDescent="0.25">
      <c r="A1063" t="s">
        <v>852</v>
      </c>
      <c r="B1063" s="143">
        <v>44263</v>
      </c>
      <c r="C1063">
        <v>124.81</v>
      </c>
      <c r="D1063">
        <v>7.2391909999999999</v>
      </c>
      <c r="E1063" s="143"/>
    </row>
    <row r="1064" spans="1:5" x14ac:dyDescent="0.25">
      <c r="A1064" t="s">
        <v>852</v>
      </c>
      <c r="B1064" s="143">
        <v>44264</v>
      </c>
      <c r="C1064">
        <v>124.18</v>
      </c>
      <c r="D1064">
        <v>5.6090289999999996</v>
      </c>
      <c r="E1064" s="143"/>
    </row>
    <row r="1065" spans="1:5" x14ac:dyDescent="0.25">
      <c r="A1065" t="s">
        <v>852</v>
      </c>
      <c r="B1065" s="143">
        <v>44265</v>
      </c>
      <c r="C1065">
        <v>127.87</v>
      </c>
      <c r="D1065">
        <v>7.2478069999999999</v>
      </c>
      <c r="E1065" s="143"/>
    </row>
    <row r="1066" spans="1:5" x14ac:dyDescent="0.25">
      <c r="A1066" t="s">
        <v>852</v>
      </c>
      <c r="B1066" s="143">
        <v>44266</v>
      </c>
      <c r="C1066">
        <v>127.14</v>
      </c>
      <c r="D1066">
        <v>5.1469370000000003</v>
      </c>
      <c r="E1066" s="143"/>
    </row>
    <row r="1067" spans="1:5" x14ac:dyDescent="0.25">
      <c r="A1067" t="s">
        <v>852</v>
      </c>
      <c r="B1067" s="143">
        <v>44267</v>
      </c>
      <c r="C1067">
        <v>127.61</v>
      </c>
      <c r="D1067">
        <v>4.0101000000000004</v>
      </c>
      <c r="E1067" s="143"/>
    </row>
    <row r="1068" spans="1:5" x14ac:dyDescent="0.25">
      <c r="A1068" t="s">
        <v>852</v>
      </c>
      <c r="B1068" s="143">
        <v>44270</v>
      </c>
      <c r="C1068">
        <v>128.58000000000001</v>
      </c>
      <c r="D1068">
        <v>3.421281</v>
      </c>
      <c r="E1068" s="143"/>
    </row>
    <row r="1069" spans="1:5" x14ac:dyDescent="0.25">
      <c r="A1069" t="s">
        <v>852</v>
      </c>
      <c r="B1069" s="143">
        <v>44271</v>
      </c>
      <c r="C1069">
        <v>128.24</v>
      </c>
      <c r="D1069">
        <v>4.6531779999999996</v>
      </c>
      <c r="E1069" s="143"/>
    </row>
    <row r="1070" spans="1:5" x14ac:dyDescent="0.25">
      <c r="A1070" t="s">
        <v>852</v>
      </c>
      <c r="B1070" s="143">
        <v>44272</v>
      </c>
      <c r="C1070">
        <v>129.03</v>
      </c>
      <c r="D1070">
        <v>4.2913509999999997</v>
      </c>
      <c r="E1070" s="143"/>
    </row>
    <row r="1071" spans="1:5" x14ac:dyDescent="0.25">
      <c r="A1071" t="s">
        <v>852</v>
      </c>
      <c r="B1071" s="143">
        <v>44273</v>
      </c>
      <c r="C1071">
        <v>130.06</v>
      </c>
      <c r="D1071">
        <v>5.8356690000000002</v>
      </c>
      <c r="E1071" s="143"/>
    </row>
    <row r="1072" spans="1:5" x14ac:dyDescent="0.25">
      <c r="A1072" t="s">
        <v>852</v>
      </c>
      <c r="B1072" s="143">
        <v>44274</v>
      </c>
      <c r="C1072">
        <v>128.9</v>
      </c>
      <c r="D1072">
        <v>9.8449829999999992</v>
      </c>
      <c r="E1072" s="143"/>
    </row>
    <row r="1073" spans="1:5" x14ac:dyDescent="0.25">
      <c r="A1073" t="s">
        <v>852</v>
      </c>
      <c r="B1073" s="143">
        <v>44277</v>
      </c>
      <c r="C1073">
        <v>130.55000000000001</v>
      </c>
      <c r="D1073">
        <v>4.1649139999999996</v>
      </c>
      <c r="E1073" s="143"/>
    </row>
    <row r="1074" spans="1:5" x14ac:dyDescent="0.25">
      <c r="A1074" t="s">
        <v>852</v>
      </c>
      <c r="B1074" s="143">
        <v>44278</v>
      </c>
      <c r="C1074">
        <v>130.46</v>
      </c>
      <c r="D1074">
        <v>4.3563590000000003</v>
      </c>
      <c r="E1074" s="143"/>
    </row>
    <row r="1075" spans="1:5" x14ac:dyDescent="0.25">
      <c r="A1075" t="s">
        <v>852</v>
      </c>
      <c r="B1075" s="143">
        <v>44279</v>
      </c>
      <c r="C1075">
        <v>130.62</v>
      </c>
      <c r="D1075">
        <v>4.0050270000000001</v>
      </c>
      <c r="E1075" s="143"/>
    </row>
    <row r="1076" spans="1:5" x14ac:dyDescent="0.25">
      <c r="A1076" t="s">
        <v>852</v>
      </c>
      <c r="B1076" s="143">
        <v>44280</v>
      </c>
      <c r="C1076">
        <v>133.07</v>
      </c>
      <c r="D1076">
        <v>5.553966</v>
      </c>
      <c r="E1076" s="143"/>
    </row>
    <row r="1077" spans="1:5" x14ac:dyDescent="0.25">
      <c r="A1077" t="s">
        <v>852</v>
      </c>
      <c r="B1077" s="143">
        <v>44281</v>
      </c>
      <c r="C1077">
        <v>136.38</v>
      </c>
      <c r="D1077">
        <v>5.5675920000000003</v>
      </c>
      <c r="E1077" s="143"/>
    </row>
    <row r="1078" spans="1:5" x14ac:dyDescent="0.25">
      <c r="A1078" t="s">
        <v>852</v>
      </c>
      <c r="B1078" s="143">
        <v>44284</v>
      </c>
      <c r="C1078">
        <v>135.86000000000001</v>
      </c>
      <c r="D1078">
        <v>4.6226640000000003</v>
      </c>
      <c r="E1078" s="143"/>
    </row>
    <row r="1079" spans="1:5" x14ac:dyDescent="0.25">
      <c r="A1079" t="s">
        <v>852</v>
      </c>
      <c r="B1079" s="143">
        <v>44285</v>
      </c>
      <c r="C1079">
        <v>134.72</v>
      </c>
      <c r="D1079">
        <v>4.7903659999999997</v>
      </c>
      <c r="E1079" s="143"/>
    </row>
    <row r="1080" spans="1:5" x14ac:dyDescent="0.25">
      <c r="A1080" t="s">
        <v>852</v>
      </c>
      <c r="B1080" s="143">
        <v>44286</v>
      </c>
      <c r="C1080">
        <v>133.26</v>
      </c>
      <c r="D1080">
        <v>4.9453149999999999</v>
      </c>
      <c r="E1080" s="143"/>
    </row>
    <row r="1081" spans="1:5" x14ac:dyDescent="0.25">
      <c r="A1081" t="s">
        <v>852</v>
      </c>
      <c r="B1081" s="143">
        <v>44287</v>
      </c>
      <c r="C1081">
        <v>133.22999999999999</v>
      </c>
      <c r="D1081">
        <v>4.0741610000000001</v>
      </c>
      <c r="E1081" s="143"/>
    </row>
    <row r="1082" spans="1:5" x14ac:dyDescent="0.25">
      <c r="A1082" t="s">
        <v>852</v>
      </c>
      <c r="B1082" s="143">
        <v>44291</v>
      </c>
      <c r="C1082">
        <v>135.93</v>
      </c>
      <c r="D1082">
        <v>5.471616</v>
      </c>
      <c r="E1082" s="143"/>
    </row>
    <row r="1083" spans="1:5" x14ac:dyDescent="0.25">
      <c r="A1083" t="s">
        <v>852</v>
      </c>
      <c r="B1083" s="143">
        <v>44292</v>
      </c>
      <c r="C1083">
        <v>134.22</v>
      </c>
      <c r="D1083">
        <v>3.6209639999999998</v>
      </c>
      <c r="E1083" s="143"/>
    </row>
    <row r="1084" spans="1:5" x14ac:dyDescent="0.25">
      <c r="A1084" t="s">
        <v>852</v>
      </c>
      <c r="B1084" s="143">
        <v>44293</v>
      </c>
      <c r="C1084">
        <v>134.93</v>
      </c>
      <c r="D1084">
        <v>2.9761359999999999</v>
      </c>
      <c r="E1084" s="143"/>
    </row>
    <row r="1085" spans="1:5" x14ac:dyDescent="0.25">
      <c r="A1085" t="s">
        <v>852</v>
      </c>
      <c r="B1085" s="143">
        <v>44294</v>
      </c>
      <c r="C1085">
        <v>135.12</v>
      </c>
      <c r="D1085">
        <v>4.0872279999999996</v>
      </c>
      <c r="E1085" s="143"/>
    </row>
    <row r="1086" spans="1:5" x14ac:dyDescent="0.25">
      <c r="A1086" t="s">
        <v>852</v>
      </c>
      <c r="B1086" s="143">
        <v>44295</v>
      </c>
      <c r="C1086">
        <v>135.72999999999999</v>
      </c>
      <c r="D1086">
        <v>3.0239159999999998</v>
      </c>
      <c r="E1086" s="143"/>
    </row>
    <row r="1087" spans="1:5" x14ac:dyDescent="0.25">
      <c r="A1087" t="s">
        <v>852</v>
      </c>
      <c r="B1087" s="143">
        <v>44298</v>
      </c>
      <c r="C1087">
        <v>134.59</v>
      </c>
      <c r="D1087">
        <v>3.753959</v>
      </c>
      <c r="E1087" s="143"/>
    </row>
    <row r="1088" spans="1:5" x14ac:dyDescent="0.25">
      <c r="A1088" t="s">
        <v>852</v>
      </c>
      <c r="B1088" s="143">
        <v>44299</v>
      </c>
      <c r="C1088">
        <v>131.18</v>
      </c>
      <c r="D1088">
        <v>8.0335300000000007</v>
      </c>
      <c r="E1088" s="143"/>
    </row>
    <row r="1089" spans="1:5" x14ac:dyDescent="0.25">
      <c r="A1089" t="s">
        <v>852</v>
      </c>
      <c r="B1089" s="143">
        <v>44300</v>
      </c>
      <c r="C1089">
        <v>132.63</v>
      </c>
      <c r="D1089">
        <v>5.8680490000000001</v>
      </c>
      <c r="E1089" s="143"/>
    </row>
    <row r="1090" spans="1:5" x14ac:dyDescent="0.25">
      <c r="A1090" t="s">
        <v>852</v>
      </c>
      <c r="B1090" s="143">
        <v>44301</v>
      </c>
      <c r="C1090">
        <v>132.58000000000001</v>
      </c>
      <c r="D1090">
        <v>3.8839549999999998</v>
      </c>
      <c r="E1090" s="143"/>
    </row>
    <row r="1091" spans="1:5" x14ac:dyDescent="0.25">
      <c r="A1091" t="s">
        <v>852</v>
      </c>
      <c r="B1091" s="143">
        <v>44302</v>
      </c>
      <c r="C1091">
        <v>133.59</v>
      </c>
      <c r="D1091">
        <v>5.2917560000000003</v>
      </c>
      <c r="E1091" s="143"/>
    </row>
    <row r="1092" spans="1:5" x14ac:dyDescent="0.25">
      <c r="A1092" t="s">
        <v>852</v>
      </c>
      <c r="B1092" s="143">
        <v>44305</v>
      </c>
      <c r="C1092">
        <v>133.12</v>
      </c>
      <c r="D1092">
        <v>8.198582</v>
      </c>
      <c r="E1092" s="143"/>
    </row>
    <row r="1093" spans="1:5" x14ac:dyDescent="0.25">
      <c r="A1093" t="s">
        <v>852</v>
      </c>
      <c r="B1093" s="143">
        <v>44306</v>
      </c>
      <c r="C1093">
        <v>138.16</v>
      </c>
      <c r="D1093">
        <v>15.480579000000001</v>
      </c>
      <c r="E1093" s="143"/>
    </row>
    <row r="1094" spans="1:5" x14ac:dyDescent="0.25">
      <c r="A1094" t="s">
        <v>852</v>
      </c>
      <c r="B1094" s="143">
        <v>44307</v>
      </c>
      <c r="C1094">
        <v>143.55000000000001</v>
      </c>
      <c r="D1094">
        <v>11.909005000000001</v>
      </c>
      <c r="E1094" s="143"/>
    </row>
    <row r="1095" spans="1:5" x14ac:dyDescent="0.25">
      <c r="A1095" t="s">
        <v>852</v>
      </c>
      <c r="B1095" s="143">
        <v>44308</v>
      </c>
      <c r="C1095">
        <v>141.28</v>
      </c>
      <c r="D1095">
        <v>7.1013679999999999</v>
      </c>
      <c r="E1095" s="143"/>
    </row>
    <row r="1096" spans="1:5" x14ac:dyDescent="0.25">
      <c r="A1096" t="s">
        <v>852</v>
      </c>
      <c r="B1096" s="143">
        <v>44309</v>
      </c>
      <c r="C1096">
        <v>142.43</v>
      </c>
      <c r="D1096">
        <v>4.5567000000000002</v>
      </c>
      <c r="E1096" s="1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B1B6-D003-4840-96D0-2958C25DE65C}">
  <sheetPr codeName="Sheet7">
    <tabColor theme="0"/>
  </sheetPr>
  <dimension ref="A1:I38"/>
  <sheetViews>
    <sheetView topLeftCell="E1" workbookViewId="0">
      <selection activeCell="H3" sqref="H3"/>
    </sheetView>
  </sheetViews>
  <sheetFormatPr defaultColWidth="8.85546875" defaultRowHeight="15" x14ac:dyDescent="0.25"/>
  <cols>
    <col min="1" max="1" width="39.42578125" customWidth="1"/>
    <col min="2" max="2" width="51.85546875" hidden="1" customWidth="1"/>
    <col min="3" max="3" width="21.85546875" customWidth="1"/>
    <col min="4" max="4" width="20" customWidth="1"/>
    <col min="5" max="5" width="14" customWidth="1"/>
    <col min="6" max="6" width="15.7109375" customWidth="1"/>
    <col min="7" max="7" width="16.28515625" customWidth="1"/>
    <col min="8" max="8" width="45.42578125" customWidth="1"/>
    <col min="9" max="9" width="123.42578125" bestFit="1" customWidth="1"/>
    <col min="13" max="13" width="28.28515625" customWidth="1"/>
  </cols>
  <sheetData>
    <row r="1" spans="1:9" x14ac:dyDescent="0.25">
      <c r="A1" t="s">
        <v>776</v>
      </c>
    </row>
    <row r="2" spans="1:9" x14ac:dyDescent="0.25">
      <c r="A2" t="s">
        <v>697</v>
      </c>
      <c r="B2" t="s">
        <v>698</v>
      </c>
      <c r="C2" t="s">
        <v>699</v>
      </c>
      <c r="D2" t="s">
        <v>447</v>
      </c>
      <c r="E2" t="s">
        <v>700</v>
      </c>
      <c r="F2" t="s">
        <v>701</v>
      </c>
      <c r="G2" t="s">
        <v>702</v>
      </c>
      <c r="H2" s="165" t="s">
        <v>703</v>
      </c>
    </row>
    <row r="3" spans="1:9" x14ac:dyDescent="0.25">
      <c r="A3">
        <f>+my_token</f>
        <v>0</v>
      </c>
      <c r="B3">
        <f>+Secret_Token</f>
        <v>0</v>
      </c>
      <c r="C3" t="s">
        <v>704</v>
      </c>
      <c r="D3" t="str">
        <f>+Ticker</f>
        <v>IBM</v>
      </c>
      <c r="E3" t="str">
        <f>period_type</f>
        <v>annual</v>
      </c>
      <c r="F3" t="str">
        <f>no_of_periods</f>
        <v>7y</v>
      </c>
      <c r="G3" t="s">
        <v>705</v>
      </c>
      <c r="H3" t="str">
        <f>+Fundamentals[[#This Row],[Base_Url]]&amp;Fundamentals[[#This Row],[Source]]&amp;"/"&amp;Fundamentals[[#This Row],[Ticker]]&amp;"/"&amp;Fundamentals[[#This Row],[Period_type]]&amp;"?token="&amp;Fundamentals[[#This Row],[Token]]&amp;"&amp;range="&amp;Fundamentals[[#This Row],[No_of_periods]]</f>
        <v>https://cloud.iexapis.com/stable/time-series/fundamentals/IBM/annual?token=0&amp;range=7y</v>
      </c>
    </row>
    <row r="5" spans="1:9" x14ac:dyDescent="0.25">
      <c r="A5" t="s">
        <v>706</v>
      </c>
      <c r="C5" t="s">
        <v>704</v>
      </c>
      <c r="D5" t="s">
        <v>707</v>
      </c>
      <c r="E5" t="s">
        <v>687</v>
      </c>
      <c r="F5" t="s">
        <v>713</v>
      </c>
      <c r="G5" t="s">
        <v>708</v>
      </c>
      <c r="H5" t="s">
        <v>709</v>
      </c>
      <c r="I5" t="s">
        <v>710</v>
      </c>
    </row>
    <row r="6" spans="1:9" x14ac:dyDescent="0.25">
      <c r="E6" t="s">
        <v>694</v>
      </c>
      <c r="F6" t="s">
        <v>806</v>
      </c>
    </row>
    <row r="7" spans="1:9" x14ac:dyDescent="0.25">
      <c r="E7" t="s">
        <v>181</v>
      </c>
      <c r="F7" t="s">
        <v>711</v>
      </c>
    </row>
    <row r="8" spans="1:9" x14ac:dyDescent="0.25">
      <c r="A8" t="s">
        <v>774</v>
      </c>
    </row>
    <row r="9" spans="1:9" x14ac:dyDescent="0.25">
      <c r="A9" t="s">
        <v>697</v>
      </c>
      <c r="B9" t="s">
        <v>698</v>
      </c>
      <c r="C9" t="s">
        <v>699</v>
      </c>
      <c r="D9" t="s">
        <v>447</v>
      </c>
      <c r="E9" t="s">
        <v>714</v>
      </c>
      <c r="F9" t="s">
        <v>715</v>
      </c>
      <c r="G9" t="s">
        <v>702</v>
      </c>
      <c r="H9" s="165" t="s">
        <v>703</v>
      </c>
    </row>
    <row r="10" spans="1:9" x14ac:dyDescent="0.25">
      <c r="A10">
        <f>+my_token</f>
        <v>0</v>
      </c>
      <c r="B10">
        <f>+Secret_Token</f>
        <v>0</v>
      </c>
      <c r="C10" t="s">
        <v>716</v>
      </c>
      <c r="D10" t="str">
        <f>+Ticker</f>
        <v>IBM</v>
      </c>
      <c r="E10" s="143" t="str" cm="1">
        <f t="array" aca="1" ref="E10" ca="1">TEXT(YEAR(PriceRangeSettings[From]),"0000")&amp;TEXT(MONTH(PriceRangeSettings[From]),"00")&amp;TEXT(DAY(PriceRangeSettings[From]),"00")</f>
        <v>20130607</v>
      </c>
      <c r="F10" s="143" t="str" cm="1">
        <f t="array" aca="1" ref="F10" ca="1">TEXT(YEAR(PriceRangeSettings[To]),"0000")&amp;TEXT(MONTH(PriceRangeSettings[To]),"00")&amp;TEXT(DAY(PriceRangeSettings[To]),"00")</f>
        <v>20210426</v>
      </c>
      <c r="G10" t="s">
        <v>705</v>
      </c>
      <c r="H10" t="str">
        <f ca="1">+Prices[[#This Row],[Base_Url]]&amp;Prices[[#This Row],[Source]]&amp;"/"&amp;Prices[[#This Row],[Ticker]]&amp;"?from="&amp;Prices[[#This Row],[from]]&amp;"&amp;to="&amp;Prices[[#This Row],[to]]&amp;"&amp;token="&amp;Prices[[#This Row],[Token]]</f>
        <v>https://cloud.iexapis.com/stable/time-series/historical_prices/IBM?from=20130607&amp;to=20210426&amp;token=0</v>
      </c>
    </row>
    <row r="12" spans="1:9" x14ac:dyDescent="0.25">
      <c r="A12" t="s">
        <v>775</v>
      </c>
    </row>
    <row r="13" spans="1:9" x14ac:dyDescent="0.25">
      <c r="A13" s="140" t="s">
        <v>697</v>
      </c>
      <c r="B13" s="140" t="s">
        <v>698</v>
      </c>
      <c r="C13" s="140" t="s">
        <v>699</v>
      </c>
      <c r="D13" s="140" t="s">
        <v>447</v>
      </c>
      <c r="E13" s="146" t="s">
        <v>719</v>
      </c>
      <c r="F13" s="146" t="s">
        <v>741</v>
      </c>
      <c r="G13" s="140" t="s">
        <v>702</v>
      </c>
      <c r="H13" s="166" t="s">
        <v>703</v>
      </c>
    </row>
    <row r="14" spans="1:9" x14ac:dyDescent="0.25">
      <c r="A14" s="144">
        <f>+my_token</f>
        <v>0</v>
      </c>
      <c r="B14" s="144">
        <f>+Secret_Token</f>
        <v>0</v>
      </c>
      <c r="C14" s="144" t="s">
        <v>724</v>
      </c>
      <c r="D14" s="144" t="str">
        <f>+Ticker</f>
        <v>IBM</v>
      </c>
      <c r="E14" s="145"/>
      <c r="F14" s="145" t="s">
        <v>742</v>
      </c>
      <c r="G14" s="147" t="s">
        <v>723</v>
      </c>
      <c r="H14" s="145" t="str">
        <f>+Dividends[[#This Row],[Base_Url]]&amp;Dividends[[#This Row],[Ticker]]&amp;"/"&amp;Dividends[[#This Row],[Source]]&amp;"/"&amp;Dividends[[#This Row],[Period]]&amp;"?token="&amp;Dividends[[#This Row],[Token]]&amp;Dividends[[#This Row],[last]]</f>
        <v>https://cloud.iexapis.com/stable/stock/IBM/dividends/?token=0&amp;last=50</v>
      </c>
    </row>
    <row r="16" spans="1:9" x14ac:dyDescent="0.25">
      <c r="A16" t="s">
        <v>791</v>
      </c>
    </row>
    <row r="17" spans="1:7" x14ac:dyDescent="0.25">
      <c r="A17" s="140" t="s">
        <v>697</v>
      </c>
      <c r="B17" s="140" t="s">
        <v>698</v>
      </c>
      <c r="C17" s="140" t="s">
        <v>702</v>
      </c>
      <c r="D17" s="166" t="s">
        <v>703</v>
      </c>
    </row>
    <row r="18" spans="1:7" x14ac:dyDescent="0.25">
      <c r="A18" s="144">
        <f>+Secret_Token</f>
        <v>0</v>
      </c>
      <c r="B18" s="144">
        <f>+Secret_Token</f>
        <v>0</v>
      </c>
      <c r="C18" s="147" t="s">
        <v>729</v>
      </c>
      <c r="D18" s="145" t="str">
        <f>+account[[#This Row],[Base_Url]]&amp;account[[#This Row],[Secret_Token]]</f>
        <v>https://cloud.iexapis.com/stable/account/metadata?token=0</v>
      </c>
    </row>
    <row r="20" spans="1:7" x14ac:dyDescent="0.25">
      <c r="A20" t="s">
        <v>792</v>
      </c>
    </row>
    <row r="21" spans="1:7" x14ac:dyDescent="0.25">
      <c r="A21" s="150" t="s">
        <v>697</v>
      </c>
      <c r="B21" s="150" t="s">
        <v>738</v>
      </c>
      <c r="C21" s="150" t="s">
        <v>699</v>
      </c>
      <c r="D21" s="150" t="s">
        <v>447</v>
      </c>
      <c r="E21" s="150" t="s">
        <v>740</v>
      </c>
      <c r="F21" s="150" t="s">
        <v>719</v>
      </c>
      <c r="G21" s="167" t="s">
        <v>703</v>
      </c>
    </row>
    <row r="22" spans="1:7" x14ac:dyDescent="0.25">
      <c r="A22" s="144">
        <f>+my_token</f>
        <v>0</v>
      </c>
      <c r="B22" s="151" t="s">
        <v>705</v>
      </c>
      <c r="C22" s="148" t="s">
        <v>739</v>
      </c>
      <c r="D22" s="148" t="str">
        <f>+Ticker</f>
        <v>IBM</v>
      </c>
      <c r="E22" s="148" t="s">
        <v>757</v>
      </c>
      <c r="F22" s="145" t="s">
        <v>777</v>
      </c>
      <c r="G22" s="149" t="str">
        <f>+asReported[[#This Row],[Base_URL]]&amp;"/"&amp;asReported[[#This Row],[Source]]&amp;"/"&amp;asReported[[#This Row],[Ticker]]&amp;"/"&amp;asReported[[#This Row],[Report]]&amp;"?"&amp;asReported[[#This Row],[Period]]&amp;"&amp;token="&amp;asReported[[#This Row],[Token]]</f>
        <v>https://cloud.iexapis.com/stable/time-series//REPORTED_FINANCIALS/IBM/10-Q?last=7&amp;token=0</v>
      </c>
    </row>
    <row r="24" spans="1:7" x14ac:dyDescent="0.25">
      <c r="A24" t="s">
        <v>745</v>
      </c>
      <c r="B24" s="129" t="str">
        <f xml:space="preserve"> "= Json.Document(Web.Contents(Excel.CurrentWorkbook(){[Name="&amp;A24&amp;"]}[Content]{0}[Full_URL]))"</f>
        <v>= Json.Document(Web.Contents(Excel.CurrentWorkbook(){[Name="Recommendation"]}[Content]{0}[Full_URL]))</v>
      </c>
    </row>
    <row r="25" spans="1:7" x14ac:dyDescent="0.25">
      <c r="A25" s="150" t="s">
        <v>697</v>
      </c>
      <c r="B25" s="150" t="s">
        <v>738</v>
      </c>
      <c r="C25" s="150" t="s">
        <v>699</v>
      </c>
      <c r="D25" s="150" t="s">
        <v>447</v>
      </c>
      <c r="E25" s="167" t="s">
        <v>703</v>
      </c>
    </row>
    <row r="26" spans="1:7" x14ac:dyDescent="0.25">
      <c r="A26" s="148">
        <f>+my_token</f>
        <v>0</v>
      </c>
      <c r="B26" s="151" t="s">
        <v>723</v>
      </c>
      <c r="C26" s="148" t="s">
        <v>744</v>
      </c>
      <c r="D26" s="148" t="str">
        <f>+Ticker</f>
        <v>IBM</v>
      </c>
      <c r="E26" s="149" t="str">
        <f>+Recommendation10[[#This Row],[Base_URL]]&amp;Recommendation10[[#This Row],[Ticker]]&amp;"/"&amp;Recommendation10[[#This Row],[Source]]&amp;"?token="&amp;Recommendation10[[#This Row],[Token]]</f>
        <v>https://cloud.iexapis.com/stable/stock/IBM/recommendation-trends?token=0</v>
      </c>
    </row>
    <row r="28" spans="1:7" x14ac:dyDescent="0.25">
      <c r="A28" t="s">
        <v>748</v>
      </c>
      <c r="B28" s="129" t="str">
        <f xml:space="preserve"> "= Json.Document(Web.Contents(Excel.CurrentWorkbook(){[Name="&amp;A28&amp;"]}[Content]{0}[Full_URL]))"</f>
        <v>= Json.Document(Web.Contents(Excel.CurrentWorkbook(){[Name="Estimates_Annual"]}[Content]{0}[Full_URL]))</v>
      </c>
    </row>
    <row r="29" spans="1:7" x14ac:dyDescent="0.25">
      <c r="A29" s="150" t="s">
        <v>697</v>
      </c>
      <c r="B29" s="150" t="s">
        <v>738</v>
      </c>
      <c r="C29" s="150" t="s">
        <v>699</v>
      </c>
      <c r="D29" s="150" t="s">
        <v>719</v>
      </c>
      <c r="E29" s="150" t="s">
        <v>447</v>
      </c>
      <c r="F29" s="167" t="s">
        <v>703</v>
      </c>
    </row>
    <row r="30" spans="1:7" x14ac:dyDescent="0.25">
      <c r="A30" s="148">
        <f>+my_token</f>
        <v>0</v>
      </c>
      <c r="B30" s="151" t="s">
        <v>723</v>
      </c>
      <c r="C30" s="148" t="s">
        <v>746</v>
      </c>
      <c r="D30" s="148" t="s">
        <v>181</v>
      </c>
      <c r="E30" s="148" t="str">
        <f>+Ticker</f>
        <v>IBM</v>
      </c>
      <c r="F30" s="149" t="str">
        <f>+Estimates_Annual[[#This Row],[Base_URL]]&amp;Estimates_Annual[[#This Row],[Ticker]]&amp;"/"&amp;Estimates_Annual[[#This Row],[Source]]&amp;"?token="&amp;Estimates_Annual[[#This Row],[Token]]&amp;"&amp;period="&amp;Estimates_Annual[[#This Row],[Period]]</f>
        <v>https://cloud.iexapis.com/stable/stock/IBM/estimates?token=0&amp;period=annual</v>
      </c>
    </row>
    <row r="32" spans="1:7" x14ac:dyDescent="0.25">
      <c r="A32" t="s">
        <v>749</v>
      </c>
      <c r="B32" s="129" t="str">
        <f xml:space="preserve"> "= Json.Document(Web.Contents(Excel.CurrentWorkbook(){[Name="&amp;A32&amp;"]}[Content]{0}[Full_URL]))"</f>
        <v>= Json.Document(Web.Contents(Excel.CurrentWorkbook(){[Name="Estimates_Quarter"]}[Content]{0}[Full_URL]))</v>
      </c>
    </row>
    <row r="33" spans="1:6" x14ac:dyDescent="0.25">
      <c r="A33" s="150" t="s">
        <v>697</v>
      </c>
      <c r="B33" s="150" t="s">
        <v>738</v>
      </c>
      <c r="C33" s="150" t="s">
        <v>699</v>
      </c>
      <c r="D33" s="150" t="s">
        <v>719</v>
      </c>
      <c r="E33" s="150" t="s">
        <v>447</v>
      </c>
      <c r="F33" s="167" t="s">
        <v>703</v>
      </c>
    </row>
    <row r="34" spans="1:6" x14ac:dyDescent="0.25">
      <c r="A34" s="148">
        <f>+my_token</f>
        <v>0</v>
      </c>
      <c r="B34" s="151" t="s">
        <v>723</v>
      </c>
      <c r="C34" s="148" t="s">
        <v>746</v>
      </c>
      <c r="D34" s="148" t="s">
        <v>747</v>
      </c>
      <c r="E34" s="148" t="str">
        <f>+Ticker</f>
        <v>IBM</v>
      </c>
      <c r="F34" s="149" t="str">
        <f>+Estimates_Quarter[[#This Row],[Base_URL]]&amp;Estimates_Quarter[[#This Row],[Ticker]]&amp;"/"&amp;Estimates_Quarter[[#This Row],[Source]]&amp;"?token="&amp;Estimates_Quarter[[#This Row],[Token]]&amp;"&amp;period="&amp;Estimates_Quarter[[#This Row],[Period]]</f>
        <v>https://cloud.iexapis.com/stable/stock/IBM/estimates?token=0&amp;period=quarter</v>
      </c>
    </row>
    <row r="36" spans="1:6" x14ac:dyDescent="0.25">
      <c r="A36" t="s">
        <v>719</v>
      </c>
    </row>
    <row r="37" spans="1:6" x14ac:dyDescent="0.25">
      <c r="A37" t="s">
        <v>721</v>
      </c>
      <c r="F37" s="129"/>
    </row>
    <row r="38" spans="1:6" x14ac:dyDescent="0.25">
      <c r="A38" t="s">
        <v>815</v>
      </c>
    </row>
  </sheetData>
  <phoneticPr fontId="5" type="noConversion"/>
  <hyperlinks>
    <hyperlink ref="G14" r:id="rId1" xr:uid="{858C956C-AAC6-4A81-9868-7780BEEBCCEC}"/>
    <hyperlink ref="C18" r:id="rId2" xr:uid="{71A89628-B975-46FC-A0DE-9C9A6A652E72}"/>
    <hyperlink ref="G22" r:id="rId3" display="https://cloud.iexapis.com/stable/stock/" xr:uid="{920ACA18-629C-44C2-BC23-FF1930E28634}"/>
    <hyperlink ref="B22" r:id="rId4" xr:uid="{5AD73D97-B943-4292-9911-B018A46C9816}"/>
    <hyperlink ref="E26" r:id="rId5" display="https://cloud.iexapis.com/stable/stock/" xr:uid="{612CC11A-F86A-4039-A819-8648B23635B6}"/>
    <hyperlink ref="F30" r:id="rId6" display="https://cloud.iexapis.com/stable/stock/" xr:uid="{9F89E564-5853-4C43-8BC5-D0D4A7F7F614}"/>
    <hyperlink ref="F34" r:id="rId7" display="https://cloud.iexapis.com/stable/stock/" xr:uid="{65A08422-F539-469C-A978-D53A54DA5F06}"/>
  </hyperlinks>
  <pageMargins left="0.7" right="0.7" top="0.75" bottom="0.75" header="0.3" footer="0.3"/>
  <pageSetup orientation="portrait" r:id="rId8"/>
  <tableParts count="9">
    <tablePart r:id="rId9"/>
    <tablePart r:id="rId10"/>
    <tablePart r:id="rId11"/>
    <tablePart r:id="rId12"/>
    <tablePart r:id="rId13"/>
    <tablePart r:id="rId14"/>
    <tablePart r:id="rId15"/>
    <tablePart r:id="rId16"/>
    <tablePart r:id="rId1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26805-BE3B-4E2D-84A7-6579700C1EF1}">
  <sheetPr codeName="Sheet16"/>
  <dimension ref="A1:B10"/>
  <sheetViews>
    <sheetView workbookViewId="0">
      <selection sqref="A1:H184"/>
    </sheetView>
  </sheetViews>
  <sheetFormatPr defaultColWidth="8.85546875" defaultRowHeight="15" x14ac:dyDescent="0.25"/>
  <cols>
    <col min="1" max="1" width="21" bestFit="1" customWidth="1"/>
    <col min="2" max="2" width="11.140625" bestFit="1" customWidth="1"/>
    <col min="3" max="3" width="26.28515625" customWidth="1"/>
    <col min="4" max="4" width="15.7109375" customWidth="1"/>
  </cols>
  <sheetData>
    <row r="1" spans="1:2" x14ac:dyDescent="0.25">
      <c r="A1" t="s">
        <v>418</v>
      </c>
      <c r="B1" t="s">
        <v>419</v>
      </c>
    </row>
    <row r="2" spans="1:2" x14ac:dyDescent="0.25">
      <c r="A2" t="s">
        <v>730</v>
      </c>
      <c r="B2" t="b">
        <v>0</v>
      </c>
    </row>
    <row r="3" spans="1:2" x14ac:dyDescent="0.25">
      <c r="A3" t="s">
        <v>731</v>
      </c>
      <c r="B3">
        <v>44232</v>
      </c>
    </row>
    <row r="4" spans="1:2" x14ac:dyDescent="0.25">
      <c r="A4" t="s">
        <v>732</v>
      </c>
      <c r="B4" t="s">
        <v>181</v>
      </c>
    </row>
    <row r="5" spans="1:2" x14ac:dyDescent="0.25">
      <c r="A5" t="s">
        <v>733</v>
      </c>
      <c r="B5" t="s">
        <v>796</v>
      </c>
    </row>
    <row r="6" spans="1:2" x14ac:dyDescent="0.25">
      <c r="A6" t="s">
        <v>734</v>
      </c>
      <c r="B6">
        <v>50000</v>
      </c>
    </row>
    <row r="7" spans="1:2" x14ac:dyDescent="0.25">
      <c r="A7" t="s">
        <v>785</v>
      </c>
      <c r="B7">
        <v>50000</v>
      </c>
    </row>
    <row r="8" spans="1:2" x14ac:dyDescent="0.25">
      <c r="A8" t="s">
        <v>735</v>
      </c>
      <c r="B8">
        <v>49754</v>
      </c>
    </row>
    <row r="9" spans="1:2" x14ac:dyDescent="0.25">
      <c r="A9" t="s">
        <v>786</v>
      </c>
      <c r="B9">
        <v>49754</v>
      </c>
    </row>
    <row r="10" spans="1:2" x14ac:dyDescent="0.25">
      <c r="A10" t="s">
        <v>736</v>
      </c>
      <c r="B10">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F1EE-DB81-4C78-9249-55CC0E1175F6}">
  <sheetPr codeName="Sheet8"/>
  <dimension ref="A1:B10"/>
  <sheetViews>
    <sheetView workbookViewId="0">
      <selection activeCell="A11" sqref="A11"/>
    </sheetView>
  </sheetViews>
  <sheetFormatPr defaultColWidth="8.85546875" defaultRowHeight="15" x14ac:dyDescent="0.25"/>
  <cols>
    <col min="1" max="1" width="86" bestFit="1" customWidth="1"/>
  </cols>
  <sheetData>
    <row r="1" spans="1:2" x14ac:dyDescent="0.25">
      <c r="A1" t="s">
        <v>462</v>
      </c>
    </row>
    <row r="2" spans="1:2" x14ac:dyDescent="0.25">
      <c r="A2" t="s">
        <v>463</v>
      </c>
    </row>
    <row r="3" spans="1:2" x14ac:dyDescent="0.25">
      <c r="A3" t="s">
        <v>464</v>
      </c>
      <c r="B3" t="s">
        <v>668</v>
      </c>
    </row>
    <row r="4" spans="1:2" x14ac:dyDescent="0.25">
      <c r="A4" t="s">
        <v>465</v>
      </c>
    </row>
    <row r="5" spans="1:2" x14ac:dyDescent="0.25">
      <c r="A5" t="s">
        <v>655</v>
      </c>
      <c r="B5" t="s">
        <v>668</v>
      </c>
    </row>
    <row r="6" spans="1:2" x14ac:dyDescent="0.25">
      <c r="A6" t="s">
        <v>661</v>
      </c>
      <c r="B6" t="s">
        <v>668</v>
      </c>
    </row>
    <row r="7" spans="1:2" x14ac:dyDescent="0.25">
      <c r="A7" t="s">
        <v>662</v>
      </c>
    </row>
    <row r="8" spans="1:2" x14ac:dyDescent="0.25">
      <c r="A8" t="s">
        <v>678</v>
      </c>
    </row>
    <row r="9" spans="1:2" x14ac:dyDescent="0.25">
      <c r="A9" t="s">
        <v>679</v>
      </c>
    </row>
    <row r="10" spans="1:2" x14ac:dyDescent="0.25">
      <c r="A10" t="s">
        <v>680</v>
      </c>
      <c r="B10" t="s">
        <v>750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E16CB6-295D-4884-A1CB-9E790777CE38}">
  <ds:schemaRefs>
    <ds:schemaRef ds:uri="http://schemas.microsoft.com/sharepoint/v3/contenttype/forms"/>
  </ds:schemaRefs>
</ds:datastoreItem>
</file>

<file path=customXml/itemProps3.xml><?xml version="1.0" encoding="utf-8"?>
<ds:datastoreItem xmlns:ds="http://schemas.openxmlformats.org/officeDocument/2006/customXml" ds:itemID="{50D36FF0-3817-4959-B4D5-6CC3EFB6762E}">
  <ds:schemaRefs>
    <ds:schemaRef ds:uri="http://schemas.microsoft.com/DataMashup"/>
  </ds:schemaRefs>
</ds:datastoreItem>
</file>

<file path=customXml/itemProps4.xml><?xml version="1.0" encoding="utf-8"?>
<ds:datastoreItem xmlns:ds="http://schemas.openxmlformats.org/officeDocument/2006/customXml" ds:itemID="{DC5E85A6-1E55-4D4D-B0BC-8BD2234FA919}">
  <ds:schemaRefs>
    <ds:schemaRef ds:uri="http://schemas.microsoft.com/office/2006/metadata/properties"/>
    <ds:schemaRef ds:uri="http://purl.org/dc/elements/1.1/"/>
    <ds:schemaRef ds:uri="http://purl.org/dc/dcmitype/"/>
    <ds:schemaRef ds:uri="http://www.w3.org/XML/1998/namespace"/>
    <ds:schemaRef ds:uri="http://schemas.microsoft.com/office/2006/documentManagement/types"/>
    <ds:schemaRef ds:uri="http://schemas.microsoft.com/office/infopath/2007/PartnerControls"/>
    <ds:schemaRef ds:uri="11d9170d-0754-4698-b4cb-a3bd6bdd0825"/>
    <ds:schemaRef ds:uri="http://purl.org/dc/terms/"/>
    <ds:schemaRef ds:uri="http://schemas.openxmlformats.org/package/2006/metadata/core-properties"/>
    <ds:schemaRef ds:uri="31f2ae00-464e-4ce3-97c5-b8fc3cbdcb9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40</vt:i4>
      </vt:variant>
    </vt:vector>
  </HeadingPairs>
  <TitlesOfParts>
    <vt:vector size="52" baseType="lpstr">
      <vt:lpstr>Instructions</vt:lpstr>
      <vt:lpstr>Settings</vt:lpstr>
      <vt:lpstr>Table of Contents</vt:lpstr>
      <vt:lpstr>Financial Statements and Ratios</vt:lpstr>
      <vt:lpstr>Charts</vt:lpstr>
      <vt:lpstr>Fundies</vt:lpstr>
      <vt:lpstr>Dividends</vt:lpstr>
      <vt:lpstr>Price_Vol</vt:lpstr>
      <vt:lpstr>Price_Dividend</vt:lpstr>
      <vt:lpstr>URL_Builder</vt:lpstr>
      <vt:lpstr>account</vt:lpstr>
      <vt:lpstr>bugs and notes</vt:lpstr>
      <vt:lpstr>Balance_Sheet___Assets</vt:lpstr>
      <vt:lpstr>Balance_Sheet_Liabilities_and_Shareholders__Equity</vt:lpstr>
      <vt:lpstr>Balance_Sheet_Makeup</vt:lpstr>
      <vt:lpstr>Calculated_Fields_and_Ratios</vt:lpstr>
      <vt:lpstr>Cash_Conversion_Cycle</vt:lpstr>
      <vt:lpstr>Cash_Flow_Statement</vt:lpstr>
      <vt:lpstr>Cashflow_Trends</vt:lpstr>
      <vt:lpstr>Cloud_Cache</vt:lpstr>
      <vt:lpstr>Current_Assets</vt:lpstr>
      <vt:lpstr>Current_Investment_Liabilities</vt:lpstr>
      <vt:lpstr>depreciationandamortizationcashflow</vt:lpstr>
      <vt:lpstr>dividends_loaded</vt:lpstr>
      <vt:lpstr>Dupont_Analysis</vt:lpstr>
      <vt:lpstr>financials_loaded</vt:lpstr>
      <vt:lpstr>Fixed_Assets</vt:lpstr>
      <vt:lpstr>Growth_Analysis</vt:lpstr>
      <vt:lpstr>Growth_and_Profitability</vt:lpstr>
      <vt:lpstr>Income_Statement</vt:lpstr>
      <vt:lpstr>Leverage_Ratios</vt:lpstr>
      <vt:lpstr>Long_Term_Liabilities_and_Shareholders__Equity</vt:lpstr>
      <vt:lpstr>Margin_Analysis</vt:lpstr>
      <vt:lpstr>Margin_Analysis_Chart</vt:lpstr>
      <vt:lpstr>Millions</vt:lpstr>
      <vt:lpstr>my_token</vt:lpstr>
      <vt:lpstr>no_of_periods</vt:lpstr>
      <vt:lpstr>Per_Share_Data</vt:lpstr>
      <vt:lpstr>Period_End</vt:lpstr>
      <vt:lpstr>period_type</vt:lpstr>
      <vt:lpstr>prices_loaded</vt:lpstr>
      <vt:lpstr>Charts!Print_Area</vt:lpstr>
      <vt:lpstr>'Financial Statements and Ratios'!Print_Area</vt:lpstr>
      <vt:lpstr>'Financial Statements and Ratios'!Print_Titles</vt:lpstr>
      <vt:lpstr>ReccomendedPeriod</vt:lpstr>
      <vt:lpstr>Revenues</vt:lpstr>
      <vt:lpstr>Secret_Token</vt:lpstr>
      <vt:lpstr>Stock_Performance</vt:lpstr>
      <vt:lpstr>Ticker</vt:lpstr>
      <vt:lpstr>Valuation</vt:lpstr>
      <vt:lpstr>Valuation_Inputs</vt:lpstr>
      <vt:lpstr>Valuation_Ratios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2021-02-25T16:15:59Z</cp:lastPrinted>
  <dcterms:created xsi:type="dcterms:W3CDTF">2020-12-01T16:12:33Z</dcterms:created>
  <dcterms:modified xsi:type="dcterms:W3CDTF">2021-04-26T14:29:08Z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